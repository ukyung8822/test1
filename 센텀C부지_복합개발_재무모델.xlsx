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" sheetId="1" state="visible" r:id="rId3"/>
    <sheet name="CF" sheetId="2" state="visible" r:id="rId4"/>
    <sheet name="Annual" sheetId="3" state="visible" r:id="rId5"/>
    <sheet name="Macro_VBA" sheetId="4" state="visible" r:id="rId6"/>
  </sheets>
  <definedNames>
    <definedName function="false" hidden="false" name="Copy_Range" vbProcedure="false">Assumption!$D$544:$D$553</definedName>
    <definedName function="false" hidden="false" name="Diff_Range" vbProcedure="false">Assumption!$F$544:$F$553</definedName>
    <definedName function="false" hidden="false" name="Paste_Range" vbProcedure="false">Assumption!$E$544:$E$553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34" authorId="0">
      <text>
        <r>
          <rPr>
            <sz val="10"/>
            <rFont val="WenQuanYi Zen Hei"/>
            <family val="2"/>
          </rPr>
          <t xml:space="preserve">원본 수치 재현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보증금</t>
        </r>
        <r>
          <rPr>
            <sz val="10"/>
            <rFont val="Arial"/>
            <family val="2"/>
          </rPr>
          <t xml:space="preserve">(100%)×(1+</t>
        </r>
        <r>
          <rPr>
            <sz val="10"/>
            <rFont val="WenQuanYi Zen Hei"/>
            <family val="2"/>
          </rPr>
          <t xml:space="preserve">상승률</t>
        </r>
        <r>
          <rPr>
            <sz val="10"/>
            <rFont val="Arial"/>
            <family val="2"/>
          </rPr>
          <t xml:space="preserve">)</t>
        </r>
      </text>
    </comment>
    <comment ref="D536" authorId="0">
      <text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현금흐름 모델이므로 감가상각 미반영</t>
        </r>
        <r>
          <rPr>
            <sz val="10"/>
            <rFont val="Arial"/>
            <family val="2"/>
          </rPr>
          <t xml:space="preserve">)</t>
        </r>
      </text>
    </comment>
    <comment ref="D538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토지대금 중 계약일 지급 비율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잔금은 착공일 </t>
        </r>
        <r>
          <rPr>
            <sz val="10"/>
            <rFont val="Arial"/>
            <family val="2"/>
          </rPr>
          <t xml:space="preserve">PF</t>
        </r>
        <r>
          <rPr>
            <sz val="10"/>
            <rFont val="WenQuanYi Zen Hei"/>
            <family val="2"/>
          </rPr>
          <t xml:space="preserve">로 지급</t>
        </r>
        <r>
          <rPr>
            <sz val="10"/>
            <rFont val="Arial"/>
            <family val="2"/>
          </rPr>
          <t xml:space="preserve">)</t>
        </r>
      </text>
    </comment>
    <comment ref="E94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95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256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공통비용 연간 상승률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원본 화면에 없음</t>
        </r>
        <r>
          <rPr>
            <sz val="10"/>
            <rFont val="Arial"/>
            <family val="2"/>
          </rPr>
          <t xml:space="preserve">)</t>
        </r>
      </text>
    </comment>
    <comment ref="E417" authorId="0">
      <text>
        <r>
          <rPr>
            <sz val="10"/>
            <rFont val="WenQuanYi Zen Hei"/>
            <family val="2"/>
          </rPr>
          <t xml:space="preserve">직접공사비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공급가액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의 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WenQuanYi Zen Hei"/>
            <family val="2"/>
          </rPr>
          <t xml:space="preserve">는 준공 후 지급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유보금</t>
        </r>
        <r>
          <rPr>
            <sz val="10"/>
            <rFont val="Arial"/>
            <family val="2"/>
          </rPr>
          <t xml:space="preserve">) → </t>
        </r>
        <r>
          <rPr>
            <sz val="10"/>
            <rFont val="WenQuanYi Zen Hei"/>
            <family val="2"/>
          </rPr>
          <t xml:space="preserve">개발기간 재원조달 대상에서 차감</t>
        </r>
        <r>
          <rPr>
            <sz val="10"/>
            <rFont val="Arial"/>
            <family val="2"/>
          </rPr>
          <t xml:space="preserve">, CF</t>
        </r>
        <r>
          <rPr>
            <sz val="10"/>
            <rFont val="WenQuanYi Zen Hei"/>
            <family val="2"/>
          </rPr>
          <t xml:space="preserve">상 운영개시월 지급</t>
        </r>
      </text>
    </comment>
  </commentList>
</comments>
</file>

<file path=xl/sharedStrings.xml><?xml version="1.0" encoding="utf-8"?>
<sst xmlns="http://schemas.openxmlformats.org/spreadsheetml/2006/main" count="1585" uniqueCount="658">
  <si>
    <r>
      <rPr>
        <b val="true"/>
        <sz val="12"/>
        <color rgb="FFFFFFFF"/>
        <rFont val="WenQuanYi Zen Hei"/>
        <family val="2"/>
      </rPr>
      <t xml:space="preserve">센텀</t>
    </r>
    <r>
      <rPr>
        <b val="true"/>
        <sz val="12"/>
        <color rgb="FFFFFFFF"/>
        <rFont val="Arial"/>
        <family val="0"/>
        <charset val="1"/>
      </rPr>
      <t xml:space="preserve">C</t>
    </r>
    <r>
      <rPr>
        <b val="true"/>
        <sz val="12"/>
        <color rgb="FFFFFFFF"/>
        <rFont val="WenQuanYi Zen Hei"/>
        <family val="2"/>
      </rPr>
      <t xml:space="preserve">부지 복합개발사업 재무모델</t>
    </r>
  </si>
  <si>
    <t xml:space="preserve">입력값</t>
  </si>
  <si>
    <r>
      <rPr>
        <sz val="9"/>
        <color rgb="FFFFFFFF"/>
        <rFont val="WenQuanYi Zen Hei"/>
        <family val="2"/>
      </rPr>
      <t xml:space="preserve">파란 글씨 </t>
    </r>
    <r>
      <rPr>
        <sz val="9"/>
        <color rgb="FFFFFFFF"/>
        <rFont val="Arial"/>
        <family val="0"/>
        <charset val="1"/>
      </rPr>
      <t xml:space="preserve">= </t>
    </r>
    <r>
      <rPr>
        <sz val="9"/>
        <color rgb="FFFFFFFF"/>
        <rFont val="WenQuanYi Zen Hei"/>
        <family val="2"/>
      </rPr>
      <t xml:space="preserve">입력</t>
    </r>
    <r>
      <rPr>
        <sz val="9"/>
        <color rgb="FFFFFFFF"/>
        <rFont val="Arial"/>
        <family val="0"/>
        <charset val="1"/>
      </rPr>
      <t xml:space="preserve">(</t>
    </r>
    <r>
      <rPr>
        <sz val="9"/>
        <color rgb="FFFFFFFF"/>
        <rFont val="WenQuanYi Zen Hei"/>
        <family val="2"/>
      </rPr>
      <t xml:space="preserve">하드코딩</t>
    </r>
    <r>
      <rPr>
        <sz val="9"/>
        <color rgb="FFFFFFFF"/>
        <rFont val="Arial"/>
        <family val="0"/>
        <charset val="1"/>
      </rPr>
      <t xml:space="preserve">)</t>
    </r>
  </si>
  <si>
    <r>
      <rPr>
        <i val="true"/>
        <sz val="9"/>
        <color rgb="FFFFFFFF"/>
        <rFont val="Arial"/>
        <family val="0"/>
        <charset val="1"/>
      </rPr>
      <t xml:space="preserve">Assumption  (</t>
    </r>
    <r>
      <rPr>
        <i val="true"/>
        <sz val="9"/>
        <color rgb="FFFFFFFF"/>
        <rFont val="WenQuanYi Zen Hei"/>
        <family val="2"/>
      </rPr>
      <t xml:space="preserve">단위</t>
    </r>
    <r>
      <rPr>
        <i val="true"/>
        <sz val="9"/>
        <color rgb="FFFFFFFF"/>
        <rFont val="Arial"/>
        <family val="0"/>
        <charset val="1"/>
      </rPr>
      <t xml:space="preserve">: </t>
    </r>
    <r>
      <rPr>
        <i val="true"/>
        <sz val="9"/>
        <color rgb="FFFFFFFF"/>
        <rFont val="WenQuanYi Zen Hei"/>
        <family val="2"/>
      </rPr>
      <t xml:space="preserve">백만원</t>
    </r>
    <r>
      <rPr>
        <i val="true"/>
        <sz val="9"/>
        <color rgb="FFFFFFFF"/>
        <rFont val="Arial"/>
        <family val="0"/>
        <charset val="1"/>
      </rPr>
      <t xml:space="preserve">)</t>
    </r>
  </si>
  <si>
    <t xml:space="preserve">수식</t>
  </si>
  <si>
    <r>
      <rPr>
        <sz val="9"/>
        <color rgb="FFFFFFFF"/>
        <rFont val="WenQuanYi Zen Hei"/>
        <family val="2"/>
      </rPr>
      <t xml:space="preserve">검정 </t>
    </r>
    <r>
      <rPr>
        <sz val="9"/>
        <color rgb="FFFFFFFF"/>
        <rFont val="Arial"/>
        <family val="0"/>
        <charset val="1"/>
      </rPr>
      <t xml:space="preserve">= </t>
    </r>
    <r>
      <rPr>
        <sz val="9"/>
        <color rgb="FFFFFFFF"/>
        <rFont val="WenQuanYi Zen Hei"/>
        <family val="2"/>
      </rPr>
      <t xml:space="preserve">계산 수식</t>
    </r>
  </si>
  <si>
    <t xml:space="preserve">연결</t>
  </si>
  <si>
    <r>
      <rPr>
        <sz val="9"/>
        <color rgb="FFFFFFFF"/>
        <rFont val="WenQuanYi Zen Hei"/>
        <family val="2"/>
      </rPr>
      <t xml:space="preserve">초록 </t>
    </r>
    <r>
      <rPr>
        <sz val="9"/>
        <color rgb="FFFFFFFF"/>
        <rFont val="Arial"/>
        <family val="0"/>
        <charset val="1"/>
      </rPr>
      <t xml:space="preserve">= CF </t>
    </r>
    <r>
      <rPr>
        <sz val="9"/>
        <color rgb="FFFFFFFF"/>
        <rFont val="WenQuanYi Zen Hei"/>
        <family val="2"/>
      </rPr>
      <t xml:space="preserve">시트 연결</t>
    </r>
  </si>
  <si>
    <t xml:space="preserve">Balance Check</t>
  </si>
  <si>
    <t xml:space="preserve">Macro Check</t>
  </si>
  <si>
    <t xml:space="preserve">Shortage Check</t>
  </si>
  <si>
    <t xml:space="preserve">Cash Check</t>
  </si>
  <si>
    <t xml:space="preserve">Macro</t>
  </si>
  <si>
    <r>
      <rPr>
        <sz val="9"/>
        <color rgb="FFFFFFFF"/>
        <rFont val="WenQuanYi Zen Hei"/>
        <family val="2"/>
      </rPr>
      <t xml:space="preserve">노랑 </t>
    </r>
    <r>
      <rPr>
        <sz val="9"/>
        <color rgb="FFFFFFFF"/>
        <rFont val="Arial"/>
        <family val="0"/>
        <charset val="1"/>
      </rPr>
      <t xml:space="preserve">= Macro Paste </t>
    </r>
    <r>
      <rPr>
        <sz val="9"/>
        <color rgb="FFFFFFFF"/>
        <rFont val="WenQuanYi Zen Hei"/>
        <family val="2"/>
      </rPr>
      <t xml:space="preserve">값</t>
    </r>
    <r>
      <rPr>
        <sz val="9"/>
        <color rgb="FFFFFFFF"/>
        <rFont val="Arial"/>
        <family val="0"/>
        <charset val="1"/>
      </rPr>
      <t xml:space="preserve">(</t>
    </r>
    <r>
      <rPr>
        <sz val="9"/>
        <color rgb="FFFFFFFF"/>
        <rFont val="WenQuanYi Zen Hei"/>
        <family val="2"/>
      </rPr>
      <t xml:space="preserve">순환참조 차단</t>
    </r>
    <r>
      <rPr>
        <sz val="9"/>
        <color rgb="FFFFFFFF"/>
        <rFont val="Arial"/>
        <family val="0"/>
        <charset val="1"/>
      </rPr>
      <t xml:space="preserve">)</t>
    </r>
  </si>
  <si>
    <r>
      <rPr>
        <b val="true"/>
        <i val="true"/>
        <sz val="9"/>
        <color rgb="FFFFFFFF"/>
        <rFont val="WenQuanYi Zen Hei"/>
        <family val="2"/>
      </rPr>
      <t xml:space="preserve">프로젝트 일정 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계획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</si>
  <si>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리츠설립일</t>
  </si>
  <si>
    <t xml:space="preserve">Date</t>
  </si>
  <si>
    <t xml:space="preserve">매매계약체결 준비기간</t>
  </si>
  <si>
    <t xml:space="preserve">Months</t>
  </si>
  <si>
    <t xml:space="preserve">토지매매계약체결일</t>
  </si>
  <si>
    <t xml:space="preserve">인허가 준비기간</t>
  </si>
  <si>
    <t xml:space="preserve">인허가 완료일</t>
  </si>
  <si>
    <t xml:space="preserve">공사준비기간</t>
  </si>
  <si>
    <t xml:space="preserve">착공일</t>
  </si>
  <si>
    <t xml:space="preserve">공사기간</t>
  </si>
  <si>
    <t xml:space="preserve">준공일</t>
  </si>
  <si>
    <t xml:space="preserve">운영준비기간</t>
  </si>
  <si>
    <t xml:space="preserve">운영개시일</t>
  </si>
  <si>
    <t xml:space="preserve">운영기간</t>
  </si>
  <si>
    <t xml:space="preserve">운영종료일</t>
  </si>
  <si>
    <t xml:space="preserve">처분준비기간</t>
  </si>
  <si>
    <t xml:space="preserve">처분일</t>
  </si>
  <si>
    <t xml:space="preserve">청산준비기간</t>
  </si>
  <si>
    <t xml:space="preserve">리츠청산일</t>
  </si>
  <si>
    <r>
      <rPr>
        <sz val="9"/>
        <color rgb="FF000000"/>
        <rFont val="WenQuanYi Zen Hei"/>
        <family val="2"/>
      </rPr>
      <t xml:space="preserve">개발기간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설립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준공</t>
    </r>
    <r>
      <rPr>
        <sz val="9"/>
        <color rgb="FF000000"/>
        <rFont val="Arial"/>
        <family val="0"/>
        <charset val="1"/>
      </rPr>
      <t xml:space="preserve">)</t>
    </r>
  </si>
  <si>
    <t xml:space="preserve">Years</t>
  </si>
  <si>
    <r>
      <rPr>
        <sz val="9"/>
        <color rgb="FF000000"/>
        <rFont val="WenQuanYi Zen Hei"/>
        <family val="2"/>
      </rPr>
      <t xml:space="preserve">리츠운용기간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운영개시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청산</t>
    </r>
    <r>
      <rPr>
        <sz val="9"/>
        <color rgb="FF000000"/>
        <rFont val="Arial"/>
        <family val="0"/>
        <charset val="1"/>
      </rPr>
      <t xml:space="preserve">)</t>
    </r>
  </si>
  <si>
    <t xml:space="preserve">Results</t>
  </si>
  <si>
    <r>
      <rPr>
        <b val="true"/>
        <sz val="9"/>
        <color rgb="FF000000"/>
        <rFont val="Arial"/>
        <family val="0"/>
        <charset val="1"/>
      </rPr>
      <t xml:space="preserve">IRR On Equity (</t>
    </r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</si>
  <si>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On Equity (</t>
    </r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</si>
  <si>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On Equity (</t>
    </r>
    <r>
      <rPr>
        <b val="true"/>
        <sz val="9"/>
        <color rgb="FF000000"/>
        <rFont val="WenQuanYi Zen Hei"/>
        <family val="2"/>
      </rPr>
      <t xml:space="preserve">전체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</si>
  <si>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사업개요</t>
  </si>
  <si>
    <r>
      <rPr>
        <b val="true"/>
        <sz val="9"/>
        <color rgb="FF000000"/>
        <rFont val="Arial"/>
        <family val="0"/>
        <charset val="1"/>
      </rPr>
      <t xml:space="preserve">(1) </t>
    </r>
    <r>
      <rPr>
        <b val="true"/>
        <sz val="9"/>
        <color rgb="FF000000"/>
        <rFont val="WenQuanYi Zen Hei"/>
        <family val="2"/>
      </rPr>
      <t xml:space="preserve">사 업 명</t>
    </r>
  </si>
  <si>
    <r>
      <rPr>
        <sz val="9"/>
        <color rgb="FF0000FF"/>
        <rFont val="WenQuanYi Zen Hei"/>
        <family val="2"/>
      </rPr>
      <t xml:space="preserve">센텀</t>
    </r>
    <r>
      <rPr>
        <sz val="9"/>
        <color rgb="FF0000FF"/>
        <rFont val="Arial"/>
        <family val="0"/>
        <charset val="1"/>
      </rPr>
      <t xml:space="preserve">C</t>
    </r>
    <r>
      <rPr>
        <sz val="9"/>
        <color rgb="FF0000FF"/>
        <rFont val="WenQuanYi Zen Hei"/>
        <family val="2"/>
      </rPr>
      <t xml:space="preserve">부지 복합개발사업</t>
    </r>
  </si>
  <si>
    <r>
      <rPr>
        <b val="true"/>
        <sz val="9"/>
        <color rgb="FF000000"/>
        <rFont val="Arial"/>
        <family val="0"/>
        <charset val="1"/>
      </rPr>
      <t xml:space="preserve">(2) </t>
    </r>
    <r>
      <rPr>
        <b val="true"/>
        <sz val="9"/>
        <color rgb="FF000000"/>
        <rFont val="WenQuanYi Zen Hei"/>
        <family val="2"/>
      </rPr>
      <t xml:space="preserve">대 지 위 치</t>
    </r>
  </si>
  <si>
    <r>
      <rPr>
        <sz val="9"/>
        <color rgb="FF0000FF"/>
        <rFont val="WenQuanYi Zen Hei"/>
        <family val="2"/>
      </rPr>
      <t xml:space="preserve">부산광역시 해운대 우동 </t>
    </r>
    <r>
      <rPr>
        <sz val="9"/>
        <color rgb="FF0000FF"/>
        <rFont val="Arial"/>
        <family val="0"/>
        <charset val="1"/>
      </rPr>
      <t xml:space="preserve">1492</t>
    </r>
  </si>
  <si>
    <r>
      <rPr>
        <b val="true"/>
        <sz val="9"/>
        <color rgb="FF000000"/>
        <rFont val="Arial"/>
        <family val="0"/>
        <charset val="1"/>
      </rPr>
      <t xml:space="preserve">(3) </t>
    </r>
    <r>
      <rPr>
        <b val="true"/>
        <sz val="9"/>
        <color rgb="FF000000"/>
        <rFont val="WenQuanYi Zen Hei"/>
        <family val="2"/>
      </rPr>
      <t xml:space="preserve">지 역 지 구</t>
    </r>
  </si>
  <si>
    <r>
      <rPr>
        <sz val="9"/>
        <color rgb="FF0000FF"/>
        <rFont val="WenQuanYi Zen Hei"/>
        <family val="2"/>
      </rPr>
      <t xml:space="preserve">중심상업지역</t>
    </r>
    <r>
      <rPr>
        <sz val="9"/>
        <color rgb="FF0000FF"/>
        <rFont val="Arial"/>
        <family val="0"/>
        <charset val="1"/>
      </rPr>
      <t xml:space="preserve">/</t>
    </r>
    <r>
      <rPr>
        <sz val="9"/>
        <color rgb="FF0000FF"/>
        <rFont val="WenQuanYi Zen Hei"/>
        <family val="2"/>
      </rPr>
      <t xml:space="preserve">지구단위계획구역</t>
    </r>
  </si>
  <si>
    <r>
      <rPr>
        <b val="true"/>
        <sz val="9"/>
        <color rgb="FF000000"/>
        <rFont val="Arial"/>
        <family val="0"/>
        <charset val="1"/>
      </rPr>
      <t xml:space="preserve">(4) </t>
    </r>
    <r>
      <rPr>
        <b val="true"/>
        <sz val="9"/>
        <color rgb="FF000000"/>
        <rFont val="WenQuanYi Zen Hei"/>
        <family val="2"/>
      </rPr>
      <t xml:space="preserve">용      도</t>
    </r>
  </si>
  <si>
    <r>
      <rPr>
        <sz val="9"/>
        <color rgb="FF0000FF"/>
        <rFont val="WenQuanYi Zen Hei"/>
        <family val="2"/>
      </rPr>
      <t xml:space="preserve">관광숙박시설</t>
    </r>
    <r>
      <rPr>
        <sz val="9"/>
        <color rgb="FF0000FF"/>
        <rFont val="Arial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호텔</t>
    </r>
    <r>
      <rPr>
        <sz val="9"/>
        <color rgb="FF0000FF"/>
        <rFont val="Arial"/>
        <family val="0"/>
        <charset val="1"/>
      </rPr>
      <t xml:space="preserve">, </t>
    </r>
    <r>
      <rPr>
        <sz val="9"/>
        <color rgb="FF0000FF"/>
        <rFont val="WenQuanYi Zen Hei"/>
        <family val="2"/>
      </rPr>
      <t xml:space="preserve">콘도</t>
    </r>
    <r>
      <rPr>
        <sz val="9"/>
        <color rgb="FF0000FF"/>
        <rFont val="Arial"/>
        <family val="0"/>
        <charset val="1"/>
      </rPr>
      <t xml:space="preserve">), </t>
    </r>
    <r>
      <rPr>
        <sz val="9"/>
        <color rgb="FF0000FF"/>
        <rFont val="WenQuanYi Zen Hei"/>
        <family val="2"/>
      </rPr>
      <t xml:space="preserve">노유자시설</t>
    </r>
    <r>
      <rPr>
        <sz val="9"/>
        <color rgb="FF0000FF"/>
        <rFont val="Arial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시니어레지던스</t>
    </r>
    <r>
      <rPr>
        <sz val="9"/>
        <color rgb="FF0000FF"/>
        <rFont val="Arial"/>
        <family val="0"/>
        <charset val="1"/>
      </rPr>
      <t xml:space="preserve">), </t>
    </r>
    <r>
      <rPr>
        <sz val="9"/>
        <color rgb="FF0000FF"/>
        <rFont val="WenQuanYi Zen Hei"/>
        <family val="2"/>
      </rPr>
      <t xml:space="preserve">문화집회시설</t>
    </r>
    <r>
      <rPr>
        <sz val="9"/>
        <color rgb="FF0000FF"/>
        <rFont val="Arial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공연장 등</t>
    </r>
    <r>
      <rPr>
        <sz val="9"/>
        <color rgb="FF0000FF"/>
        <rFont val="Arial"/>
        <family val="0"/>
        <charset val="1"/>
      </rPr>
      <t xml:space="preserve">), </t>
    </r>
    <r>
      <rPr>
        <sz val="9"/>
        <color rgb="FF0000FF"/>
        <rFont val="WenQuanYi Zen Hei"/>
        <family val="2"/>
      </rPr>
      <t xml:space="preserve">판매시설</t>
    </r>
  </si>
  <si>
    <r>
      <rPr>
        <b val="true"/>
        <sz val="9"/>
        <color rgb="FF000000"/>
        <rFont val="Arial"/>
        <family val="0"/>
        <charset val="1"/>
      </rPr>
      <t xml:space="preserve">(5) </t>
    </r>
    <r>
      <rPr>
        <b val="true"/>
        <sz val="9"/>
        <color rgb="FF000000"/>
        <rFont val="WenQuanYi Zen Hei"/>
        <family val="2"/>
      </rPr>
      <t xml:space="preserve">건축연면적</t>
    </r>
  </si>
  <si>
    <t xml:space="preserve">평 환산계수</t>
  </si>
  <si>
    <t xml:space="preserve">연면적</t>
  </si>
  <si>
    <t xml:space="preserve">지상연면적</t>
  </si>
  <si>
    <t xml:space="preserve">지하연면적</t>
  </si>
  <si>
    <t xml:space="preserve">전체연면적</t>
  </si>
  <si>
    <t xml:space="preserve">용도별 연면적</t>
  </si>
  <si>
    <t xml:space="preserve">시니어 레지던스</t>
  </si>
  <si>
    <t xml:space="preserve">레지던스</t>
  </si>
  <si>
    <t xml:space="preserve">호텔</t>
  </si>
  <si>
    <t xml:space="preserve">오피스</t>
  </si>
  <si>
    <t xml:space="preserve">부대시설</t>
  </si>
  <si>
    <t xml:space="preserve">합계</t>
  </si>
  <si>
    <t xml:space="preserve">구분</t>
  </si>
  <si>
    <t xml:space="preserve">총계</t>
  </si>
  <si>
    <t xml:space="preserve">시니어</t>
  </si>
  <si>
    <t xml:space="preserve">시니어 부대</t>
  </si>
  <si>
    <t xml:space="preserve">국제학교</t>
  </si>
  <si>
    <t xml:space="preserve">영어유치원</t>
  </si>
  <si>
    <t xml:space="preserve">SSZ</t>
  </si>
  <si>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WenQuanYi Zen Hei"/>
        <family val="2"/>
      </rPr>
      <t xml:space="preserve">동 계</t>
    </r>
  </si>
  <si>
    <t xml:space="preserve">가족호텔</t>
  </si>
  <si>
    <t xml:space="preserve">가족호텔 부대 멤버전용</t>
  </si>
  <si>
    <t xml:space="preserve">컨벤션</t>
  </si>
  <si>
    <r>
      <rPr>
        <b val="true"/>
        <sz val="9"/>
        <color rgb="FFFFFFFF"/>
        <rFont val="WenQuanYi Zen Hei"/>
        <family val="2"/>
      </rPr>
      <t xml:space="preserve">호텔부대</t>
    </r>
    <r>
      <rPr>
        <b val="true"/>
        <sz val="9"/>
        <color rgb="FFFFFFFF"/>
        <rFont val="Arial"/>
        <family val="0"/>
        <charset val="1"/>
      </rPr>
      <t xml:space="preserve">_</t>
    </r>
    <r>
      <rPr>
        <b val="true"/>
        <sz val="9"/>
        <color rgb="FFFFFFFF"/>
        <rFont val="WenQuanYi Zen Hei"/>
        <family val="2"/>
      </rPr>
      <t xml:space="preserve">피트니스</t>
    </r>
    <r>
      <rPr>
        <b val="true"/>
        <sz val="9"/>
        <color rgb="FFFFFFFF"/>
        <rFont val="Arial"/>
        <family val="0"/>
        <charset val="1"/>
      </rPr>
      <t xml:space="preserve">&amp;</t>
    </r>
    <r>
      <rPr>
        <b val="true"/>
        <sz val="9"/>
        <color rgb="FFFFFFFF"/>
        <rFont val="WenQuanYi Zen Hei"/>
        <family val="2"/>
      </rPr>
      <t xml:space="preserve">수영장</t>
    </r>
  </si>
  <si>
    <r>
      <rPr>
        <b val="true"/>
        <sz val="9"/>
        <color rgb="FFFFFFFF"/>
        <rFont val="WenQuanYi Zen Hei"/>
        <family val="2"/>
      </rPr>
      <t xml:space="preserve">호텔부대</t>
    </r>
    <r>
      <rPr>
        <b val="true"/>
        <sz val="9"/>
        <color rgb="FFFFFFFF"/>
        <rFont val="Arial"/>
        <family val="0"/>
        <charset val="1"/>
      </rPr>
      <t xml:space="preserve">_</t>
    </r>
    <r>
      <rPr>
        <b val="true"/>
        <sz val="9"/>
        <color rgb="FFFFFFFF"/>
        <rFont val="WenQuanYi Zen Hei"/>
        <family val="2"/>
      </rPr>
      <t xml:space="preserve">파인다이닝</t>
    </r>
  </si>
  <si>
    <r>
      <rPr>
        <b val="true"/>
        <sz val="9"/>
        <color rgb="FFFFFFFF"/>
        <rFont val="WenQuanYi Zen Hei"/>
        <family val="2"/>
      </rPr>
      <t xml:space="preserve">호텔부대</t>
    </r>
    <r>
      <rPr>
        <b val="true"/>
        <sz val="9"/>
        <color rgb="FFFFFFFF"/>
        <rFont val="Arial"/>
        <family val="0"/>
        <charset val="1"/>
      </rPr>
      <t xml:space="preserve">_</t>
    </r>
    <r>
      <rPr>
        <b val="true"/>
        <sz val="9"/>
        <color rgb="FFFFFFFF"/>
        <rFont val="WenQuanYi Zen Hei"/>
        <family val="2"/>
      </rPr>
      <t xml:space="preserve">휴게</t>
    </r>
  </si>
  <si>
    <r>
      <rPr>
        <b val="true"/>
        <sz val="9"/>
        <color rgb="FFFFFFFF"/>
        <rFont val="WenQuanYi Zen Hei"/>
        <family val="2"/>
      </rPr>
      <t xml:space="preserve">호텔 </t>
    </r>
    <r>
      <rPr>
        <b val="true"/>
        <sz val="9"/>
        <color rgb="FFFFFFFF"/>
        <rFont val="Arial"/>
        <family val="0"/>
        <charset val="1"/>
      </rPr>
      <t xml:space="preserve">BOH</t>
    </r>
  </si>
  <si>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WenQuanYi Zen Hei"/>
        <family val="2"/>
      </rPr>
      <t xml:space="preserve">동 계</t>
    </r>
  </si>
  <si>
    <t xml:space="preserve">메디컬</t>
  </si>
  <si>
    <r>
      <rPr>
        <b val="true"/>
        <sz val="9"/>
        <color rgb="FFFFFFFF"/>
        <rFont val="WenQuanYi Zen Hei"/>
        <family val="2"/>
      </rPr>
      <t xml:space="preserve">스파</t>
    </r>
    <r>
      <rPr>
        <b val="true"/>
        <sz val="9"/>
        <color rgb="FFFFFFFF"/>
        <rFont val="Arial"/>
        <family val="0"/>
        <charset val="1"/>
      </rPr>
      <t xml:space="preserve">2.0</t>
    </r>
  </si>
  <si>
    <t xml:space="preserve">판매시설</t>
  </si>
  <si>
    <t xml:space="preserve">부대시설 계</t>
  </si>
  <si>
    <t xml:space="preserve">MEP</t>
  </si>
  <si>
    <t xml:space="preserve">주차장</t>
  </si>
  <si>
    <r>
      <rPr>
        <b val="true"/>
        <sz val="9"/>
        <color rgb="FF000000"/>
        <rFont val="WenQuanYi Zen Hei"/>
        <family val="2"/>
      </rPr>
      <t xml:space="preserve">연면적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평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</si>
  <si>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연면적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㎡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</si>
  <si>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구성비</t>
  </si>
  <si>
    <t xml:space="preserve">전용면적</t>
  </si>
  <si>
    <t xml:space="preserve">공용면적</t>
  </si>
  <si>
    <t xml:space="preserve">시설면적</t>
  </si>
  <si>
    <t xml:space="preserve">주차장 배분</t>
  </si>
  <si>
    <t xml:space="preserve">기계실 배분</t>
  </si>
  <si>
    <t xml:space="preserve">전체 공용면적</t>
  </si>
  <si>
    <t xml:space="preserve">전용률</t>
  </si>
  <si>
    <t xml:space="preserve">비고</t>
  </si>
  <si>
    <r>
      <rPr>
        <sz val="9"/>
        <color rgb="FF0000FF"/>
        <rFont val="Arial"/>
        <family val="0"/>
        <charset val="1"/>
      </rPr>
      <t xml:space="preserve">270</t>
    </r>
    <r>
      <rPr>
        <sz val="9"/>
        <color rgb="FF0000FF"/>
        <rFont val="WenQuanYi Zen Hei"/>
        <family val="2"/>
      </rPr>
      <t xml:space="preserve">세대</t>
    </r>
  </si>
  <si>
    <r>
      <rPr>
        <sz val="9"/>
        <color rgb="FF0000FF"/>
        <rFont val="Arial"/>
        <family val="0"/>
        <charset val="1"/>
      </rPr>
      <t xml:space="preserve">92</t>
    </r>
    <r>
      <rPr>
        <sz val="9"/>
        <color rgb="FF0000FF"/>
        <rFont val="WenQuanYi Zen Hei"/>
        <family val="2"/>
      </rPr>
      <t xml:space="preserve">세대</t>
    </r>
  </si>
  <si>
    <r>
      <rPr>
        <sz val="9"/>
        <color rgb="FF0000FF"/>
        <rFont val="Arial"/>
        <family val="0"/>
        <charset val="1"/>
      </rPr>
      <t xml:space="preserve">257</t>
    </r>
    <r>
      <rPr>
        <sz val="9"/>
        <color rgb="FF0000FF"/>
        <rFont val="WenQuanYi Zen Hei"/>
        <family val="2"/>
      </rPr>
      <t xml:space="preserve">실</t>
    </r>
  </si>
  <si>
    <r>
      <rPr>
        <b val="true"/>
        <sz val="9"/>
        <color rgb="FF000000"/>
        <rFont val="Arial"/>
        <family val="0"/>
        <charset val="1"/>
      </rPr>
      <t xml:space="preserve">(6) </t>
    </r>
    <r>
      <rPr>
        <b val="true"/>
        <sz val="9"/>
        <color rgb="FF000000"/>
        <rFont val="WenQuanYi Zen Hei"/>
        <family val="2"/>
      </rPr>
      <t xml:space="preserve">대지면적</t>
    </r>
  </si>
  <si>
    <t xml:space="preserve">Ratio</t>
  </si>
  <si>
    <r>
      <rPr>
        <b val="true"/>
        <sz val="9"/>
        <color rgb="FFFFFFFF"/>
        <rFont val="WenQuanYi Zen Hei"/>
        <family val="2"/>
      </rPr>
      <t xml:space="preserve">토지면적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</si>
  <si>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토지면적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</si>
  <si>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서비스드 레지던스</t>
  </si>
  <si>
    <t xml:space="preserve">Operation</t>
  </si>
  <si>
    <r>
      <rPr>
        <i val="true"/>
        <sz val="9"/>
        <color rgb="FF000000"/>
        <rFont val="WenQuanYi Zen Hei"/>
        <family val="2"/>
      </rPr>
      <t xml:space="preserve">※ 운영기간 시계열</t>
    </r>
    <r>
      <rPr>
        <i val="true"/>
        <sz val="9"/>
        <color rgb="FF000000"/>
        <rFont val="Arial"/>
        <family val="0"/>
        <charset val="1"/>
      </rPr>
      <t xml:space="preserve">(Index: </t>
    </r>
    <r>
      <rPr>
        <i val="true"/>
        <sz val="9"/>
        <color rgb="FF000000"/>
        <rFont val="WenQuanYi Zen Hei"/>
        <family val="2"/>
      </rPr>
      <t xml:space="preserve">운영기간 누적</t>
    </r>
    <r>
      <rPr>
        <i val="true"/>
        <sz val="9"/>
        <color rgb="FF000000"/>
        <rFont val="Arial"/>
        <family val="0"/>
        <charset val="1"/>
      </rPr>
      <t xml:space="preserve">, </t>
    </r>
    <r>
      <rPr>
        <i val="true"/>
        <sz val="9"/>
        <color rgb="FF000000"/>
        <rFont val="WenQuanYi Zen Hei"/>
        <family val="2"/>
      </rPr>
      <t xml:space="preserve">입주모집률</t>
    </r>
    <r>
      <rPr>
        <i val="true"/>
        <sz val="9"/>
        <color rgb="FF000000"/>
        <rFont val="Arial"/>
        <family val="0"/>
        <charset val="1"/>
      </rPr>
      <t xml:space="preserve">, OCC, </t>
    </r>
    <r>
      <rPr>
        <i val="true"/>
        <sz val="9"/>
        <color rgb="FF000000"/>
        <rFont val="WenQuanYi Zen Hei"/>
        <family val="2"/>
      </rPr>
      <t xml:space="preserve">공실률</t>
    </r>
    <r>
      <rPr>
        <i val="true"/>
        <sz val="9"/>
        <color rgb="FF000000"/>
        <rFont val="Arial"/>
        <family val="0"/>
        <charset val="1"/>
      </rPr>
      <t xml:space="preserve">, </t>
    </r>
    <r>
      <rPr>
        <i val="true"/>
        <sz val="9"/>
        <color rgb="FF000000"/>
        <rFont val="WenQuanYi Zen Hei"/>
        <family val="2"/>
      </rPr>
      <t xml:space="preserve">리징비용</t>
    </r>
    <r>
      <rPr>
        <i val="true"/>
        <sz val="9"/>
        <color rgb="FF000000"/>
        <rFont val="Arial"/>
        <family val="0"/>
        <charset val="1"/>
      </rPr>
      <t xml:space="preserve">, </t>
    </r>
    <r>
      <rPr>
        <i val="true"/>
        <sz val="9"/>
        <color rgb="FF000000"/>
        <rFont val="WenQuanYi Zen Hei"/>
        <family val="2"/>
      </rPr>
      <t xml:space="preserve">상승률 등</t>
    </r>
    <r>
      <rPr>
        <i val="true"/>
        <sz val="9"/>
        <color rgb="FF000000"/>
        <rFont val="Arial"/>
        <family val="0"/>
        <charset val="1"/>
      </rPr>
      <t xml:space="preserve">)</t>
    </r>
    <r>
      <rPr>
        <i val="true"/>
        <sz val="9"/>
        <color rgb="FF000000"/>
        <rFont val="WenQuanYi Zen Hei"/>
        <family val="2"/>
      </rPr>
      <t xml:space="preserve">은 </t>
    </r>
    <r>
      <rPr>
        <i val="true"/>
        <sz val="9"/>
        <color rgb="FF000000"/>
        <rFont val="Arial"/>
        <family val="0"/>
        <charset val="1"/>
      </rPr>
      <t xml:space="preserve">CF </t>
    </r>
    <r>
      <rPr>
        <i val="true"/>
        <sz val="9"/>
        <color rgb="FF000000"/>
        <rFont val="WenQuanYi Zen Hei"/>
        <family val="2"/>
      </rPr>
      <t xml:space="preserve">시트에서 월별로 계산</t>
    </r>
  </si>
  <si>
    <t xml:space="preserve">운영수입</t>
  </si>
  <si>
    <t xml:space="preserve">세대수</t>
  </si>
  <si>
    <t xml:space="preserve">세대</t>
  </si>
  <si>
    <t xml:space="preserve">보증금</t>
  </si>
  <si>
    <t xml:space="preserve">일자</t>
  </si>
  <si>
    <t xml:space="preserve">비중</t>
  </si>
  <si>
    <r>
      <rPr>
        <b val="true"/>
        <sz val="9"/>
        <color rgb="FFFFFFFF"/>
        <rFont val="WenQuanYi Zen Hei"/>
        <family val="2"/>
      </rPr>
      <t xml:space="preserve">월</t>
    </r>
    <r>
      <rPr>
        <b val="true"/>
        <sz val="9"/>
        <color rgb="FFFFFFFF"/>
        <rFont val="Arial"/>
        <family val="0"/>
        <charset val="1"/>
      </rPr>
      <t xml:space="preserve">Key</t>
    </r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</si>
  <si>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세대</t>
    </r>
  </si>
  <si>
    <t xml:space="preserve">계약금</t>
  </si>
  <si>
    <r>
      <rPr>
        <sz val="9"/>
        <color rgb="FF000000"/>
        <rFont val="WenQuanYi Zen Hei"/>
        <family val="2"/>
      </rPr>
      <t xml:space="preserve">보증금</t>
    </r>
    <r>
      <rPr>
        <sz val="9"/>
        <color rgb="FF000000"/>
        <rFont val="Arial"/>
        <family val="0"/>
        <charset val="1"/>
      </rPr>
      <t xml:space="preserve">(100% </t>
    </r>
    <r>
      <rPr>
        <sz val="9"/>
        <color rgb="FF000000"/>
        <rFont val="WenQuanYi Zen Hei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)</t>
    </r>
  </si>
  <si>
    <t xml:space="preserve">백만원</t>
  </si>
  <si>
    <r>
      <rPr>
        <sz val="9"/>
        <color rgb="FF000000"/>
        <rFont val="WenQuanYi Zen Hei"/>
        <family val="2"/>
      </rPr>
      <t xml:space="preserve">중도금</t>
    </r>
    <r>
      <rPr>
        <sz val="9"/>
        <color rgb="FF000000"/>
        <rFont val="Arial"/>
        <family val="0"/>
        <charset val="1"/>
      </rPr>
      <t xml:space="preserve">(1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</si>
  <si>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월임대료</t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</si>
  <si>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세대</t>
    </r>
    <r>
      <rPr>
        <sz val="9"/>
        <color rgb="FF000000"/>
        <rFont val="Arial"/>
        <family val="0"/>
        <charset val="1"/>
      </rPr>
      <t xml:space="preserve">,</t>
    </r>
    <r>
      <rPr>
        <sz val="9"/>
        <color rgb="FF000000"/>
        <rFont val="WenQuanYi Zen Hei"/>
        <family val="2"/>
      </rPr>
      <t xml:space="preserve">월</t>
    </r>
  </si>
  <si>
    <r>
      <rPr>
        <sz val="9"/>
        <color rgb="FF000000"/>
        <rFont val="WenQuanYi Zen Hei"/>
        <family val="2"/>
      </rPr>
      <t xml:space="preserve">중도금</t>
    </r>
    <r>
      <rPr>
        <sz val="9"/>
        <color rgb="FF000000"/>
        <rFont val="Arial"/>
        <family val="0"/>
        <charset val="1"/>
      </rPr>
      <t xml:space="preserve">(2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</si>
  <si>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이용료수익</t>
  </si>
  <si>
    <r>
      <rPr>
        <sz val="9"/>
        <color rgb="FF000000"/>
        <rFont val="WenQuanYi Zen Hei"/>
        <family val="2"/>
      </rPr>
      <t xml:space="preserve">중도금</t>
    </r>
    <r>
      <rPr>
        <sz val="9"/>
        <color rgb="FF000000"/>
        <rFont val="Arial"/>
        <family val="0"/>
        <charset val="1"/>
      </rPr>
      <t xml:space="preserve">(3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</si>
  <si>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및 임대료상승률</t>
  </si>
  <si>
    <t xml:space="preserve">%</t>
  </si>
  <si>
    <t xml:space="preserve">잔금</t>
  </si>
  <si>
    <t xml:space="preserve">보증금 및 임대료상승주기</t>
  </si>
  <si>
    <t xml:space="preserve">개월</t>
  </si>
  <si>
    <t xml:space="preserve">물가상승률</t>
  </si>
  <si>
    <t xml:space="preserve">입주모집률</t>
  </si>
  <si>
    <t xml:space="preserve">Y+1</t>
  </si>
  <si>
    <t xml:space="preserve">Y+2</t>
  </si>
  <si>
    <r>
      <rPr>
        <sz val="9"/>
        <color rgb="FF000000"/>
        <rFont val="Arial"/>
        <family val="0"/>
        <charset val="1"/>
      </rPr>
      <t xml:space="preserve">Y+3 </t>
    </r>
    <r>
      <rPr>
        <sz val="9"/>
        <color rgb="FF000000"/>
        <rFont val="WenQuanYi Zen Hei"/>
        <family val="2"/>
      </rPr>
      <t xml:space="preserve">이후</t>
    </r>
  </si>
  <si>
    <r>
      <rPr>
        <sz val="9"/>
        <color rgb="FF000000"/>
        <rFont val="WenQuanYi Zen Hei"/>
        <family val="2"/>
      </rPr>
      <t xml:space="preserve">추가수입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세대관리비등</t>
    </r>
    <r>
      <rPr>
        <sz val="9"/>
        <color rgb="FF000000"/>
        <rFont val="Arial"/>
        <family val="0"/>
        <charset val="1"/>
      </rPr>
      <t xml:space="preserve">)</t>
    </r>
  </si>
  <si>
    <t xml:space="preserve">매출액 대비</t>
  </si>
  <si>
    <t xml:space="preserve">운영비용</t>
  </si>
  <si>
    <t xml:space="preserve">ADR</t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</si>
  <si>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일</t>
    </r>
  </si>
  <si>
    <t xml:space="preserve">OCC</t>
  </si>
  <si>
    <t xml:space="preserve">일반운영비</t>
  </si>
  <si>
    <r>
      <rPr>
        <sz val="9"/>
        <color rgb="FF000000"/>
        <rFont val="WenQuanYi Zen Hei"/>
        <family val="2"/>
      </rPr>
      <t xml:space="preserve">매출대비 </t>
    </r>
    <r>
      <rPr>
        <sz val="9"/>
        <color rgb="FF000000"/>
        <rFont val="Arial"/>
        <family val="0"/>
        <charset val="1"/>
      </rPr>
      <t xml:space="preserve">%</t>
    </r>
  </si>
  <si>
    <t xml:space="preserve">소모품비</t>
  </si>
  <si>
    <t xml:space="preserve">시니어 부대시설</t>
  </si>
  <si>
    <r>
      <rPr>
        <sz val="9"/>
        <color rgb="FF000000"/>
        <rFont val="WenQuanYi Zen Hei"/>
        <family val="2"/>
      </rPr>
      <t xml:space="preserve">월임대료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전용면적당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</si>
  <si>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평</t>
    </r>
    <r>
      <rPr>
        <sz val="9"/>
        <color rgb="FF000000"/>
        <rFont val="Arial"/>
        <family val="0"/>
        <charset val="1"/>
      </rPr>
      <t xml:space="preserve">,</t>
    </r>
    <r>
      <rPr>
        <sz val="9"/>
        <color rgb="FF000000"/>
        <rFont val="WenQuanYi Zen Hei"/>
        <family val="2"/>
      </rPr>
      <t xml:space="preserve">월</t>
    </r>
  </si>
  <si>
    <t xml:space="preserve">평</t>
  </si>
  <si>
    <r>
      <rPr>
        <sz val="9"/>
        <color rgb="FF000000"/>
        <rFont val="WenQuanYi Zen Hei"/>
        <family val="2"/>
      </rPr>
      <t xml:space="preserve">월임대료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</si>
  <si>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월</t>
    </r>
  </si>
  <si>
    <r>
      <rPr>
        <b val="true"/>
        <i val="true"/>
        <sz val="9"/>
        <color rgb="FFFFFFFF"/>
        <rFont val="WenQuanYi Zen Hei"/>
        <family val="2"/>
      </rPr>
      <t xml:space="preserve">레지던스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휴양콘도미니엄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</si>
  <si>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타입</t>
  </si>
  <si>
    <r>
      <rPr>
        <b val="true"/>
        <sz val="9"/>
        <color rgb="FFFFFFFF"/>
        <rFont val="WenQuanYi Zen Hei"/>
        <family val="2"/>
      </rPr>
      <t xml:space="preserve">전용면적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</si>
  <si>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세대수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세대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</si>
  <si>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</si>
  <si>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ADR(</t>
    </r>
    <r>
      <rPr>
        <b val="true"/>
        <sz val="9"/>
        <color rgb="FFFFFFFF"/>
        <rFont val="WenQuanYi Zen Hei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</si>
  <si>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ADR×</t>
    </r>
    <r>
      <rPr>
        <b val="true"/>
        <sz val="9"/>
        <color rgb="FFFFFFFF"/>
        <rFont val="WenQuanYi Zen Hei"/>
        <family val="2"/>
      </rPr>
      <t xml:space="preserve">세대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</si>
  <si>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F.H-Suite-1</t>
  </si>
  <si>
    <t xml:space="preserve">F.H-Suite-2</t>
  </si>
  <si>
    <t xml:space="preserve">F.H-E.Suite</t>
  </si>
  <si>
    <t xml:space="preserve">PENT-1</t>
  </si>
  <si>
    <t xml:space="preserve">PENT2</t>
  </si>
  <si>
    <t xml:space="preserve">운영수익</t>
  </si>
  <si>
    <t xml:space="preserve">객실외 매출</t>
  </si>
  <si>
    <t xml:space="preserve">객실매출대비</t>
  </si>
  <si>
    <r>
      <rPr>
        <b val="true"/>
        <i val="true"/>
        <sz val="9"/>
        <color rgb="FFFFFFFF"/>
        <rFont val="WenQuanYi Zen Hei"/>
        <family val="2"/>
      </rPr>
      <t xml:space="preserve">레지던스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휴양콘도미니엄</t>
    </r>
    <r>
      <rPr>
        <b val="true"/>
        <i val="true"/>
        <sz val="9"/>
        <color rgb="FFFFFFFF"/>
        <rFont val="Arial"/>
        <family val="0"/>
        <charset val="1"/>
      </rPr>
      <t xml:space="preserve">-</t>
    </r>
    <r>
      <rPr>
        <b val="true"/>
        <i val="true"/>
        <sz val="9"/>
        <color rgb="FFFFFFFF"/>
        <rFont val="WenQuanYi Zen Hei"/>
        <family val="2"/>
      </rPr>
      <t xml:space="preserve">멤버전용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</si>
  <si>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매출대비</t>
  </si>
  <si>
    <t xml:space="preserve">객실수</t>
  </si>
  <si>
    <t xml:space="preserve">실</t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</si>
  <si>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회원</t>
    </r>
  </si>
  <si>
    <t xml:space="preserve">회원수</t>
  </si>
  <si>
    <t xml:space="preserve">명</t>
  </si>
  <si>
    <t xml:space="preserve">회원모집률</t>
  </si>
  <si>
    <r>
      <rPr>
        <sz val="9"/>
        <color rgb="FF000000"/>
        <rFont val="WenQuanYi Zen Hei"/>
        <family val="2"/>
      </rPr>
      <t xml:space="preserve">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일</t>
    </r>
  </si>
  <si>
    <r>
      <rPr>
        <sz val="9"/>
        <color rgb="FF000000"/>
        <rFont val="WenQuanYi Zen Hei"/>
        <family val="2"/>
      </rPr>
      <t xml:space="preserve">객실외매출계수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식음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</si>
  <si>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객실외매출계수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기타</t>
    </r>
    <r>
      <rPr>
        <sz val="9"/>
        <color rgb="FF000000"/>
        <rFont val="Arial"/>
        <family val="0"/>
        <charset val="1"/>
      </rPr>
      <t xml:space="preserve">)</t>
    </r>
  </si>
  <si>
    <t xml:space="preserve">호텔부대시설</t>
  </si>
  <si>
    <r>
      <rPr>
        <sz val="9"/>
        <color rgb="FF000000"/>
        <rFont val="WenQuanYi Zen Hei"/>
        <family val="2"/>
      </rPr>
      <t xml:space="preserve">컨벤션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연회장</t>
    </r>
    <r>
      <rPr>
        <sz val="9"/>
        <color rgb="FF000000"/>
        <rFont val="Arial"/>
        <family val="0"/>
        <charset val="1"/>
      </rPr>
      <t xml:space="preserve">)</t>
    </r>
  </si>
  <si>
    <t xml:space="preserve">객실매출 대비</t>
  </si>
  <si>
    <r>
      <rPr>
        <sz val="9"/>
        <color rgb="FF000000"/>
        <rFont val="WenQuanYi Zen Hei"/>
        <family val="2"/>
      </rPr>
      <t xml:space="preserve">스파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수영장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피트니스</t>
    </r>
  </si>
  <si>
    <r>
      <rPr>
        <sz val="9"/>
        <color rgb="FF000000"/>
        <rFont val="WenQuanYi Zen Hei"/>
        <family val="2"/>
      </rPr>
      <t xml:space="preserve">파인다이닝</t>
    </r>
    <r>
      <rPr>
        <sz val="9"/>
        <color rgb="FF000000"/>
        <rFont val="Arial"/>
        <family val="0"/>
        <charset val="1"/>
      </rPr>
      <t xml:space="preserve">/ADD</t>
    </r>
  </si>
  <si>
    <t xml:space="preserve">휴게시설</t>
  </si>
  <si>
    <t xml:space="preserve">BOH</t>
  </si>
  <si>
    <t xml:space="preserve">휴게시설매출 대비</t>
  </si>
  <si>
    <r>
      <rPr>
        <sz val="9"/>
        <color rgb="FF000000"/>
        <rFont val="WenQuanYi Zen Hei"/>
        <family val="2"/>
      </rPr>
      <t xml:space="preserve">월임대료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평당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</si>
  <si>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전용</t>
    </r>
    <r>
      <rPr>
        <sz val="9"/>
        <color rgb="FF000000"/>
        <rFont val="Arial"/>
        <family val="0"/>
        <charset val="1"/>
      </rPr>
      <t xml:space="preserve">),</t>
    </r>
    <r>
      <rPr>
        <sz val="9"/>
        <color rgb="FF000000"/>
        <rFont val="WenQuanYi Zen Hei"/>
        <family val="2"/>
      </rPr>
      <t xml:space="preserve">월</t>
    </r>
  </si>
  <si>
    <t xml:space="preserve">공실률</t>
  </si>
  <si>
    <t xml:space="preserve">리징비용</t>
  </si>
  <si>
    <t xml:space="preserve">평당관리비용</t>
  </si>
  <si>
    <t xml:space="preserve">총관리비용</t>
  </si>
  <si>
    <r>
      <rPr>
        <b val="true"/>
        <sz val="9"/>
        <color rgb="FF000000"/>
        <rFont val="WenQuanYi Zen Hei"/>
        <family val="2"/>
      </rPr>
      <t xml:space="preserve">스파</t>
    </r>
    <r>
      <rPr>
        <b val="true"/>
        <sz val="9"/>
        <color rgb="FF000000"/>
        <rFont val="Arial"/>
        <family val="0"/>
        <charset val="1"/>
      </rPr>
      <t xml:space="preserve">2.0</t>
    </r>
  </si>
  <si>
    <t xml:space="preserve">기타공통비용</t>
  </si>
  <si>
    <t xml:space="preserve">평당 수선비</t>
  </si>
  <si>
    <r>
      <rPr>
        <sz val="9"/>
        <color rgb="FF000000"/>
        <rFont val="WenQuanYi Zen Hei"/>
        <family val="2"/>
      </rPr>
      <t xml:space="preserve">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연면적</t>
    </r>
    <r>
      <rPr>
        <sz val="9"/>
        <color rgb="FF000000"/>
        <rFont val="Arial"/>
        <family val="0"/>
        <charset val="1"/>
      </rPr>
      <t xml:space="preserve">),</t>
    </r>
    <r>
      <rPr>
        <sz val="9"/>
        <color rgb="FF000000"/>
        <rFont val="WenQuanYi Zen Hei"/>
        <family val="2"/>
      </rPr>
      <t xml:space="preserve">월</t>
    </r>
  </si>
  <si>
    <t xml:space="preserve">평당 보험료</t>
  </si>
  <si>
    <r>
      <rPr>
        <sz val="9"/>
        <color rgb="FF000000"/>
        <rFont val="WenQuanYi Zen Hei"/>
        <family val="2"/>
      </rPr>
      <t xml:space="preserve">평당 </t>
    </r>
    <r>
      <rPr>
        <sz val="9"/>
        <color rgb="FF000000"/>
        <rFont val="Arial"/>
        <family val="0"/>
        <charset val="1"/>
      </rPr>
      <t xml:space="preserve">PM </t>
    </r>
    <r>
      <rPr>
        <sz val="9"/>
        <color rgb="FF000000"/>
        <rFont val="WenQuanYi Zen Hei"/>
        <family val="2"/>
      </rPr>
      <t xml:space="preserve">수수료</t>
    </r>
  </si>
  <si>
    <t xml:space="preserve">교통유발부담금</t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</si>
  <si>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연</t>
    </r>
  </si>
  <si>
    <t xml:space="preserve">간주임대료 금리</t>
  </si>
  <si>
    <t xml:space="preserve">공통비용 물가상승률</t>
  </si>
  <si>
    <t xml:space="preserve">매각 가정</t>
  </si>
  <si>
    <r>
      <rPr>
        <sz val="9"/>
        <color rgb="FF000000"/>
        <rFont val="Arial"/>
        <family val="0"/>
        <charset val="1"/>
      </rPr>
      <t xml:space="preserve">NOI </t>
    </r>
    <r>
      <rPr>
        <sz val="9"/>
        <color rgb="FF000000"/>
        <rFont val="WenQuanYi Zen Hei"/>
        <family val="2"/>
      </rPr>
      <t xml:space="preserve">기준 운영연차</t>
    </r>
  </si>
  <si>
    <t xml:space="preserve">연차</t>
  </si>
  <si>
    <r>
      <rPr>
        <b val="true"/>
        <sz val="9"/>
        <color rgb="FFFFFFFF"/>
        <rFont val="Arial"/>
        <family val="0"/>
        <charset val="1"/>
      </rPr>
      <t xml:space="preserve">NOI(</t>
    </r>
    <r>
      <rPr>
        <b val="true"/>
        <sz val="9"/>
        <color rgb="FFFFFFFF"/>
        <rFont val="WenQuanYi Zen Hei"/>
        <family val="2"/>
      </rPr>
      <t xml:space="preserve">기준연차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</si>
  <si>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Cap rate</t>
  </si>
  <si>
    <t xml:space="preserve">매각가치</t>
  </si>
  <si>
    <r>
      <rPr>
        <b val="true"/>
        <i val="true"/>
        <sz val="9"/>
        <color rgb="FFFFFFFF"/>
        <rFont val="WenQuanYi Zen Hei"/>
        <family val="2"/>
      </rPr>
      <t xml:space="preserve">용도별 개발기간 사업비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토지 매입비용 제외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</si>
  <si>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단위</t>
    </r>
    <r>
      <rPr>
        <b val="true"/>
        <sz val="9"/>
        <color rgb="FFFFFFFF"/>
        <rFont val="Arial"/>
        <family val="0"/>
        <charset val="1"/>
      </rPr>
      <t xml:space="preserve">: </t>
    </r>
    <r>
      <rPr>
        <b val="true"/>
        <sz val="9"/>
        <color rgb="FFFFFFFF"/>
        <rFont val="WenQuanYi Zen Hei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</si>
  <si>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직접공사비</t>
  </si>
  <si>
    <r>
      <rPr>
        <b val="true"/>
        <sz val="9"/>
        <color rgb="FF000000"/>
        <rFont val="WenQuanYi Zen Hei"/>
        <family val="2"/>
      </rPr>
      <t xml:space="preserve">설계 감리 </t>
    </r>
    <r>
      <rPr>
        <b val="true"/>
        <sz val="9"/>
        <color rgb="FF000000"/>
        <rFont val="Arial"/>
        <family val="0"/>
        <charset val="1"/>
      </rPr>
      <t xml:space="preserve">CM</t>
    </r>
  </si>
  <si>
    <t xml:space="preserve">인테리어</t>
  </si>
  <si>
    <t xml:space="preserve">FF&amp;E</t>
  </si>
  <si>
    <r>
      <rPr>
        <b val="true"/>
        <sz val="9"/>
        <color rgb="FF000000"/>
        <rFont val="WenQuanYi Zen Hei"/>
        <family val="2"/>
      </rPr>
      <t xml:space="preserve">인입공사</t>
    </r>
    <r>
      <rPr>
        <b val="true"/>
        <sz val="9"/>
        <color rgb="FF000000"/>
        <rFont val="Arial"/>
        <family val="0"/>
        <charset val="1"/>
      </rPr>
      <t xml:space="preserve">, </t>
    </r>
    <r>
      <rPr>
        <b val="true"/>
        <sz val="9"/>
        <color rgb="FF000000"/>
        <rFont val="WenQuanYi Zen Hei"/>
        <family val="2"/>
      </rPr>
      <t xml:space="preserve">부담금</t>
    </r>
  </si>
  <si>
    <t xml:space="preserve">건물분 취득세</t>
  </si>
  <si>
    <t xml:space="preserve">금융비용</t>
  </si>
  <si>
    <t xml:space="preserve">분양홍보</t>
  </si>
  <si>
    <r>
      <rPr>
        <b val="true"/>
        <sz val="9"/>
        <color rgb="FF000000"/>
        <rFont val="WenQuanYi Zen Hei"/>
        <family val="2"/>
      </rPr>
      <t xml:space="preserve">토지 보유세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개발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</si>
  <si>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예비비</t>
  </si>
  <si>
    <t xml:space="preserve">IBS</t>
  </si>
  <si>
    <r>
      <rPr>
        <i val="true"/>
        <sz val="9"/>
        <color rgb="FF7F7F7F"/>
        <rFont val="WenQuanYi Zen Hei"/>
        <family val="2"/>
      </rPr>
      <t xml:space="preserve">※ 건설기간 단가표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아래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로 시설별 사업비 산정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금융비용은 기타 사업비 비중으로 배분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WenQuanYi Zen Hei"/>
        <family val="2"/>
      </rPr>
      <t xml:space="preserve">토지보유세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예비비</t>
    </r>
    <r>
      <rPr>
        <i val="true"/>
        <sz val="9"/>
        <color rgb="FF7F7F7F"/>
        <rFont val="Arial"/>
        <family val="0"/>
        <charset val="1"/>
      </rPr>
      <t xml:space="preserve">·IBS</t>
    </r>
    <r>
      <rPr>
        <i val="true"/>
        <sz val="9"/>
        <color rgb="FF7F7F7F"/>
        <rFont val="WenQuanYi Zen Hei"/>
        <family val="2"/>
      </rPr>
      <t xml:space="preserve">는 시설면적 비중 배분</t>
    </r>
  </si>
  <si>
    <t xml:space="preserve">일식</t>
  </si>
  <si>
    <r>
      <rPr>
        <b val="true"/>
        <sz val="9"/>
        <color rgb="FF000000"/>
        <rFont val="WenQuanYi Zen Hei"/>
        <family val="2"/>
      </rPr>
      <t xml:space="preserve">사업비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건설기간 중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</si>
  <si>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비율</t>
  </si>
  <si>
    <r>
      <rPr>
        <b val="true"/>
        <sz val="9"/>
        <color rgb="FF000000"/>
        <rFont val="WenQuanYi Zen Hei"/>
        <family val="2"/>
      </rPr>
      <t xml:space="preserve">주차장 및 </t>
    </r>
    <r>
      <rPr>
        <b val="true"/>
        <sz val="9"/>
        <color rgb="FF000000"/>
        <rFont val="Arial"/>
        <family val="0"/>
        <charset val="1"/>
      </rPr>
      <t xml:space="preserve">MEP </t>
    </r>
    <r>
      <rPr>
        <b val="true"/>
        <sz val="9"/>
        <color rgb="FF000000"/>
        <rFont val="WenQuanYi Zen Hei"/>
        <family val="2"/>
      </rPr>
      <t xml:space="preserve">사업비 배분 후 용도별 사업비</t>
    </r>
  </si>
  <si>
    <t xml:space="preserve">배분전</t>
  </si>
  <si>
    <t xml:space="preserve">배분</t>
  </si>
  <si>
    <t xml:space="preserve">배분후</t>
  </si>
  <si>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최종</t>
    </r>
    <r>
      <rPr>
        <b val="true"/>
        <sz val="9"/>
        <color rgb="FF000000"/>
        <rFont val="Arial"/>
        <family val="0"/>
        <charset val="1"/>
      </rPr>
      <t xml:space="preserve">) </t>
    </r>
    <r>
      <rPr>
        <b val="true"/>
        <sz val="9"/>
        <color rgb="FF000000"/>
        <rFont val="WenQuanYi Zen Hei"/>
        <family val="2"/>
      </rPr>
      <t xml:space="preserve">용도별 사업비</t>
    </r>
    <r>
      <rPr>
        <b val="true"/>
        <sz val="9"/>
        <color rgb="FF000000"/>
        <rFont val="Arial"/>
        <family val="0"/>
        <charset val="1"/>
      </rPr>
      <t xml:space="preserve">_</t>
    </r>
    <r>
      <rPr>
        <b val="true"/>
        <sz val="9"/>
        <color rgb="FF000000"/>
        <rFont val="WenQuanYi Zen Hei"/>
        <family val="2"/>
      </rPr>
      <t xml:space="preserve">모든 개발기간 사업비 포함</t>
    </r>
  </si>
  <si>
    <t xml:space="preserve">최종 배분 후</t>
  </si>
  <si>
    <r>
      <rPr>
        <b val="true"/>
        <sz val="9"/>
        <color rgb="FFFFFFFF"/>
        <rFont val="WenQuanYi Zen Hei"/>
        <family val="2"/>
      </rPr>
      <t xml:space="preserve">최종 배분 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보증금 고려한 금융비용 재조정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</si>
  <si>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토지비</t>
  </si>
  <si>
    <t xml:space="preserve">간접공사비</t>
  </si>
  <si>
    <r>
      <rPr>
        <sz val="9"/>
        <color rgb="FF000000"/>
        <rFont val="WenQuanYi Zen Hei"/>
        <family val="2"/>
      </rPr>
      <t xml:space="preserve"> 설계 감리 </t>
    </r>
    <r>
      <rPr>
        <sz val="9"/>
        <color rgb="FF000000"/>
        <rFont val="Arial"/>
        <family val="0"/>
        <charset val="1"/>
      </rPr>
      <t xml:space="preserve">CM</t>
    </r>
  </si>
  <si>
    <t xml:space="preserve"> 인테리어</t>
  </si>
  <si>
    <t xml:space="preserve"> FF&amp;E</t>
  </si>
  <si>
    <r>
      <rPr>
        <sz val="9"/>
        <color rgb="FF000000"/>
        <rFont val="WenQuanYi Zen Hei"/>
        <family val="2"/>
      </rPr>
      <t xml:space="preserve"> 인입공사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부담금</t>
    </r>
  </si>
  <si>
    <t xml:space="preserve"> IBS</t>
  </si>
  <si>
    <t xml:space="preserve"> 예비비</t>
  </si>
  <si>
    <r>
      <rPr>
        <b val="true"/>
        <sz val="9"/>
        <color rgb="FF000000"/>
        <rFont val="WenQuanYi Zen Hei"/>
        <family val="2"/>
      </rPr>
      <t xml:space="preserve">판매비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광고홍보비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</si>
  <si>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부대비용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보존등기비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</si>
  <si>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리츠운용비</t>
  </si>
  <si>
    <t xml:space="preserve">선입금보증금</t>
  </si>
  <si>
    <t xml:space="preserve">보증금 차감후 사업비</t>
  </si>
  <si>
    <r>
      <rPr>
        <b val="true"/>
        <i val="true"/>
        <sz val="9"/>
        <color rgb="FFFFFFFF"/>
        <rFont val="Arial"/>
        <family val="0"/>
        <charset val="1"/>
      </rPr>
      <t xml:space="preserve">REITs </t>
    </r>
    <r>
      <rPr>
        <b val="true"/>
        <i val="true"/>
        <sz val="9"/>
        <color rgb="FFFFFFFF"/>
        <rFont val="WenQuanYi Zen Hei"/>
        <family val="2"/>
      </rPr>
      <t xml:space="preserve">개발기간 사업비 및 </t>
    </r>
    <r>
      <rPr>
        <b val="true"/>
        <i val="true"/>
        <sz val="9"/>
        <color rgb="FFFFFFFF"/>
        <rFont val="Arial"/>
        <family val="0"/>
        <charset val="1"/>
      </rPr>
      <t xml:space="preserve">S-curve </t>
    </r>
    <r>
      <rPr>
        <b val="true"/>
        <i val="true"/>
        <sz val="9"/>
        <color rgb="FFFFFFFF"/>
        <rFont val="WenQuanYi Zen Hei"/>
        <family val="2"/>
      </rPr>
      <t xml:space="preserve">가정</t>
    </r>
  </si>
  <si>
    <r>
      <rPr>
        <b val="true"/>
        <sz val="9"/>
        <color rgb="FF000000"/>
        <rFont val="Arial"/>
        <family val="0"/>
        <charset val="1"/>
      </rPr>
      <t xml:space="preserve">[0:</t>
    </r>
    <r>
      <rPr>
        <b val="true"/>
        <sz val="9"/>
        <color rgb="FF000000"/>
        <rFont val="WenQuanYi Zen Hei"/>
        <family val="2"/>
      </rPr>
      <t xml:space="preserve">면세</t>
    </r>
    <r>
      <rPr>
        <b val="true"/>
        <sz val="9"/>
        <color rgb="FF000000"/>
        <rFont val="Arial"/>
        <family val="0"/>
        <charset val="1"/>
      </rPr>
      <t xml:space="preserve">, 1:</t>
    </r>
    <r>
      <rPr>
        <b val="true"/>
        <sz val="9"/>
        <color rgb="FF000000"/>
        <rFont val="WenQuanYi Zen Hei"/>
        <family val="2"/>
      </rPr>
      <t xml:space="preserve">과세</t>
    </r>
    <r>
      <rPr>
        <b val="true"/>
        <sz val="9"/>
        <color rgb="FF000000"/>
        <rFont val="Arial"/>
        <family val="0"/>
        <charset val="1"/>
      </rPr>
      <t xml:space="preserve">]</t>
    </r>
  </si>
  <si>
    <r>
      <rPr>
        <b val="true"/>
        <sz val="9"/>
        <color rgb="FF000000"/>
        <rFont val="Arial"/>
        <family val="0"/>
        <charset val="1"/>
      </rPr>
      <t xml:space="preserve">[1:</t>
    </r>
    <r>
      <rPr>
        <b val="true"/>
        <sz val="9"/>
        <color rgb="FF000000"/>
        <rFont val="WenQuanYi Zen Hei"/>
        <family val="2"/>
      </rPr>
      <t xml:space="preserve">면세</t>
    </r>
    <r>
      <rPr>
        <b val="true"/>
        <sz val="9"/>
        <color rgb="FF000000"/>
        <rFont val="Arial"/>
        <family val="0"/>
        <charset val="1"/>
      </rPr>
      <t xml:space="preserve">,2:</t>
    </r>
    <r>
      <rPr>
        <b val="true"/>
        <sz val="9"/>
        <color rgb="FF000000"/>
        <rFont val="WenQuanYi Zen Hei"/>
        <family val="2"/>
      </rPr>
      <t xml:space="preserve">과세</t>
    </r>
    <r>
      <rPr>
        <b val="true"/>
        <sz val="9"/>
        <color rgb="FF000000"/>
        <rFont val="Arial"/>
        <family val="0"/>
        <charset val="1"/>
      </rPr>
      <t xml:space="preserve">,3:</t>
    </r>
    <r>
      <rPr>
        <b val="true"/>
        <sz val="9"/>
        <color rgb="FF000000"/>
        <rFont val="WenQuanYi Zen Hei"/>
        <family val="2"/>
      </rPr>
      <t xml:space="preserve">공통</t>
    </r>
    <r>
      <rPr>
        <b val="true"/>
        <sz val="9"/>
        <color rgb="FF000000"/>
        <rFont val="Arial"/>
        <family val="0"/>
        <charset val="1"/>
      </rPr>
      <t xml:space="preserve">]</t>
    </r>
  </si>
  <si>
    <r>
      <rPr>
        <sz val="9"/>
        <color rgb="FF000000"/>
        <rFont val="Arial"/>
        <family val="0"/>
        <charset val="1"/>
      </rPr>
      <t xml:space="preserve">VAT </t>
    </r>
    <r>
      <rPr>
        <sz val="9"/>
        <color rgb="FF000000"/>
        <rFont val="WenQuanYi Zen Hei"/>
        <family val="2"/>
      </rPr>
      <t xml:space="preserve">공통 공제비율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과세면적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전체</t>
    </r>
    <r>
      <rPr>
        <sz val="9"/>
        <color rgb="FF000000"/>
        <rFont val="Arial"/>
        <family val="0"/>
        <charset val="1"/>
      </rPr>
      <t xml:space="preserve">)</t>
    </r>
  </si>
  <si>
    <t xml:space="preserve">항목</t>
  </si>
  <si>
    <r>
      <rPr>
        <b val="true"/>
        <sz val="9"/>
        <color rgb="FFFFFFFF"/>
        <rFont val="Arial"/>
        <family val="0"/>
        <charset val="1"/>
      </rPr>
      <t xml:space="preserve">VAT</t>
    </r>
    <r>
      <rPr>
        <b val="true"/>
        <sz val="9"/>
        <color rgb="FFFFFFFF"/>
        <rFont val="WenQuanYi Zen Hei"/>
        <family val="2"/>
      </rPr>
      <t xml:space="preserve">과세여부</t>
    </r>
  </si>
  <si>
    <r>
      <rPr>
        <b val="true"/>
        <sz val="9"/>
        <color rgb="FFFFFFFF"/>
        <rFont val="Arial"/>
        <family val="0"/>
        <charset val="1"/>
      </rPr>
      <t xml:space="preserve">VAT</t>
    </r>
    <r>
      <rPr>
        <b val="true"/>
        <sz val="9"/>
        <color rgb="FFFFFFFF"/>
        <rFont val="WenQuanYi Zen Hei"/>
        <family val="2"/>
      </rPr>
      <t xml:space="preserve">공제율 구분</t>
    </r>
  </si>
  <si>
    <t xml:space="preserve">변수</t>
  </si>
  <si>
    <t xml:space="preserve">값</t>
  </si>
  <si>
    <t xml:space="preserve">산출근거</t>
  </si>
  <si>
    <r>
      <rPr>
        <b val="true"/>
        <sz val="9"/>
        <color rgb="FFFFFFFF"/>
        <rFont val="WenQuanYi Zen Hei"/>
        <family val="2"/>
      </rPr>
      <t xml:space="preserve">값</t>
    </r>
    <r>
      <rPr>
        <b val="true"/>
        <sz val="9"/>
        <color rgb="FFFFFFFF"/>
        <rFont val="Arial"/>
        <family val="0"/>
        <charset val="1"/>
      </rPr>
      <t xml:space="preserve">1</t>
    </r>
  </si>
  <si>
    <r>
      <rPr>
        <b val="true"/>
        <sz val="9"/>
        <color rgb="FFFFFFFF"/>
        <rFont val="WenQuanYi Zen Hei"/>
        <family val="2"/>
      </rPr>
      <t xml:space="preserve">값</t>
    </r>
    <r>
      <rPr>
        <b val="true"/>
        <sz val="9"/>
        <color rgb="FFFFFFFF"/>
        <rFont val="Arial"/>
        <family val="0"/>
        <charset val="1"/>
      </rPr>
      <t xml:space="preserve">2</t>
    </r>
  </si>
  <si>
    <t xml:space="preserve">공급가액</t>
  </si>
  <si>
    <t xml:space="preserve">VAT</t>
  </si>
  <si>
    <t xml:space="preserve">공급대가</t>
  </si>
  <si>
    <r>
      <rPr>
        <b val="true"/>
        <sz val="9"/>
        <color rgb="FFFFFFFF"/>
        <rFont val="Arial"/>
        <family val="0"/>
        <charset val="1"/>
      </rPr>
      <t xml:space="preserve">VAT </t>
    </r>
    <r>
      <rPr>
        <b val="true"/>
        <sz val="9"/>
        <color rgb="FFFFFFFF"/>
        <rFont val="WenQuanYi Zen Hei"/>
        <family val="2"/>
      </rPr>
      <t xml:space="preserve">공제율</t>
    </r>
  </si>
  <si>
    <r>
      <rPr>
        <b val="true"/>
        <sz val="9"/>
        <color rgb="FFFFFFFF"/>
        <rFont val="Arial"/>
        <family val="0"/>
        <charset val="1"/>
      </rPr>
      <t xml:space="preserve">VAT </t>
    </r>
    <r>
      <rPr>
        <b val="true"/>
        <sz val="9"/>
        <color rgb="FFFFFFFF"/>
        <rFont val="WenQuanYi Zen Hei"/>
        <family val="2"/>
      </rPr>
      <t xml:space="preserve">공제액</t>
    </r>
  </si>
  <si>
    <t xml:space="preserve">공제후 순액</t>
  </si>
  <si>
    <r>
      <rPr>
        <b val="true"/>
        <sz val="9"/>
        <color rgb="FFFFFFFF"/>
        <rFont val="WenQuanYi Zen Hei"/>
        <family val="2"/>
      </rPr>
      <t xml:space="preserve">집행기준</t>
    </r>
    <r>
      <rPr>
        <b val="true"/>
        <sz val="9"/>
        <color rgb="FFFFFFFF"/>
        <rFont val="Arial"/>
        <family val="0"/>
        <charset val="1"/>
      </rPr>
      <t xml:space="preserve">(CF)</t>
    </r>
  </si>
  <si>
    <t xml:space="preserve">토지 취득원가</t>
  </si>
  <si>
    <t xml:space="preserve">대지면적</t>
  </si>
  <si>
    <t xml:space="preserve">x</t>
  </si>
  <si>
    <t xml:space="preserve">평당 매입가</t>
  </si>
  <si>
    <r>
      <rPr>
        <sz val="9"/>
        <color rgb="FF7F7F7F"/>
        <rFont val="WenQuanYi Zen Hei"/>
        <family val="2"/>
      </rPr>
      <t xml:space="preserve">계약금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계약일</t>
    </r>
    <r>
      <rPr>
        <sz val="9"/>
        <color rgb="FF7F7F7F"/>
        <rFont val="Arial"/>
        <family val="0"/>
        <charset val="1"/>
      </rPr>
      <t xml:space="preserve">)/</t>
    </r>
    <r>
      <rPr>
        <sz val="9"/>
        <color rgb="FF7F7F7F"/>
        <rFont val="WenQuanYi Zen Hei"/>
        <family val="2"/>
      </rPr>
      <t xml:space="preserve">잔금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착공일</t>
    </r>
    <r>
      <rPr>
        <sz val="9"/>
        <color rgb="FF7F7F7F"/>
        <rFont val="Arial"/>
        <family val="0"/>
        <charset val="1"/>
      </rPr>
      <t xml:space="preserve">)</t>
    </r>
  </si>
  <si>
    <t xml:space="preserve">취득세</t>
  </si>
  <si>
    <t xml:space="preserve">대지구입비</t>
  </si>
  <si>
    <t xml:space="preserve">요율</t>
  </si>
  <si>
    <t xml:space="preserve">토지 임차료</t>
  </si>
  <si>
    <t xml:space="preserve">토지가액</t>
  </si>
  <si>
    <r>
      <rPr>
        <sz val="9"/>
        <color rgb="FF000000"/>
        <rFont val="Arial"/>
        <family val="0"/>
        <charset val="1"/>
      </rPr>
      <t xml:space="preserve">x </t>
    </r>
    <r>
      <rPr>
        <sz val="9"/>
        <color rgb="FF000000"/>
        <rFont val="WenQuanYi Zen Hei"/>
        <family val="2"/>
      </rPr>
      <t xml:space="preserve">요율</t>
    </r>
  </si>
  <si>
    <t xml:space="preserve">임차기간</t>
  </si>
  <si>
    <r>
      <rPr>
        <sz val="9"/>
        <color rgb="FF000000"/>
        <rFont val="WenQuanYi Zen Hei"/>
        <family val="2"/>
      </rPr>
      <t xml:space="preserve">등기대행료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법무사</t>
    </r>
    <r>
      <rPr>
        <sz val="9"/>
        <color rgb="FF000000"/>
        <rFont val="Arial"/>
        <family val="0"/>
        <charset val="1"/>
      </rPr>
      <t xml:space="preserve">)</t>
    </r>
  </si>
  <si>
    <t xml:space="preserve">건설기간 재산세</t>
  </si>
  <si>
    <t xml:space="preserve">토지 보유세</t>
  </si>
  <si>
    <t xml:space="preserve">공사기간 균등</t>
  </si>
  <si>
    <t xml:space="preserve">토지비 합계</t>
  </si>
  <si>
    <t xml:space="preserve">건설원가</t>
  </si>
  <si>
    <r>
      <rPr>
        <sz val="9"/>
        <color rgb="FF000000"/>
        <rFont val="WenQuanYi Zen Hei"/>
        <family val="2"/>
      </rPr>
      <t xml:space="preserve">건축공사비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</si>
  <si>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t xml:space="preserve">건축연면적</t>
  </si>
  <si>
    <t xml:space="preserve">평당공사비</t>
  </si>
  <si>
    <r>
      <rPr>
        <sz val="9"/>
        <color rgb="FF7F7F7F"/>
        <rFont val="Arial"/>
        <family val="0"/>
        <charset val="1"/>
      </rPr>
      <t xml:space="preserve">S-curve(</t>
    </r>
    <r>
      <rPr>
        <sz val="9"/>
        <color rgb="FF7F7F7F"/>
        <rFont val="WenQuanYi Zen Hei"/>
        <family val="2"/>
      </rPr>
      <t xml:space="preserve">유보금 제외</t>
    </r>
    <r>
      <rPr>
        <sz val="9"/>
        <color rgb="FF7F7F7F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</si>
  <si>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건축공사비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</si>
  <si>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t xml:space="preserve">직접공사비 소계</t>
  </si>
  <si>
    <r>
      <rPr>
        <sz val="9"/>
        <color rgb="FF000000"/>
        <rFont val="WenQuanYi Zen Hei"/>
        <family val="2"/>
      </rPr>
      <t xml:space="preserve">설계 감리 </t>
    </r>
    <r>
      <rPr>
        <sz val="9"/>
        <color rgb="FF000000"/>
        <rFont val="Arial"/>
        <family val="0"/>
        <charset val="1"/>
      </rPr>
      <t xml:space="preserve">CM(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</si>
  <si>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t xml:space="preserve">평당비용</t>
  </si>
  <si>
    <t xml:space="preserve">S-curve</t>
  </si>
  <si>
    <r>
      <rPr>
        <sz val="9"/>
        <color rgb="FF000000"/>
        <rFont val="WenQuanYi Zen Hei"/>
        <family val="2"/>
      </rPr>
      <t xml:space="preserve">설계 감리 </t>
    </r>
    <r>
      <rPr>
        <sz val="9"/>
        <color rgb="FF000000"/>
        <rFont val="Arial"/>
        <family val="0"/>
        <charset val="1"/>
      </rPr>
      <t xml:space="preserve">CM(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</si>
  <si>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인테리어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</si>
  <si>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인테리어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</si>
  <si>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FF&amp;E(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</si>
  <si>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FF&amp;E(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</si>
  <si>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인입공사비 및 부담금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</si>
  <si>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인입공사비 및 부담금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</si>
  <si>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t xml:space="preserve">철거공사비</t>
  </si>
  <si>
    <t xml:space="preserve">평당철거비</t>
  </si>
  <si>
    <t xml:space="preserve">미술작품설치비</t>
  </si>
  <si>
    <r>
      <rPr>
        <sz val="9"/>
        <color rgb="FF000000"/>
        <rFont val="Arial"/>
        <family val="0"/>
        <charset val="1"/>
      </rPr>
      <t xml:space="preserve">IBS(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</si>
  <si>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IBS(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</si>
  <si>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t xml:space="preserve">간접공사비 소계</t>
  </si>
  <si>
    <t xml:space="preserve">판매비</t>
  </si>
  <si>
    <r>
      <rPr>
        <sz val="9"/>
        <color rgb="FF000000"/>
        <rFont val="Arial"/>
        <family val="0"/>
        <charset val="1"/>
      </rPr>
      <t xml:space="preserve">M/H </t>
    </r>
    <r>
      <rPr>
        <sz val="9"/>
        <color rgb="FF000000"/>
        <rFont val="WenQuanYi Zen Hei"/>
        <family val="2"/>
      </rPr>
      <t xml:space="preserve">건립</t>
    </r>
  </si>
  <si>
    <r>
      <rPr>
        <sz val="9"/>
        <color rgb="FF000000"/>
        <rFont val="Arial"/>
        <family val="0"/>
        <charset val="1"/>
      </rPr>
      <t xml:space="preserve">M/H</t>
    </r>
    <r>
      <rPr>
        <sz val="9"/>
        <color rgb="FF000000"/>
        <rFont val="WenQuanYi Zen Hei"/>
        <family val="2"/>
      </rPr>
      <t xml:space="preserve">임차료</t>
    </r>
  </si>
  <si>
    <t xml:space="preserve">월 임차료</t>
  </si>
  <si>
    <r>
      <rPr>
        <sz val="9"/>
        <color rgb="FF000000"/>
        <rFont val="Arial"/>
        <family val="0"/>
        <charset val="1"/>
      </rPr>
      <t xml:space="preserve">M/H</t>
    </r>
    <r>
      <rPr>
        <sz val="9"/>
        <color rgb="FF000000"/>
        <rFont val="WenQuanYi Zen Hei"/>
        <family val="2"/>
      </rPr>
      <t xml:space="preserve">운영비</t>
    </r>
  </si>
  <si>
    <t xml:space="preserve">월 운영비</t>
  </si>
  <si>
    <t xml:space="preserve">광고홍보비</t>
  </si>
  <si>
    <t xml:space="preserve">판매비용 소계</t>
  </si>
  <si>
    <t xml:space="preserve">부대비용</t>
  </si>
  <si>
    <t xml:space="preserve">보존등기비</t>
  </si>
  <si>
    <t xml:space="preserve">과세표준</t>
  </si>
  <si>
    <r>
      <rPr>
        <sz val="9"/>
        <color rgb="FF000000"/>
        <rFont val="WenQuanYi Zen Hei"/>
        <family val="2"/>
      </rPr>
      <t xml:space="preserve">세율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평균</t>
    </r>
    <r>
      <rPr>
        <sz val="9"/>
        <color rgb="FF000000"/>
        <rFont val="Arial"/>
        <family val="0"/>
        <charset val="1"/>
      </rPr>
      <t xml:space="preserve">)</t>
    </r>
  </si>
  <si>
    <t xml:space="preserve">기타부대비용</t>
  </si>
  <si>
    <t xml:space="preserve">부대비용 소계</t>
  </si>
  <si>
    <t xml:space="preserve">건설원가 합계</t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</si>
  <si>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</si>
  <si>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t xml:space="preserve">Refer to CF Sheet (Macro)</t>
  </si>
  <si>
    <r>
      <rPr>
        <sz val="9"/>
        <color rgb="FF7F7F7F"/>
        <rFont val="Arial"/>
        <family val="0"/>
        <charset val="1"/>
      </rPr>
      <t xml:space="preserve">CF </t>
    </r>
    <r>
      <rPr>
        <sz val="9"/>
        <color rgb="FF7F7F7F"/>
        <rFont val="WenQuanYi Zen Hei"/>
        <family val="2"/>
      </rPr>
      <t xml:space="preserve">계산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</si>
  <si>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</si>
  <si>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</si>
  <si>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미인출수수료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</si>
  <si>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미인출수수료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</si>
  <si>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미인출수수료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</si>
  <si>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</si>
  <si>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</si>
  <si>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</si>
  <si>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t xml:space="preserve">금융비용 합계</t>
  </si>
  <si>
    <r>
      <rPr>
        <sz val="9"/>
        <color rgb="FF000000"/>
        <rFont val="WenQuanYi Zen Hei"/>
        <family val="2"/>
      </rPr>
      <t xml:space="preserve">자산관리 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운영보수</t>
    </r>
    <r>
      <rPr>
        <sz val="9"/>
        <color rgb="FF000000"/>
        <rFont val="Arial"/>
        <family val="0"/>
        <charset val="1"/>
      </rPr>
      <t xml:space="preserve">)</t>
    </r>
  </si>
  <si>
    <t xml:space="preserve">연 수수료</t>
  </si>
  <si>
    <t xml:space="preserve">개발기간</t>
  </si>
  <si>
    <t xml:space="preserve">개발기간 균등</t>
  </si>
  <si>
    <r>
      <rPr>
        <sz val="9"/>
        <color rgb="FF000000"/>
        <rFont val="WenQuanYi Zen Hei"/>
        <family val="2"/>
      </rPr>
      <t xml:space="preserve">자산관리 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매입보수</t>
    </r>
    <r>
      <rPr>
        <sz val="9"/>
        <color rgb="FF000000"/>
        <rFont val="Arial"/>
        <family val="0"/>
        <charset val="1"/>
      </rPr>
      <t xml:space="preserve">)</t>
    </r>
  </si>
  <si>
    <t xml:space="preserve">토지매입금액</t>
  </si>
  <si>
    <t xml:space="preserve">자산보관수수료</t>
  </si>
  <si>
    <t xml:space="preserve">사무수탁수수료</t>
  </si>
  <si>
    <t xml:space="preserve">회계감사수수료</t>
  </si>
  <si>
    <r>
      <rPr>
        <sz val="9"/>
        <color rgb="FF000000"/>
        <rFont val="WenQuanYi Zen Hei"/>
        <family val="2"/>
      </rPr>
      <t xml:space="preserve">회계기수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개발기간</t>
    </r>
    <r>
      <rPr>
        <sz val="9"/>
        <color rgb="FF000000"/>
        <rFont val="Arial"/>
        <family val="0"/>
        <charset val="1"/>
      </rPr>
      <t xml:space="preserve">)</t>
    </r>
  </si>
  <si>
    <t xml:space="preserve">리츠일반관리비</t>
  </si>
  <si>
    <t xml:space="preserve">등록면허세 등</t>
  </si>
  <si>
    <t xml:space="preserve">자본금</t>
  </si>
  <si>
    <t xml:space="preserve">설립일</t>
  </si>
  <si>
    <t xml:space="preserve">각종실사수수료</t>
  </si>
  <si>
    <t xml:space="preserve">리츠운용비 합계</t>
  </si>
  <si>
    <t xml:space="preserve">개발기간 사업비 합계</t>
  </si>
  <si>
    <t xml:space="preserve">운영기간 리츠운용비 가정</t>
  </si>
  <si>
    <t xml:space="preserve">비용항목</t>
  </si>
  <si>
    <t xml:space="preserve">주요 변수</t>
  </si>
  <si>
    <r>
      <rPr>
        <sz val="9"/>
        <color rgb="FF000000"/>
        <rFont val="WenQuanYi Zen Hei"/>
        <family val="2"/>
      </rPr>
      <t xml:space="preserve">연 수수료 </t>
    </r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WenQuanYi Zen Hei"/>
        <family val="2"/>
      </rPr>
      <t xml:space="preserve">리츠운용기간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</si>
  <si>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자산관리 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매각보수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</si>
  <si>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매각가치 </t>
    </r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WenQuanYi Zen Hei"/>
        <family val="2"/>
      </rPr>
      <t xml:space="preserve">요율</t>
    </r>
  </si>
  <si>
    <t xml:space="preserve">리츠운용비 소계</t>
  </si>
  <si>
    <r>
      <rPr>
        <sz val="9"/>
        <color rgb="FF000000"/>
        <rFont val="WenQuanYi Zen Hei"/>
        <family val="2"/>
      </rPr>
      <t xml:space="preserve">월 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매각보수 제외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공제후</t>
    </r>
    <r>
      <rPr>
        <sz val="9"/>
        <color rgb="FF000000"/>
        <rFont val="Arial"/>
        <family val="0"/>
        <charset val="1"/>
      </rPr>
      <t xml:space="preserve">)</t>
    </r>
  </si>
  <si>
    <t xml:space="preserve">재원조달 가정</t>
  </si>
  <si>
    <t xml:space="preserve">재원조달 기본구조</t>
  </si>
  <si>
    <t xml:space="preserve">총사업비</t>
  </si>
  <si>
    <r>
      <rPr>
        <sz val="9"/>
        <color rgb="FF000000"/>
        <rFont val="WenQuanYi Zen Hei"/>
        <family val="2"/>
      </rPr>
      <t xml:space="preserve">공사비의 </t>
    </r>
    <r>
      <rPr>
        <sz val="9"/>
        <color rgb="FF000000"/>
        <rFont val="Arial"/>
        <family val="0"/>
        <charset val="1"/>
      </rPr>
      <t xml:space="preserve">10%(</t>
    </r>
    <r>
      <rPr>
        <sz val="9"/>
        <color rgb="FF000000"/>
        <rFont val="WenQuanYi Zen Hei"/>
        <family val="2"/>
      </rPr>
      <t xml:space="preserve">차감</t>
    </r>
    <r>
      <rPr>
        <sz val="9"/>
        <color rgb="FF000000"/>
        <rFont val="Arial"/>
        <family val="0"/>
        <charset val="1"/>
      </rPr>
      <t xml:space="preserve">)</t>
    </r>
  </si>
  <si>
    <t xml:space="preserve">재원조달요구액</t>
  </si>
  <si>
    <t xml:space="preserve">재원조달 금액 및 비율</t>
  </si>
  <si>
    <t xml:space="preserve">종류별 비중</t>
  </si>
  <si>
    <r>
      <rPr>
        <b val="true"/>
        <sz val="9"/>
        <color rgb="FFFFFFFF"/>
        <rFont val="WenQuanYi Zen Hei"/>
        <family val="2"/>
      </rPr>
      <t xml:space="preserve">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</si>
  <si>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비율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사업비 대비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</si>
  <si>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재원조달 요구액</t>
  </si>
  <si>
    <t xml:space="preserve">자기자본</t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</si>
  <si>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(1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</si>
  <si>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(2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</si>
  <si>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(3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</si>
  <si>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(4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</si>
  <si>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(5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</si>
  <si>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</si>
  <si>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(1)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</si>
  <si>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(2)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</si>
  <si>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(3)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</si>
  <si>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(4)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</si>
  <si>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(5)</t>
    </r>
  </si>
  <si>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</si>
  <si>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타인자본</t>
  </si>
  <si>
    <r>
      <rPr>
        <sz val="9"/>
        <color rgb="FF000000"/>
        <rFont val="WenQuanYi Zen Hei"/>
        <family val="2"/>
      </rPr>
      <t xml:space="preserve">선순위대출</t>
    </r>
    <r>
      <rPr>
        <sz val="9"/>
        <color rgb="FF000000"/>
        <rFont val="Arial"/>
        <family val="0"/>
        <charset val="1"/>
      </rPr>
      <t xml:space="preserve">(Tr.A)</t>
    </r>
  </si>
  <si>
    <r>
      <rPr>
        <sz val="9"/>
        <color rgb="FF000000"/>
        <rFont val="WenQuanYi Zen Hei"/>
        <family val="2"/>
      </rPr>
      <t xml:space="preserve">후순위대출</t>
    </r>
    <r>
      <rPr>
        <sz val="9"/>
        <color rgb="FF000000"/>
        <rFont val="Arial"/>
        <family val="0"/>
        <charset val="1"/>
      </rPr>
      <t xml:space="preserve">(Tr.B)</t>
    </r>
  </si>
  <si>
    <r>
      <rPr>
        <sz val="9"/>
        <color rgb="FF000000"/>
        <rFont val="WenQuanYi Zen Hei"/>
        <family val="2"/>
      </rPr>
      <t xml:space="preserve">후순위대출</t>
    </r>
    <r>
      <rPr>
        <sz val="9"/>
        <color rgb="FF000000"/>
        <rFont val="Arial"/>
        <family val="0"/>
        <charset val="1"/>
      </rPr>
      <t xml:space="preserve">(Tr.C)</t>
    </r>
  </si>
  <si>
    <r>
      <rPr>
        <sz val="9"/>
        <color rgb="FF000000"/>
        <rFont val="WenQuanYi Zen Hei"/>
        <family val="2"/>
      </rPr>
      <t xml:space="preserve">총사업비 대비 </t>
    </r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비율</t>
    </r>
  </si>
  <si>
    <t xml:space="preserve">우선주 비중</t>
  </si>
  <si>
    <t xml:space="preserve">보통주 비중</t>
  </si>
  <si>
    <t xml:space="preserve">Equity</t>
  </si>
  <si>
    <t xml:space="preserve">투자자</t>
  </si>
  <si>
    <t xml:space="preserve">금액</t>
  </si>
  <si>
    <t xml:space="preserve">투자자별 투입시기</t>
  </si>
  <si>
    <t xml:space="preserve">배당률</t>
  </si>
  <si>
    <t xml:space="preserve">보통주</t>
  </si>
  <si>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</si>
  <si>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우선주</t>
  </si>
  <si>
    <t xml:space="preserve">준공시점 증자</t>
  </si>
  <si>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</si>
  <si>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합계</t>
    </r>
    <r>
      <rPr>
        <b val="true"/>
        <sz val="9"/>
        <color rgb="FF000000"/>
        <rFont val="Arial"/>
        <family val="0"/>
        <charset val="1"/>
      </rPr>
      <t xml:space="preserve">(Equity)</t>
    </r>
  </si>
  <si>
    <t xml:space="preserve">우선주 가중평균 배당률</t>
  </si>
  <si>
    <r>
      <rPr>
        <sz val="9"/>
        <color rgb="FF000000"/>
        <rFont val="WenQuanYi Zen Hei"/>
        <family val="2"/>
      </rPr>
      <t xml:space="preserve">우선주 월 배당률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복리 환산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</si>
  <si>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※ 미지급 배당은 누적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복리로 이월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WenQuanYi Zen Hei"/>
        <family val="2"/>
      </rPr>
      <t xml:space="preserve">우선주 원금은 청산시 상환</t>
    </r>
  </si>
  <si>
    <t xml:space="preserve">PF</t>
  </si>
  <si>
    <t xml:space="preserve">조달시작시점</t>
  </si>
  <si>
    <t xml:space="preserve">조달시점</t>
  </si>
  <si>
    <t xml:space="preserve">총한도</t>
  </si>
  <si>
    <r>
      <rPr>
        <b val="true"/>
        <sz val="9"/>
        <color rgb="FFFFFFFF"/>
        <rFont val="WenQuanYi Zen Hei"/>
        <family val="2"/>
      </rPr>
      <t xml:space="preserve">차입금액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최대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</si>
  <si>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조달비율</t>
  </si>
  <si>
    <t xml:space="preserve">LTV</t>
  </si>
  <si>
    <t xml:space="preserve">만기</t>
  </si>
  <si>
    <t xml:space="preserve">상환방법</t>
  </si>
  <si>
    <t xml:space="preserve">취급수수료 등</t>
  </si>
  <si>
    <t xml:space="preserve">금리</t>
  </si>
  <si>
    <t xml:space="preserve">All-in</t>
  </si>
  <si>
    <t xml:space="preserve">이자지급주기</t>
  </si>
  <si>
    <t xml:space="preserve">LTC</t>
  </si>
  <si>
    <t xml:space="preserve">미인출수수료</t>
  </si>
  <si>
    <r>
      <rPr>
        <sz val="9"/>
        <color rgb="FF000000"/>
        <rFont val="Arial"/>
        <family val="0"/>
        <charset val="1"/>
      </rPr>
      <t xml:space="preserve">Tr.A(</t>
    </r>
    <r>
      <rPr>
        <sz val="9"/>
        <color rgb="FF000000"/>
        <rFont val="WenQuanYi Zen Hei"/>
        <family val="2"/>
      </rPr>
      <t xml:space="preserve">한도</t>
    </r>
    <r>
      <rPr>
        <sz val="9"/>
        <color rgb="FF000000"/>
        <rFont val="Arial"/>
        <family val="0"/>
        <charset val="1"/>
      </rPr>
      <t xml:space="preserve">)</t>
    </r>
  </si>
  <si>
    <t xml:space="preserve">Capital call</t>
  </si>
  <si>
    <t xml:space="preserve">만기일시상환</t>
  </si>
  <si>
    <r>
      <rPr>
        <sz val="9"/>
        <color rgb="FF0000FF"/>
        <rFont val="Arial"/>
        <family val="0"/>
        <charset val="1"/>
      </rPr>
      <t xml:space="preserve">1</t>
    </r>
    <r>
      <rPr>
        <sz val="9"/>
        <color rgb="FF0000FF"/>
        <rFont val="WenQuanYi Zen Hei"/>
        <family val="2"/>
      </rPr>
      <t xml:space="preserve">개월마다</t>
    </r>
  </si>
  <si>
    <r>
      <rPr>
        <sz val="9"/>
        <color rgb="FF000000"/>
        <rFont val="Arial"/>
        <family val="0"/>
        <charset val="1"/>
      </rPr>
      <t xml:space="preserve">Tr.B(</t>
    </r>
    <r>
      <rPr>
        <sz val="9"/>
        <color rgb="FF000000"/>
        <rFont val="WenQuanYi Zen Hei"/>
        <family val="2"/>
      </rPr>
      <t xml:space="preserve">한도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</si>
  <si>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Tr.C(</t>
    </r>
    <r>
      <rPr>
        <sz val="9"/>
        <color rgb="FF000000"/>
        <rFont val="WenQuanYi Zen Hei"/>
        <family val="2"/>
      </rPr>
      <t xml:space="preserve">한도</t>
    </r>
    <r>
      <rPr>
        <sz val="9"/>
        <color rgb="FF000000"/>
        <rFont val="Arial"/>
        <family val="0"/>
        <charset val="1"/>
      </rPr>
      <t xml:space="preserve">)</t>
    </r>
  </si>
  <si>
    <t xml:space="preserve">준공후 담보대출</t>
  </si>
  <si>
    <t xml:space="preserve">시설</t>
  </si>
  <si>
    <t xml:space="preserve">감정가</t>
  </si>
  <si>
    <t xml:space="preserve">차입금액</t>
  </si>
  <si>
    <r>
      <rPr>
        <b val="true"/>
        <sz val="9"/>
        <color rgb="FFFFFFFF"/>
        <rFont val="WenQuanYi Zen Hei"/>
        <family val="2"/>
      </rPr>
      <t xml:space="preserve">준공시점 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차감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</si>
  <si>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최종차입금액</t>
  </si>
  <si>
    <t xml:space="preserve">증자 필요액</t>
  </si>
  <si>
    <r>
      <rPr>
        <sz val="9"/>
        <color rgb="FF000000"/>
        <rFont val="WenQuanYi Zen Hei"/>
        <family val="2"/>
      </rPr>
      <t xml:space="preserve">기존 </t>
    </r>
    <r>
      <rPr>
        <sz val="9"/>
        <color rgb="FF000000"/>
        <rFont val="Arial"/>
        <family val="0"/>
        <charset val="1"/>
      </rPr>
      <t xml:space="preserve">Equity</t>
    </r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</si>
  <si>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필요액</t>
    </r>
  </si>
  <si>
    <r>
      <rPr>
        <sz val="9"/>
        <color rgb="FF000000"/>
        <rFont val="Arial"/>
        <family val="0"/>
        <charset val="1"/>
      </rPr>
      <t xml:space="preserve">Tr.A(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</si>
  <si>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</si>
  <si>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)</t>
    </r>
  </si>
  <si>
    <t xml:space="preserve">담보대출 합계</t>
  </si>
  <si>
    <r>
      <rPr>
        <sz val="9"/>
        <color rgb="FF000000"/>
        <rFont val="WenQuanYi Zen Hei"/>
        <family val="2"/>
      </rPr>
      <t xml:space="preserve">연 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합계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</si>
  <si>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합계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</si>
  <si>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만기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처분일</t>
    </r>
    <r>
      <rPr>
        <sz val="9"/>
        <color rgb="FF000000"/>
        <rFont val="Arial"/>
        <family val="0"/>
        <charset val="1"/>
      </rPr>
      <t xml:space="preserve">)</t>
    </r>
  </si>
  <si>
    <t xml:space="preserve">주주대여금</t>
  </si>
  <si>
    <r>
      <rPr>
        <b val="true"/>
        <sz val="9"/>
        <color rgb="FFFFFFFF"/>
        <rFont val="WenQuanYi Zen Hei"/>
        <family val="2"/>
      </rPr>
      <t xml:space="preserve">조달</t>
    </r>
    <r>
      <rPr>
        <b val="true"/>
        <sz val="9"/>
        <color rgb="FFFFFFFF"/>
        <rFont val="Arial"/>
        <family val="0"/>
        <charset val="1"/>
      </rPr>
      <t xml:space="preserve">Key</t>
    </r>
  </si>
  <si>
    <r>
      <rPr>
        <b val="true"/>
        <sz val="9"/>
        <color rgb="FFFFFFFF"/>
        <rFont val="WenQuanYi Zen Hei"/>
        <family val="2"/>
      </rPr>
      <t xml:space="preserve">만기</t>
    </r>
    <r>
      <rPr>
        <b val="true"/>
        <sz val="9"/>
        <color rgb="FFFFFFFF"/>
        <rFont val="Arial"/>
        <family val="0"/>
        <charset val="1"/>
      </rPr>
      <t xml:space="preserve">Key</t>
    </r>
  </si>
  <si>
    <r>
      <rPr>
        <sz val="9"/>
        <color rgb="FF000000"/>
        <rFont val="WenQuanYi Zen Hei"/>
        <family val="2"/>
      </rPr>
      <t xml:space="preserve">주주대여금</t>
    </r>
    <r>
      <rPr>
        <sz val="9"/>
        <color rgb="FF000000"/>
        <rFont val="Arial"/>
        <family val="0"/>
        <charset val="1"/>
      </rPr>
      <t xml:space="preserve">(1)</t>
    </r>
  </si>
  <si>
    <r>
      <rPr>
        <sz val="9"/>
        <color rgb="FF000000"/>
        <rFont val="WenQuanYi Zen Hei"/>
        <family val="2"/>
      </rPr>
      <t xml:space="preserve">주주대여금</t>
    </r>
    <r>
      <rPr>
        <sz val="9"/>
        <color rgb="FF000000"/>
        <rFont val="Arial"/>
        <family val="0"/>
        <charset val="1"/>
      </rPr>
      <t xml:space="preserve">(2)</t>
    </r>
  </si>
  <si>
    <r>
      <rPr>
        <sz val="9"/>
        <color rgb="FF000000"/>
        <rFont val="WenQuanYi Zen Hei"/>
        <family val="2"/>
      </rPr>
      <t xml:space="preserve">주주대여금</t>
    </r>
    <r>
      <rPr>
        <sz val="9"/>
        <color rgb="FF000000"/>
        <rFont val="Arial"/>
        <family val="0"/>
        <charset val="1"/>
      </rPr>
      <t xml:space="preserve">(3)</t>
    </r>
  </si>
  <si>
    <t xml:space="preserve">※ 만기가 청산일 이후인 대여금은 청산일에 일괄 상환되는 것으로 처리</t>
  </si>
  <si>
    <t xml:space="preserve">기타가정</t>
  </si>
  <si>
    <t xml:space="preserve">최소보유현금</t>
  </si>
  <si>
    <t xml:space="preserve">건물 내용연수</t>
  </si>
  <si>
    <t xml:space="preserve">years</t>
  </si>
  <si>
    <t xml:space="preserve">보유현금 이자율</t>
  </si>
  <si>
    <t xml:space="preserve">토지 계약금 비율</t>
  </si>
  <si>
    <r>
      <rPr>
        <sz val="9"/>
        <color rgb="FF000000"/>
        <rFont val="Arial"/>
        <family val="0"/>
        <charset val="1"/>
      </rPr>
      <t xml:space="preserve">VAT </t>
    </r>
    <r>
      <rPr>
        <sz val="9"/>
        <color rgb="FF000000"/>
        <rFont val="WenQuanYi Zen Hei"/>
        <family val="2"/>
      </rPr>
      <t xml:space="preserve">세율</t>
    </r>
  </si>
  <si>
    <r>
      <rPr>
        <i val="true"/>
        <sz val="9"/>
        <color rgb="FF7F7F7F"/>
        <rFont val="WenQuanYi Zen Hei"/>
        <family val="2"/>
      </rPr>
      <t xml:space="preserve">※ 금융비용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등록면허세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자본금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는 사업비↔재원조달 순환구조 → </t>
    </r>
    <r>
      <rPr>
        <i val="true"/>
        <sz val="9"/>
        <color rgb="FF7F7F7F"/>
        <rFont val="Arial"/>
        <family val="0"/>
        <charset val="1"/>
      </rPr>
      <t xml:space="preserve">Copy(</t>
    </r>
    <r>
      <rPr>
        <i val="true"/>
        <sz val="9"/>
        <color rgb="FF7F7F7F"/>
        <rFont val="WenQuanYi Zen Hei"/>
        <family val="2"/>
      </rPr>
      <t xml:space="preserve">계산값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를 </t>
    </r>
    <r>
      <rPr>
        <i val="true"/>
        <sz val="9"/>
        <color rgb="FF7F7F7F"/>
        <rFont val="Arial"/>
        <family val="0"/>
        <charset val="1"/>
      </rPr>
      <t xml:space="preserve">Paste(</t>
    </r>
    <r>
      <rPr>
        <i val="true"/>
        <sz val="9"/>
        <color rgb="FF7F7F7F"/>
        <rFont val="WenQuanYi Zen Hei"/>
        <family val="2"/>
      </rPr>
      <t xml:space="preserve">입력값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로 붙여넣어 수렴 </t>
    </r>
    <r>
      <rPr>
        <i val="true"/>
        <sz val="9"/>
        <color rgb="FF7F7F7F"/>
        <rFont val="Arial"/>
        <family val="0"/>
        <charset val="1"/>
      </rPr>
      <t xml:space="preserve">(Macro_VBA </t>
    </r>
    <r>
      <rPr>
        <i val="true"/>
        <sz val="9"/>
        <color rgb="FF7F7F7F"/>
        <rFont val="WenQuanYi Zen Hei"/>
        <family val="2"/>
      </rPr>
      <t xml:space="preserve">시트 참고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</si>
  <si>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Copy(</t>
    </r>
    <r>
      <rPr>
        <b val="true"/>
        <sz val="9"/>
        <color rgb="FFFFFFFF"/>
        <rFont val="WenQuanYi Zen Hei"/>
        <family val="2"/>
      </rPr>
      <t xml:space="preserve">계산값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</si>
  <si>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Paste(</t>
    </r>
    <r>
      <rPr>
        <b val="true"/>
        <sz val="9"/>
        <color rgb="FFFFFFFF"/>
        <rFont val="WenQuanYi Zen Hei"/>
        <family val="2"/>
      </rPr>
      <t xml:space="preserve">입력값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</si>
  <si>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Difference</t>
  </si>
  <si>
    <r>
      <rPr>
        <b val="true"/>
        <i val="true"/>
        <sz val="9"/>
        <color rgb="FFFFFFFF"/>
        <rFont val="WenQuanYi Zen Hei"/>
        <family val="2"/>
      </rPr>
      <t xml:space="preserve">용도별 </t>
    </r>
    <r>
      <rPr>
        <b val="true"/>
        <i val="true"/>
        <sz val="9"/>
        <color rgb="FFFFFFFF"/>
        <rFont val="Arial"/>
        <family val="0"/>
        <charset val="1"/>
      </rPr>
      <t xml:space="preserve">Equity </t>
    </r>
    <r>
      <rPr>
        <b val="true"/>
        <i val="true"/>
        <sz val="9"/>
        <color rgb="FFFFFFFF"/>
        <rFont val="WenQuanYi Zen Hei"/>
        <family val="2"/>
      </rPr>
      <t xml:space="preserve">및 </t>
    </r>
    <r>
      <rPr>
        <b val="true"/>
        <i val="true"/>
        <sz val="9"/>
        <color rgb="FFFFFFFF"/>
        <rFont val="Arial"/>
        <family val="0"/>
        <charset val="1"/>
      </rPr>
      <t xml:space="preserve">PF </t>
    </r>
    <r>
      <rPr>
        <b val="true"/>
        <i val="true"/>
        <sz val="9"/>
        <color rgb="FFFFFFFF"/>
        <rFont val="WenQuanYi Zen Hei"/>
        <family val="2"/>
      </rPr>
      <t xml:space="preserve">배분</t>
    </r>
  </si>
  <si>
    <r>
      <rPr>
        <b val="true"/>
        <sz val="9"/>
        <color rgb="FFFFFFFF"/>
        <rFont val="Arial"/>
        <family val="0"/>
        <charset val="1"/>
      </rPr>
      <t xml:space="preserve">Equity: </t>
    </r>
    <r>
      <rPr>
        <b val="true"/>
        <sz val="9"/>
        <color rgb="FFFFFFFF"/>
        <rFont val="WenQuanYi Zen Hei"/>
        <family val="2"/>
      </rPr>
      <t xml:space="preserve">시설별 배분비율 직접 입력 </t>
    </r>
    <r>
      <rPr>
        <b val="true"/>
        <sz val="9"/>
        <color rgb="FFFFFFFF"/>
        <rFont val="Arial"/>
        <family val="0"/>
        <charset val="1"/>
      </rPr>
      <t xml:space="preserve">/ PF: </t>
    </r>
    <r>
      <rPr>
        <b val="true"/>
        <sz val="9"/>
        <color rgb="FFFFFFFF"/>
        <rFont val="WenQuanYi Zen Hei"/>
        <family val="2"/>
      </rPr>
      <t xml:space="preserve">보증금 차감 사업비에서 </t>
    </r>
    <r>
      <rPr>
        <b val="true"/>
        <sz val="9"/>
        <color rgb="FFFFFFFF"/>
        <rFont val="Arial"/>
        <family val="0"/>
        <charset val="1"/>
      </rPr>
      <t xml:space="preserve">Equity</t>
    </r>
    <r>
      <rPr>
        <b val="true"/>
        <sz val="9"/>
        <color rgb="FFFFFFFF"/>
        <rFont val="WenQuanYi Zen Hei"/>
        <family val="2"/>
      </rPr>
      <t xml:space="preserve">를 뺀 잔여액 비중으로 배분</t>
    </r>
  </si>
  <si>
    <t xml:space="preserve">최종 사업비</t>
  </si>
  <si>
    <r>
      <rPr>
        <sz val="9"/>
        <color rgb="FF000000"/>
        <rFont val="WenQuanYi Zen Hei"/>
        <family val="2"/>
      </rPr>
      <t xml:space="preserve">임대보증금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준공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</si>
  <si>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차감 사업비</t>
  </si>
  <si>
    <t xml:space="preserve">배분비율</t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</si>
  <si>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배분비율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입력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</si>
  <si>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Equity </t>
    </r>
    <r>
      <rPr>
        <b val="true"/>
        <sz val="9"/>
        <color rgb="FF000000"/>
        <rFont val="WenQuanYi Zen Hei"/>
        <family val="2"/>
      </rPr>
      <t xml:space="preserve">배분액</t>
    </r>
  </si>
  <si>
    <r>
      <rPr>
        <sz val="9"/>
        <color rgb="FF000000"/>
        <rFont val="Arial"/>
        <family val="0"/>
        <charset val="1"/>
      </rPr>
      <t xml:space="preserve"> Equity </t>
    </r>
    <r>
      <rPr>
        <sz val="9"/>
        <color rgb="FF000000"/>
        <rFont val="WenQuanYi Zen Hei"/>
        <family val="2"/>
      </rPr>
      <t xml:space="preserve">총액</t>
    </r>
  </si>
  <si>
    <r>
      <rPr>
        <sz val="9"/>
        <color rgb="FF000000"/>
        <rFont val="WenQuanYi Zen Hei"/>
        <family val="2"/>
      </rPr>
      <t xml:space="preserve"> 검증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배분액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WenQuanYi Zen Hei"/>
        <family val="2"/>
      </rPr>
      <t xml:space="preserve">총액</t>
    </r>
    <r>
      <rPr>
        <sz val="9"/>
        <color rgb="FF000000"/>
        <rFont val="Arial"/>
        <family val="0"/>
        <charset val="1"/>
      </rPr>
      <t xml:space="preserve">)</t>
    </r>
  </si>
  <si>
    <t xml:space="preserve"> 우선주</t>
  </si>
  <si>
    <t xml:space="preserve"> 보통주</t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</si>
  <si>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배분기준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잔여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</si>
  <si>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배분비율</t>
    </r>
  </si>
  <si>
    <r>
      <rPr>
        <b val="true"/>
        <sz val="9"/>
        <color rgb="FF000000"/>
        <rFont val="Arial"/>
        <family val="0"/>
        <charset val="1"/>
      </rPr>
      <t xml:space="preserve">PF(</t>
    </r>
    <r>
      <rPr>
        <b val="true"/>
        <sz val="9"/>
        <color rgb="FF000000"/>
        <rFont val="WenQuanYi Zen Hei"/>
        <family val="2"/>
      </rPr>
      <t xml:space="preserve">개발</t>
    </r>
    <r>
      <rPr>
        <b val="true"/>
        <sz val="9"/>
        <color rgb="FF000000"/>
        <rFont val="Arial"/>
        <family val="0"/>
        <charset val="1"/>
      </rPr>
      <t xml:space="preserve">) </t>
    </r>
    <r>
      <rPr>
        <b val="true"/>
        <sz val="9"/>
        <color rgb="FF000000"/>
        <rFont val="WenQuanYi Zen Hei"/>
        <family val="2"/>
      </rPr>
      <t xml:space="preserve">배분액</t>
    </r>
  </si>
  <si>
    <r>
      <rPr>
        <sz val="9"/>
        <color rgb="FF000000"/>
        <rFont val="Arial"/>
        <family val="0"/>
        <charset val="1"/>
      </rPr>
      <t xml:space="preserve"> Tr.A(</t>
    </r>
    <r>
      <rPr>
        <sz val="9"/>
        <color rgb="FF000000"/>
        <rFont val="WenQuanYi Zen Hei"/>
        <family val="2"/>
      </rPr>
      <t xml:space="preserve">선순위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</si>
  <si>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 Tr.B(</t>
    </r>
    <r>
      <rPr>
        <sz val="9"/>
        <color rgb="FF000000"/>
        <rFont val="WenQuanYi Zen Hei"/>
        <family val="2"/>
      </rPr>
      <t xml:space="preserve">후순위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</si>
  <si>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 Tr.C(</t>
    </r>
    <r>
      <rPr>
        <sz val="9"/>
        <color rgb="FF000000"/>
        <rFont val="WenQuanYi Zen Hei"/>
        <family val="2"/>
      </rPr>
      <t xml:space="preserve">후순위</t>
    </r>
    <r>
      <rPr>
        <sz val="9"/>
        <color rgb="FF000000"/>
        <rFont val="Arial"/>
        <family val="0"/>
        <charset val="1"/>
      </rPr>
      <t xml:space="preserve">)</t>
    </r>
  </si>
  <si>
    <t xml:space="preserve">재원 합계</t>
  </si>
  <si>
    <t xml:space="preserve">사업비 대비 차이</t>
  </si>
  <si>
    <r>
      <rPr>
        <sz val="9"/>
        <color rgb="FF000000"/>
        <rFont val="Arial"/>
        <family val="0"/>
        <charset val="1"/>
      </rPr>
      <t xml:space="preserve"> Equity / </t>
    </r>
    <r>
      <rPr>
        <sz val="9"/>
        <color rgb="FF000000"/>
        <rFont val="WenQuanYi Zen Hei"/>
        <family val="2"/>
      </rPr>
      <t xml:space="preserve">사업비</t>
    </r>
  </si>
  <si>
    <r>
      <rPr>
        <sz val="9"/>
        <color rgb="FF000000"/>
        <rFont val="WenQuanYi Zen Hei"/>
        <family val="2"/>
      </rPr>
      <t xml:space="preserve">담보대출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)</t>
    </r>
  </si>
  <si>
    <t xml:space="preserve">순 리파이낸싱</t>
  </si>
  <si>
    <r>
      <rPr>
        <i val="true"/>
        <sz val="9"/>
        <color rgb="FF7F7F7F"/>
        <rFont val="WenQuanYi Zen Hei"/>
        <family val="2"/>
      </rPr>
      <t xml:space="preserve">※ 사업비 대비 차이</t>
    </r>
    <r>
      <rPr>
        <i val="true"/>
        <sz val="9"/>
        <color rgb="FF7F7F7F"/>
        <rFont val="Arial"/>
        <family val="0"/>
        <charset val="1"/>
      </rPr>
      <t xml:space="preserve">: PF</t>
    </r>
    <r>
      <rPr>
        <i val="true"/>
        <sz val="9"/>
        <color rgb="FF7F7F7F"/>
        <rFont val="WenQuanYi Zen Hei"/>
        <family val="2"/>
      </rPr>
      <t xml:space="preserve">는 </t>
    </r>
    <r>
      <rPr>
        <i val="true"/>
        <sz val="9"/>
        <color rgb="FF7F7F7F"/>
        <rFont val="Arial"/>
        <family val="0"/>
        <charset val="1"/>
      </rPr>
      <t xml:space="preserve">CF</t>
    </r>
    <r>
      <rPr>
        <i val="true"/>
        <sz val="9"/>
        <color rgb="FF7F7F7F"/>
        <rFont val="WenQuanYi Zen Hei"/>
        <family val="2"/>
      </rPr>
      <t xml:space="preserve">상 실제 인출액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보증금 선유입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공사비 유보금 반영</t>
    </r>
    <r>
      <rPr>
        <i val="true"/>
        <sz val="9"/>
        <color rgb="FF7F7F7F"/>
        <rFont val="Arial"/>
        <family val="0"/>
        <charset val="1"/>
      </rPr>
      <t xml:space="preserve">) </t>
    </r>
    <r>
      <rPr>
        <i val="true"/>
        <sz val="9"/>
        <color rgb="FF7F7F7F"/>
        <rFont val="WenQuanYi Zen Hei"/>
        <family val="2"/>
      </rPr>
      <t xml:space="preserve">기준이라 사업비 잔여액과 차이 발생 가능</t>
    </r>
  </si>
  <si>
    <r>
      <rPr>
        <b val="true"/>
        <sz val="11"/>
        <color rgb="FFFFFFFF"/>
        <rFont val="WenQuanYi Zen Hei"/>
        <family val="2"/>
      </rPr>
      <t xml:space="preserve">월별 현금흐름 </t>
    </r>
    <r>
      <rPr>
        <b val="true"/>
        <sz val="11"/>
        <color rgb="FFFFFFFF"/>
        <rFont val="Arial"/>
        <family val="0"/>
        <charset val="1"/>
      </rPr>
      <t xml:space="preserve">(CF)  —  </t>
    </r>
    <r>
      <rPr>
        <b val="true"/>
        <sz val="11"/>
        <color rgb="FFFFFFFF"/>
        <rFont val="WenQuanYi Zen Hei"/>
        <family val="2"/>
      </rPr>
      <t xml:space="preserve">단위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WenQuanYi Zen Hei"/>
        <family val="2"/>
      </rPr>
      <t xml:space="preserve">백만원</t>
    </r>
  </si>
  <si>
    <r>
      <rPr>
        <i val="true"/>
        <sz val="9"/>
        <color rgb="FF7F7F7F"/>
        <rFont val="WenQuanYi Zen Hei"/>
        <family val="2"/>
      </rPr>
      <t xml:space="preserve">※ 월말 기준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모든 입력은 </t>
    </r>
    <r>
      <rPr>
        <i val="true"/>
        <sz val="9"/>
        <color rgb="FF7F7F7F"/>
        <rFont val="Arial"/>
        <family val="0"/>
        <charset val="1"/>
      </rPr>
      <t xml:space="preserve">Assumption </t>
    </r>
    <r>
      <rPr>
        <i val="true"/>
        <sz val="9"/>
        <color rgb="FF7F7F7F"/>
        <rFont val="WenQuanYi Zen Hei"/>
        <family val="2"/>
      </rPr>
      <t xml:space="preserve">시트 연결</t>
    </r>
    <r>
      <rPr>
        <i val="true"/>
        <sz val="9"/>
        <color rgb="FF7F7F7F"/>
        <rFont val="Arial"/>
        <family val="0"/>
        <charset val="1"/>
      </rPr>
      <t xml:space="preserve">. C</t>
    </r>
    <r>
      <rPr>
        <i val="true"/>
        <sz val="9"/>
        <color rgb="FF7F7F7F"/>
        <rFont val="WenQuanYi Zen Hei"/>
        <family val="2"/>
      </rPr>
      <t xml:space="preserve">열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WenQuanYi Zen Hei"/>
        <family val="2"/>
      </rPr>
      <t xml:space="preserve">기간 합계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잔액행은 최대값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WenQuanYi Zen Hei"/>
        <family val="2"/>
      </rPr>
      <t xml:space="preserve">최종값</t>
    </r>
    <r>
      <rPr>
        <i val="true"/>
        <sz val="9"/>
        <color rgb="FF7F7F7F"/>
        <rFont val="Arial"/>
        <family val="0"/>
        <charset val="1"/>
      </rPr>
      <t xml:space="preserve">, IRR</t>
    </r>
    <r>
      <rPr>
        <i val="true"/>
        <sz val="9"/>
        <color rgb="FF7F7F7F"/>
        <rFont val="WenQuanYi Zen Hei"/>
        <family val="2"/>
      </rPr>
      <t xml:space="preserve">행은 연환산 </t>
    </r>
    <r>
      <rPr>
        <i val="true"/>
        <sz val="9"/>
        <color rgb="FF7F7F7F"/>
        <rFont val="Arial"/>
        <family val="0"/>
        <charset val="1"/>
      </rPr>
      <t xml:space="preserve">IRR)</t>
    </r>
  </si>
  <si>
    <t xml:space="preserve">단위</t>
  </si>
  <si>
    <t xml:space="preserve">월말일자</t>
  </si>
  <si>
    <t xml:space="preserve">연도</t>
  </si>
  <si>
    <t xml:space="preserve">월차</t>
  </si>
  <si>
    <r>
      <rPr>
        <sz val="9"/>
        <color rgb="FF000000"/>
        <rFont val="WenQuanYi Zen Hei"/>
        <family val="2"/>
      </rPr>
      <t xml:space="preserve">모델기간 </t>
    </r>
    <r>
      <rPr>
        <sz val="9"/>
        <color rgb="FF000000"/>
        <rFont val="Arial"/>
        <family val="0"/>
        <charset val="1"/>
      </rPr>
      <t xml:space="preserve">Flag</t>
    </r>
  </si>
  <si>
    <r>
      <rPr>
        <sz val="9"/>
        <color rgb="FF000000"/>
        <rFont val="WenQuanYi Zen Hei"/>
        <family val="2"/>
      </rPr>
      <t xml:space="preserve">개발기간 </t>
    </r>
    <r>
      <rPr>
        <sz val="9"/>
        <color rgb="FF000000"/>
        <rFont val="Arial"/>
        <family val="0"/>
        <charset val="1"/>
      </rPr>
      <t xml:space="preserve">Flag(</t>
    </r>
    <r>
      <rPr>
        <sz val="9"/>
        <color rgb="FF000000"/>
        <rFont val="WenQuanYi Zen Hei"/>
        <family val="2"/>
      </rPr>
      <t xml:space="preserve">설립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준공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</si>
  <si>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공사기간 </t>
    </r>
    <r>
      <rPr>
        <sz val="9"/>
        <color rgb="FF000000"/>
        <rFont val="Arial"/>
        <family val="0"/>
        <charset val="1"/>
      </rPr>
      <t xml:space="preserve">Flag</t>
    </r>
  </si>
  <si>
    <t xml:space="preserve">공사 월차</t>
  </si>
  <si>
    <r>
      <rPr>
        <sz val="9"/>
        <color rgb="FF000000"/>
        <rFont val="Arial"/>
        <family val="0"/>
        <charset val="1"/>
      </rPr>
      <t xml:space="preserve">S-curve </t>
    </r>
    <r>
      <rPr>
        <sz val="9"/>
        <color rgb="FF000000"/>
        <rFont val="WenQuanYi Zen Hei"/>
        <family val="2"/>
      </rPr>
      <t xml:space="preserve">집행률</t>
    </r>
  </si>
  <si>
    <r>
      <rPr>
        <sz val="9"/>
        <color rgb="FF000000"/>
        <rFont val="WenQuanYi Zen Hei"/>
        <family val="2"/>
      </rPr>
      <t xml:space="preserve">운영기간 </t>
    </r>
    <r>
      <rPr>
        <sz val="9"/>
        <color rgb="FF000000"/>
        <rFont val="Arial"/>
        <family val="0"/>
        <charset val="1"/>
      </rPr>
      <t xml:space="preserve">Flag</t>
    </r>
  </si>
  <si>
    <t xml:space="preserve">운영 월차</t>
  </si>
  <si>
    <t xml:space="preserve">운영 연차</t>
  </si>
  <si>
    <r>
      <rPr>
        <sz val="9"/>
        <color rgb="FF000000"/>
        <rFont val="WenQuanYi Zen Hei"/>
        <family val="2"/>
      </rPr>
      <t xml:space="preserve">리츠운용기간 </t>
    </r>
    <r>
      <rPr>
        <sz val="9"/>
        <color rgb="FF000000"/>
        <rFont val="Arial"/>
        <family val="0"/>
        <charset val="1"/>
      </rPr>
      <t xml:space="preserve">Flag(</t>
    </r>
    <r>
      <rPr>
        <sz val="9"/>
        <color rgb="FF000000"/>
        <rFont val="WenQuanYi Zen Hei"/>
        <family val="2"/>
      </rPr>
      <t xml:space="preserve">운영개시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청산</t>
    </r>
    <r>
      <rPr>
        <sz val="9"/>
        <color rgb="FF000000"/>
        <rFont val="Arial"/>
        <family val="0"/>
        <charset val="1"/>
      </rPr>
      <t xml:space="preserve">)</t>
    </r>
  </si>
  <si>
    <t xml:space="preserve">일수</t>
  </si>
  <si>
    <t xml:space="preserve">일</t>
  </si>
  <si>
    <r>
      <rPr>
        <sz val="9"/>
        <color rgb="FF000000"/>
        <rFont val="WenQuanYi Zen Hei"/>
        <family val="2"/>
      </rPr>
      <t xml:space="preserve">시니어 레지던스 이용료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임대료</t>
    </r>
  </si>
  <si>
    <r>
      <rPr>
        <sz val="9"/>
        <color rgb="FF000000"/>
        <rFont val="WenQuanYi Zen Hei"/>
        <family val="2"/>
      </rPr>
      <t xml:space="preserve">시니어 추가수입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세대관리비 등</t>
    </r>
    <r>
      <rPr>
        <sz val="9"/>
        <color rgb="FF000000"/>
        <rFont val="Arial"/>
        <family val="0"/>
        <charset val="1"/>
      </rPr>
      <t xml:space="preserve">)</t>
    </r>
  </si>
  <si>
    <t xml:space="preserve">시니어 부대시설 임대료</t>
  </si>
  <si>
    <t xml:space="preserve">레지던스 객실매출</t>
  </si>
  <si>
    <t xml:space="preserve">레지던스 객실외매출</t>
  </si>
  <si>
    <t xml:space="preserve">레지던스 멤버전용 매출</t>
  </si>
  <si>
    <t xml:space="preserve">호텔 객실매출</t>
  </si>
  <si>
    <r>
      <rPr>
        <sz val="9"/>
        <color rgb="FF000000"/>
        <rFont val="WenQuanYi Zen Hei"/>
        <family val="2"/>
      </rPr>
      <t xml:space="preserve">호텔 객실외매출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식음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</si>
  <si>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호텔 객실외매출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기타</t>
    </r>
    <r>
      <rPr>
        <sz val="9"/>
        <color rgb="FF000000"/>
        <rFont val="Arial"/>
        <family val="0"/>
        <charset val="1"/>
      </rPr>
      <t xml:space="preserve">)</t>
    </r>
  </si>
  <si>
    <t xml:space="preserve">오피스 임대료</t>
  </si>
  <si>
    <t xml:space="preserve">메디컬 임대료</t>
  </si>
  <si>
    <r>
      <rPr>
        <sz val="9"/>
        <color rgb="FF000000"/>
        <rFont val="WenQuanYi Zen Hei"/>
        <family val="2"/>
      </rPr>
      <t xml:space="preserve">스파</t>
    </r>
    <r>
      <rPr>
        <sz val="9"/>
        <color rgb="FF000000"/>
        <rFont val="Arial"/>
        <family val="0"/>
        <charset val="1"/>
      </rPr>
      <t xml:space="preserve">2.0 </t>
    </r>
    <r>
      <rPr>
        <sz val="9"/>
        <color rgb="FF000000"/>
        <rFont val="WenQuanYi Zen Hei"/>
        <family val="2"/>
      </rPr>
      <t xml:space="preserve">임대료</t>
    </r>
  </si>
  <si>
    <t xml:space="preserve">판매시설 임대료</t>
  </si>
  <si>
    <t xml:space="preserve">국제학교 임대료</t>
  </si>
  <si>
    <t xml:space="preserve">영어유치원 임대료</t>
  </si>
  <si>
    <t xml:space="preserve">운영수입 합계</t>
  </si>
  <si>
    <t xml:space="preserve">직접운영비용</t>
  </si>
  <si>
    <r>
      <rPr>
        <sz val="9"/>
        <color rgb="FF000000"/>
        <rFont val="WenQuanYi Zen Hei"/>
        <family val="2"/>
      </rPr>
      <t xml:space="preserve">시니어 운영비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소모품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</si>
  <si>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레지던스 운영비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소모품</t>
    </r>
    <r>
      <rPr>
        <sz val="9"/>
        <color rgb="FF000000"/>
        <rFont val="Arial"/>
        <family val="0"/>
        <charset val="1"/>
      </rPr>
      <t xml:space="preserve">)</t>
    </r>
  </si>
  <si>
    <t xml:space="preserve">레지던스 멤버전용 운영비</t>
  </si>
  <si>
    <r>
      <rPr>
        <sz val="9"/>
        <color rgb="FF000000"/>
        <rFont val="WenQuanYi Zen Hei"/>
        <family val="2"/>
      </rPr>
      <t xml:space="preserve">호텔 운영비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소모품</t>
    </r>
    <r>
      <rPr>
        <sz val="9"/>
        <color rgb="FF000000"/>
        <rFont val="Arial"/>
        <family val="0"/>
        <charset val="1"/>
      </rPr>
      <t xml:space="preserve">)</t>
    </r>
  </si>
  <si>
    <t xml:space="preserve">컨벤션 운영비</t>
  </si>
  <si>
    <r>
      <rPr>
        <sz val="9"/>
        <color rgb="FF000000"/>
        <rFont val="WenQuanYi Zen Hei"/>
        <family val="2"/>
      </rPr>
      <t xml:space="preserve">스파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수영장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피트니스 운영비</t>
    </r>
  </si>
  <si>
    <r>
      <rPr>
        <sz val="9"/>
        <color rgb="FF000000"/>
        <rFont val="WenQuanYi Zen Hei"/>
        <family val="2"/>
      </rPr>
      <t xml:space="preserve">파인다이닝</t>
    </r>
    <r>
      <rPr>
        <sz val="9"/>
        <color rgb="FF000000"/>
        <rFont val="Arial"/>
        <family val="0"/>
        <charset val="1"/>
      </rPr>
      <t xml:space="preserve">/ADD </t>
    </r>
    <r>
      <rPr>
        <sz val="9"/>
        <color rgb="FF000000"/>
        <rFont val="WenQuanYi Zen Hei"/>
        <family val="2"/>
      </rPr>
      <t xml:space="preserve">운영비</t>
    </r>
  </si>
  <si>
    <t xml:space="preserve">휴게시설 운영비</t>
  </si>
  <si>
    <r>
      <rPr>
        <sz val="9"/>
        <color rgb="FF000000"/>
        <rFont val="Arial"/>
        <family val="0"/>
        <charset val="1"/>
      </rPr>
      <t xml:space="preserve">BOH </t>
    </r>
    <r>
      <rPr>
        <sz val="9"/>
        <color rgb="FF000000"/>
        <rFont val="WenQuanYi Zen Hei"/>
        <family val="2"/>
      </rPr>
      <t xml:space="preserve">운영비</t>
    </r>
  </si>
  <si>
    <t xml:space="preserve">오피스 리징비용</t>
  </si>
  <si>
    <t xml:space="preserve">오피스 관리비용</t>
  </si>
  <si>
    <t xml:space="preserve">부대시설 운영비</t>
  </si>
  <si>
    <t xml:space="preserve">직접운영비용 합계</t>
  </si>
  <si>
    <r>
      <rPr>
        <b val="true"/>
        <sz val="9"/>
        <color rgb="FFFFFFFF"/>
        <rFont val="WenQuanYi Zen Hei"/>
        <family val="2"/>
      </rPr>
      <t xml:space="preserve">용도별 </t>
    </r>
    <r>
      <rPr>
        <b val="true"/>
        <sz val="9"/>
        <color rgb="FFFFFFFF"/>
        <rFont val="Arial"/>
        <family val="0"/>
        <charset val="1"/>
      </rPr>
      <t xml:space="preserve">NOI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</si>
  <si>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시니어 레지던스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</si>
  <si>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레지던스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</si>
  <si>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호텔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</si>
  <si>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오피스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</si>
  <si>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부대시설</t>
    </r>
  </si>
  <si>
    <r>
      <rPr>
        <b val="true"/>
        <sz val="9"/>
        <color rgb="FF000000"/>
        <rFont val="Arial"/>
        <family val="0"/>
        <charset val="1"/>
      </rPr>
      <t xml:space="preserve">NOI </t>
    </r>
    <r>
      <rPr>
        <b val="true"/>
        <sz val="9"/>
        <color rgb="FF000000"/>
        <rFont val="WenQuanYi Zen Hei"/>
        <family val="2"/>
      </rPr>
      <t xml:space="preserve">합계</t>
    </r>
  </si>
  <si>
    <r>
      <rPr>
        <b val="true"/>
        <sz val="9"/>
        <color rgb="FFFFFFFF"/>
        <rFont val="WenQuanYi Zen Hei"/>
        <family val="2"/>
      </rPr>
      <t xml:space="preserve">기타공통비용 및 리츠운용비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운영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</si>
  <si>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수선비</t>
  </si>
  <si>
    <t xml:space="preserve">보험료</t>
  </si>
  <si>
    <r>
      <rPr>
        <sz val="9"/>
        <color rgb="FF000000"/>
        <rFont val="Arial"/>
        <family val="0"/>
        <charset val="1"/>
      </rPr>
      <t xml:space="preserve">PM </t>
    </r>
    <r>
      <rPr>
        <sz val="9"/>
        <color rgb="FF000000"/>
        <rFont val="WenQuanYi Zen Hei"/>
        <family val="2"/>
      </rPr>
      <t xml:space="preserve">수수료</t>
    </r>
  </si>
  <si>
    <t xml:space="preserve">간주임대료 부가세</t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</si>
  <si>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)</t>
    </r>
  </si>
  <si>
    <t xml:space="preserve">공통비용 합계</t>
  </si>
  <si>
    <r>
      <rPr>
        <b val="true"/>
        <sz val="9"/>
        <color rgb="FF000000"/>
        <rFont val="WenQuanYi Zen Hei"/>
        <family val="2"/>
      </rPr>
      <t xml:space="preserve">운영현금흐름</t>
    </r>
    <r>
      <rPr>
        <b val="true"/>
        <sz val="9"/>
        <color rgb="FF000000"/>
        <rFont val="Arial"/>
        <family val="0"/>
        <charset val="1"/>
      </rPr>
      <t xml:space="preserve">(NOI-</t>
    </r>
    <r>
      <rPr>
        <b val="true"/>
        <sz val="9"/>
        <color rgb="FF000000"/>
        <rFont val="WenQuanYi Zen Hei"/>
        <family val="2"/>
      </rPr>
      <t xml:space="preserve">공통비용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</si>
  <si>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임대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WenQuanYi Zen Hei"/>
        <family val="2"/>
      </rPr>
      <t xml:space="preserve">입주 보증금</t>
    </r>
  </si>
  <si>
    <t xml:space="preserve">시니어 레지던스 보증금 유입</t>
  </si>
  <si>
    <t xml:space="preserve">레지던스 보증금 유입</t>
  </si>
  <si>
    <t xml:space="preserve">호텔 회원보증금 유입</t>
  </si>
  <si>
    <t xml:space="preserve">시니어 부대 임대보증금</t>
  </si>
  <si>
    <t xml:space="preserve">오피스 임대보증금</t>
  </si>
  <si>
    <t xml:space="preserve">부대시설 임대보증금</t>
  </si>
  <si>
    <t xml:space="preserve">보증금 유입 합계</t>
  </si>
  <si>
    <r>
      <rPr>
        <sz val="9"/>
        <color rgb="FF000000"/>
        <rFont val="WenQuanYi Zen Hei"/>
        <family val="2"/>
      </rPr>
      <t xml:space="preserve">보증금 승계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처분시 매수인 인계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</si>
  <si>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잔액</t>
  </si>
  <si>
    <r>
      <rPr>
        <b val="true"/>
        <sz val="9"/>
        <color rgb="FFFFFFFF"/>
        <rFont val="WenQuanYi Zen Hei"/>
        <family val="2"/>
      </rPr>
      <t xml:space="preserve">개발사업비 집행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공제후 순액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</si>
  <si>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토지 계약금</t>
  </si>
  <si>
    <r>
      <rPr>
        <sz val="9"/>
        <color rgb="FF000000"/>
        <rFont val="WenQuanYi Zen Hei"/>
        <family val="2"/>
      </rPr>
      <t xml:space="preserve">토지 잔금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취득세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임차료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등기</t>
    </r>
  </si>
  <si>
    <r>
      <rPr>
        <sz val="9"/>
        <color rgb="FF000000"/>
        <rFont val="WenQuanYi Zen Hei"/>
        <family val="2"/>
      </rPr>
      <t xml:space="preserve">토지보유세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건설기간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</si>
  <si>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직접공사비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유보금 제외</t>
    </r>
    <r>
      <rPr>
        <sz val="9"/>
        <color rgb="FF000000"/>
        <rFont val="Arial"/>
        <family val="0"/>
        <charset val="1"/>
      </rPr>
      <t xml:space="preserve">, S-curve)</t>
    </r>
  </si>
  <si>
    <t xml:space="preserve">공사비 유보금 지급</t>
  </si>
  <si>
    <r>
      <rPr>
        <sz val="9"/>
        <color rgb="FF000000"/>
        <rFont val="WenQuanYi Zen Hei"/>
        <family val="2"/>
      </rPr>
      <t xml:space="preserve">간접공사비</t>
    </r>
    <r>
      <rPr>
        <sz val="9"/>
        <color rgb="FF000000"/>
        <rFont val="Arial"/>
        <family val="0"/>
        <charset val="1"/>
      </rPr>
      <t xml:space="preserve">(S-curve)</t>
    </r>
  </si>
  <si>
    <r>
      <rPr>
        <sz val="9"/>
        <color rgb="FF000000"/>
        <rFont val="WenQuanYi Zen Hei"/>
        <family val="2"/>
      </rPr>
      <t xml:space="preserve">부대비용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보존등기비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</si>
  <si>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등록면허세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실사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예비비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</si>
  <si>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매입보수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</si>
  <si>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개발기간 정기</t>
    </r>
    <r>
      <rPr>
        <sz val="9"/>
        <color rgb="FF000000"/>
        <rFont val="Arial"/>
        <family val="0"/>
        <charset val="1"/>
      </rPr>
      <t xml:space="preserve">)</t>
    </r>
  </si>
  <si>
    <t xml:space="preserve">개발사업비 집행 합계</t>
  </si>
  <si>
    <r>
      <rPr>
        <b val="true"/>
        <sz val="9"/>
        <color rgb="FFFFFFFF"/>
        <rFont val="Arial"/>
        <family val="0"/>
        <charset val="1"/>
      </rPr>
      <t xml:space="preserve">PF (</t>
    </r>
    <r>
      <rPr>
        <b val="true"/>
        <sz val="9"/>
        <color rgb="FFFFFFFF"/>
        <rFont val="WenQuanYi Zen Hei"/>
        <family val="2"/>
      </rPr>
      <t xml:space="preserve">개발기간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</si>
  <si>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취급수수료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</si>
  <si>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취급수수료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</si>
  <si>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취급수수료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</si>
  <si>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이자비용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</si>
  <si>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이자비용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</si>
  <si>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이자비용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</si>
  <si>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미인출수수료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</si>
  <si>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미인출수수료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</si>
  <si>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미인출수수료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</si>
  <si>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금융비용 합계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</si>
  <si>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인출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후순위 우선 인출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</si>
  <si>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인출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</si>
  <si>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인출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</si>
  <si>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인출 합계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</si>
  <si>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상환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</si>
  <si>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상환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</si>
  <si>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상환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</si>
  <si>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상환 합계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</si>
  <si>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잔액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</si>
  <si>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잔액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</si>
  <si>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잔액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</si>
  <si>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잔액 합계</t>
    </r>
  </si>
  <si>
    <t xml:space="preserve">담보대출 인출</t>
  </si>
  <si>
    <t xml:space="preserve">담보대출 취급수수료</t>
  </si>
  <si>
    <t xml:space="preserve">담보대출 이자</t>
  </si>
  <si>
    <t xml:space="preserve">담보대출 상환</t>
  </si>
  <si>
    <t xml:space="preserve">담보대출 잔액</t>
  </si>
  <si>
    <t xml:space="preserve">주주대여금 인출</t>
  </si>
  <si>
    <t xml:space="preserve">주주대여금 이자</t>
  </si>
  <si>
    <t xml:space="preserve">주주대여금 상환</t>
  </si>
  <si>
    <t xml:space="preserve">주주대여금 잔액</t>
  </si>
  <si>
    <r>
      <rPr>
        <b val="true"/>
        <sz val="9"/>
        <color rgb="FFFFFFFF"/>
        <rFont val="Arial"/>
        <family val="0"/>
        <charset val="1"/>
      </rPr>
      <t xml:space="preserve">Equity </t>
    </r>
    <r>
      <rPr>
        <b val="true"/>
        <sz val="9"/>
        <color rgb="FFFFFFFF"/>
        <rFont val="WenQuanYi Zen Hei"/>
        <family val="2"/>
      </rPr>
      <t xml:space="preserve">납입</t>
    </r>
  </si>
  <si>
    <t xml:space="preserve">보통주 납입</t>
  </si>
  <si>
    <t xml:space="preserve">우선주 납입</t>
  </si>
  <si>
    <r>
      <rPr>
        <b val="true"/>
        <sz val="9"/>
        <color rgb="FF000000"/>
        <rFont val="Arial"/>
        <family val="0"/>
        <charset val="1"/>
      </rPr>
      <t xml:space="preserve">Equity </t>
    </r>
    <r>
      <rPr>
        <b val="true"/>
        <sz val="9"/>
        <color rgb="FF000000"/>
        <rFont val="WenQuanYi Zen Hei"/>
        <family val="2"/>
      </rPr>
      <t xml:space="preserve">납입 합계</t>
    </r>
  </si>
  <si>
    <t xml:space="preserve">자산 매각</t>
  </si>
  <si>
    <t xml:space="preserve">매각대금</t>
  </si>
  <si>
    <r>
      <rPr>
        <b val="true"/>
        <sz val="9"/>
        <color rgb="FFFFFFFF"/>
        <rFont val="WenQuanYi Zen Hei"/>
        <family val="2"/>
      </rPr>
      <t xml:space="preserve">현금흐름 </t>
    </r>
    <r>
      <rPr>
        <b val="true"/>
        <sz val="9"/>
        <color rgb="FFFFFFFF"/>
        <rFont val="Arial"/>
        <family val="0"/>
        <charset val="1"/>
      </rPr>
      <t xml:space="preserve">(Cash Waterfall)</t>
    </r>
  </si>
  <si>
    <t xml:space="preserve">기초현금</t>
  </si>
  <si>
    <t xml:space="preserve">보유현금 이자수익</t>
  </si>
  <si>
    <r>
      <rPr>
        <sz val="9"/>
        <color rgb="FF000000"/>
        <rFont val="WenQuanYi Zen Hei"/>
        <family val="2"/>
      </rPr>
      <t xml:space="preserve">유입 합계</t>
    </r>
    <r>
      <rPr>
        <sz val="9"/>
        <color rgb="FF000000"/>
        <rFont val="Arial"/>
        <family val="0"/>
        <charset val="1"/>
      </rPr>
      <t xml:space="preserve">(Equity+</t>
    </r>
    <r>
      <rPr>
        <sz val="9"/>
        <color rgb="FF000000"/>
        <rFont val="WenQuanYi Zen Hei"/>
        <family val="2"/>
      </rPr>
      <t xml:space="preserve">보증금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운영수입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대출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매각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이자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</si>
  <si>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유출 합계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운영비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사업비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금융비용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상환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보증금승계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</si>
  <si>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인출 전 현금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</si>
  <si>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인출 필요액</t>
    </r>
  </si>
  <si>
    <t xml:space="preserve">배당 전 현금</t>
  </si>
  <si>
    <r>
      <rPr>
        <sz val="9"/>
        <color rgb="FF000000"/>
        <rFont val="WenQuanYi Zen Hei"/>
        <family val="2"/>
      </rPr>
      <t xml:space="preserve">배당구분</t>
    </r>
    <r>
      <rPr>
        <sz val="9"/>
        <color rgb="FF000000"/>
        <rFont val="Arial"/>
        <family val="0"/>
        <charset val="1"/>
      </rPr>
      <t xml:space="preserve">(1:</t>
    </r>
    <r>
      <rPr>
        <sz val="9"/>
        <color rgb="FF000000"/>
        <rFont val="WenQuanYi Zen Hei"/>
        <family val="2"/>
      </rPr>
      <t xml:space="preserve">정기</t>
    </r>
    <r>
      <rPr>
        <sz val="9"/>
        <color rgb="FF000000"/>
        <rFont val="Arial"/>
        <family val="0"/>
        <charset val="1"/>
      </rPr>
      <t xml:space="preserve">, 2:</t>
    </r>
    <r>
      <rPr>
        <sz val="9"/>
        <color rgb="FF000000"/>
        <rFont val="WenQuanYi Zen Hei"/>
        <family val="2"/>
      </rPr>
      <t xml:space="preserve">청산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</si>
  <si>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배당가능이익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CF+</t>
    </r>
    <r>
      <rPr>
        <sz val="9"/>
        <color rgb="FF000000"/>
        <rFont val="WenQuanYi Zen Hei"/>
        <family val="2"/>
      </rPr>
      <t xml:space="preserve">이자수익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WenQuanYi Zen Hei"/>
        <family val="2"/>
      </rPr>
      <t xml:space="preserve">대출이자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</si>
  <si>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미배당 이익잔액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기말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</si>
  <si>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배당가능액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분배액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</si>
  <si>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기말현금</t>
  </si>
  <si>
    <r>
      <rPr>
        <b val="true"/>
        <sz val="9"/>
        <color rgb="FFFFFFFF"/>
        <rFont val="WenQuanYi Zen Hei"/>
        <family val="2"/>
      </rPr>
      <t xml:space="preserve">분배 </t>
    </r>
    <r>
      <rPr>
        <b val="true"/>
        <sz val="9"/>
        <color rgb="FFFFFFFF"/>
        <rFont val="Arial"/>
        <family val="0"/>
        <charset val="1"/>
      </rPr>
      <t xml:space="preserve">Waterfall</t>
    </r>
  </si>
  <si>
    <r>
      <rPr>
        <sz val="9"/>
        <color rgb="FF000000"/>
        <rFont val="WenQuanYi Zen Hei"/>
        <family val="2"/>
      </rPr>
      <t xml:space="preserve">우선주 원금 잔액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</si>
  <si>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 미지급배당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</si>
  <si>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 배당 발생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누적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복리</t>
    </r>
    <r>
      <rPr>
        <sz val="9"/>
        <color rgb="FF000000"/>
        <rFont val="Arial"/>
        <family val="0"/>
        <charset val="1"/>
      </rPr>
      <t xml:space="preserve">)</t>
    </r>
  </si>
  <si>
    <t xml:space="preserve">우선주 배당 지급</t>
  </si>
  <si>
    <t xml:space="preserve">우선주 원금 상환</t>
  </si>
  <si>
    <r>
      <rPr>
        <sz val="9"/>
        <color rgb="FF000000"/>
        <rFont val="WenQuanYi Zen Hei"/>
        <family val="2"/>
      </rPr>
      <t xml:space="preserve">우선주 미지급배당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</si>
  <si>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보통주 분배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배당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잔여재산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</si>
  <si>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투자자 현금흐름 및 </t>
    </r>
    <r>
      <rPr>
        <b val="true"/>
        <sz val="9"/>
        <color rgb="FFFFFFFF"/>
        <rFont val="Arial"/>
        <family val="0"/>
        <charset val="1"/>
      </rPr>
      <t xml:space="preserve">IRR (C</t>
    </r>
    <r>
      <rPr>
        <b val="true"/>
        <sz val="9"/>
        <color rgb="FFFFFFFF"/>
        <rFont val="WenQuanYi Zen Hei"/>
        <family val="2"/>
      </rPr>
      <t xml:space="preserve">열 </t>
    </r>
    <r>
      <rPr>
        <b val="true"/>
        <sz val="9"/>
        <color rgb="FFFFFFFF"/>
        <rFont val="Arial"/>
        <family val="0"/>
        <charset val="1"/>
      </rPr>
      <t xml:space="preserve">= </t>
    </r>
    <r>
      <rPr>
        <b val="true"/>
        <sz val="9"/>
        <color rgb="FFFFFFFF"/>
        <rFont val="WenQuanYi Zen Hei"/>
        <family val="2"/>
      </rPr>
      <t xml:space="preserve">연환산 </t>
    </r>
    <r>
      <rPr>
        <b val="true"/>
        <sz val="9"/>
        <color rgb="FFFFFFFF"/>
        <rFont val="Arial"/>
        <family val="0"/>
        <charset val="1"/>
      </rPr>
      <t xml:space="preserve">IRR)</t>
    </r>
  </si>
  <si>
    <r>
      <rPr>
        <b val="true"/>
        <sz val="9"/>
        <color rgb="FFFFFFFF"/>
        <rFont val="WenQuanYi Zen Hei"/>
        <family val="2"/>
      </rPr>
      <t xml:space="preserve">연환산 </t>
    </r>
    <r>
      <rPr>
        <b val="true"/>
        <sz val="9"/>
        <color rgb="FFFFFFFF"/>
        <rFont val="Arial"/>
        <family val="0"/>
        <charset val="1"/>
      </rPr>
      <t xml:space="preserve">IRR</t>
    </r>
  </si>
  <si>
    <r>
      <rPr>
        <sz val="9"/>
        <color rgb="FF000000"/>
        <rFont val="WenQuanYi Zen Hei"/>
        <family val="2"/>
      </rPr>
      <t xml:space="preserve">보통주 </t>
    </r>
    <r>
      <rPr>
        <sz val="9"/>
        <color rgb="FF000000"/>
        <rFont val="Arial"/>
        <family val="0"/>
        <charset val="1"/>
      </rPr>
      <t xml:space="preserve">CF</t>
    </r>
  </si>
  <si>
    <r>
      <rPr>
        <sz val="9"/>
        <color rgb="FF000000"/>
        <rFont val="WenQuanYi Zen Hei"/>
        <family val="2"/>
      </rPr>
      <t xml:space="preserve">우선주 </t>
    </r>
    <r>
      <rPr>
        <sz val="9"/>
        <color rgb="FF000000"/>
        <rFont val="Arial"/>
        <family val="0"/>
        <charset val="1"/>
      </rPr>
      <t xml:space="preserve">CF</t>
    </r>
  </si>
  <si>
    <r>
      <rPr>
        <b val="true"/>
        <sz val="9"/>
        <color rgb="FF000000"/>
        <rFont val="WenQuanYi Zen Hei"/>
        <family val="2"/>
      </rPr>
      <t xml:space="preserve">전체 </t>
    </r>
    <r>
      <rPr>
        <b val="true"/>
        <sz val="9"/>
        <color rgb="FF000000"/>
        <rFont val="Arial"/>
        <family val="0"/>
        <charset val="1"/>
      </rPr>
      <t xml:space="preserve">Equity CF</t>
    </r>
  </si>
  <si>
    <r>
      <rPr>
        <b val="true"/>
        <sz val="11"/>
        <color rgb="FFFFFFFF"/>
        <rFont val="WenQuanYi Zen Hei"/>
        <family val="2"/>
      </rPr>
      <t xml:space="preserve">연도별 요약 </t>
    </r>
    <r>
      <rPr>
        <b val="true"/>
        <sz val="11"/>
        <color rgb="FFFFFFFF"/>
        <rFont val="Arial"/>
        <family val="0"/>
        <charset val="1"/>
      </rPr>
      <t xml:space="preserve">(CF </t>
    </r>
    <r>
      <rPr>
        <b val="true"/>
        <sz val="11"/>
        <color rgb="FFFFFFFF"/>
        <rFont val="WenQuanYi Zen Hei"/>
        <family val="2"/>
      </rPr>
      <t xml:space="preserve">시트 집계</t>
    </r>
    <r>
      <rPr>
        <b val="true"/>
        <sz val="11"/>
        <color rgb="FFFFFFFF"/>
        <rFont val="Arial"/>
        <family val="0"/>
        <charset val="1"/>
      </rPr>
      <t xml:space="preserve">)  —  </t>
    </r>
    <r>
      <rPr>
        <b val="true"/>
        <sz val="11"/>
        <color rgb="FFFFFFFF"/>
        <rFont val="WenQuanYi Zen Hei"/>
        <family val="2"/>
      </rPr>
      <t xml:space="preserve">단위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WenQuanYi Zen Hei"/>
        <family val="2"/>
      </rPr>
      <t xml:space="preserve">백만원</t>
    </r>
  </si>
  <si>
    <t xml:space="preserve">운영</t>
  </si>
  <si>
    <r>
      <rPr>
        <b val="true"/>
        <sz val="9"/>
        <color rgb="FF000000"/>
        <rFont val="WenQuanYi Zen Hei"/>
        <family val="2"/>
      </rPr>
      <t xml:space="preserve">공통비용</t>
    </r>
    <r>
      <rPr>
        <b val="true"/>
        <sz val="9"/>
        <color rgb="FF000000"/>
        <rFont val="Arial"/>
        <family val="0"/>
        <charset val="1"/>
      </rPr>
      <t xml:space="preserve">·</t>
    </r>
    <r>
      <rPr>
        <b val="true"/>
        <sz val="9"/>
        <color rgb="FF000000"/>
        <rFont val="WenQuanYi Zen Hei"/>
        <family val="2"/>
      </rPr>
      <t xml:space="preserve">리츠운용비</t>
    </r>
  </si>
  <si>
    <t xml:space="preserve">운영현금흐름</t>
  </si>
  <si>
    <t xml:space="preserve">개발 및 금융</t>
  </si>
  <si>
    <t xml:space="preserve">개발사업비 집행</t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</si>
  <si>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금융비용</t>
    </r>
  </si>
  <si>
    <t xml:space="preserve">자금 유출입</t>
  </si>
  <si>
    <r>
      <rPr>
        <b val="true"/>
        <sz val="9"/>
        <color rgb="FF000000"/>
        <rFont val="Arial"/>
        <family val="0"/>
        <charset val="1"/>
      </rPr>
      <t xml:space="preserve">Equity </t>
    </r>
    <r>
      <rPr>
        <b val="true"/>
        <sz val="9"/>
        <color rgb="FF000000"/>
        <rFont val="WenQuanYi Zen Hei"/>
        <family val="2"/>
      </rPr>
      <t xml:space="preserve">납입</t>
    </r>
  </si>
  <si>
    <t xml:space="preserve">보증금 유입</t>
  </si>
  <si>
    <r>
      <rPr>
        <sz val="9"/>
        <color rgb="FF000000"/>
        <rFont val="WenQuanYi Zen Hei"/>
        <family val="2"/>
      </rPr>
      <t xml:space="preserve">보증금 승계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처분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</si>
  <si>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인출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</si>
  <si>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상환</t>
    </r>
  </si>
  <si>
    <t xml:space="preserve">분배</t>
  </si>
  <si>
    <t xml:space="preserve">우선주 배당</t>
  </si>
  <si>
    <t xml:space="preserve">우선주 원금상환</t>
  </si>
  <si>
    <t xml:space="preserve">보통주 분배</t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</si>
  <si>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</si>
  <si>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</si>
  <si>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전체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</si>
  <si>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12"/>
        <color rgb="FF000000"/>
        <rFont val="Arial"/>
        <family val="0"/>
        <charset val="1"/>
      </rPr>
      <t xml:space="preserve">Run all Macro — </t>
    </r>
    <r>
      <rPr>
        <b val="true"/>
        <sz val="12"/>
        <color rgb="FF000000"/>
        <rFont val="WenQuanYi Zen Hei"/>
        <family val="2"/>
      </rPr>
      <t xml:space="preserve">순환참조</t>
    </r>
    <r>
      <rPr>
        <b val="true"/>
        <sz val="12"/>
        <color rgb="FF000000"/>
        <rFont val="Arial"/>
        <family val="0"/>
        <charset val="1"/>
      </rPr>
      <t xml:space="preserve">(</t>
    </r>
    <r>
      <rPr>
        <b val="true"/>
        <sz val="12"/>
        <color rgb="FF000000"/>
        <rFont val="WenQuanYi Zen Hei"/>
        <family val="2"/>
      </rPr>
      <t xml:space="preserve">금융비용</t>
    </r>
    <r>
      <rPr>
        <b val="true"/>
        <sz val="12"/>
        <color rgb="FF000000"/>
        <rFont val="Arial"/>
        <family val="0"/>
        <charset val="1"/>
      </rPr>
      <t xml:space="preserve">·</t>
    </r>
    <r>
      <rPr>
        <b val="true"/>
        <sz val="12"/>
        <color rgb="FF000000"/>
        <rFont val="WenQuanYi Zen Hei"/>
        <family val="2"/>
      </rPr>
      <t xml:space="preserve">자본금</t>
    </r>
    <r>
      <rPr>
        <b val="true"/>
        <sz val="12"/>
        <color rgb="FF000000"/>
        <rFont val="Arial"/>
        <family val="0"/>
        <charset val="1"/>
      </rPr>
      <t xml:space="preserve">) </t>
    </r>
    <r>
      <rPr>
        <b val="true"/>
        <sz val="12"/>
        <color rgb="FF000000"/>
        <rFont val="WenQuanYi Zen Hei"/>
        <family val="2"/>
      </rPr>
      <t xml:space="preserve">수렴용 </t>
    </r>
    <r>
      <rPr>
        <b val="true"/>
        <sz val="12"/>
        <color rgb="FF000000"/>
        <rFont val="Arial"/>
        <family val="0"/>
        <charset val="1"/>
      </rPr>
      <t xml:space="preserve">VBA</t>
    </r>
  </si>
  <si>
    <r>
      <rPr>
        <sz val="10"/>
        <color rgb="FF000000"/>
        <rFont val="WenQuanYi Zen Hei"/>
        <family val="2"/>
      </rPr>
      <t xml:space="preserve">사용법</t>
    </r>
    <r>
      <rPr>
        <sz val="10"/>
        <color rgb="FF000000"/>
        <rFont val="Arial"/>
        <family val="0"/>
        <charset val="1"/>
      </rPr>
      <t xml:space="preserve">: 1) </t>
    </r>
    <r>
      <rPr>
        <sz val="10"/>
        <color rgb="FF000000"/>
        <rFont val="WenQuanYi Zen Hei"/>
        <family val="2"/>
      </rPr>
      <t xml:space="preserve">파일을 </t>
    </r>
    <r>
      <rPr>
        <sz val="10"/>
        <color rgb="FF000000"/>
        <rFont val="Arial"/>
        <family val="0"/>
        <charset val="1"/>
      </rPr>
      <t xml:space="preserve">.xlsm</t>
    </r>
    <r>
      <rPr>
        <sz val="10"/>
        <color rgb="FF000000"/>
        <rFont val="WenQuanYi Zen Hei"/>
        <family val="2"/>
      </rPr>
      <t xml:space="preserve">으로 다른 이름 저장  </t>
    </r>
    <r>
      <rPr>
        <sz val="10"/>
        <color rgb="FF000000"/>
        <rFont val="Arial"/>
        <family val="0"/>
        <charset val="1"/>
      </rPr>
      <t xml:space="preserve">2) Alt+F11 → </t>
    </r>
    <r>
      <rPr>
        <sz val="10"/>
        <color rgb="FF000000"/>
        <rFont val="WenQuanYi Zen Hei"/>
        <family val="2"/>
      </rPr>
      <t xml:space="preserve">삽입 → 모듈  </t>
    </r>
    <r>
      <rPr>
        <sz val="10"/>
        <color rgb="FF000000"/>
        <rFont val="Arial"/>
        <family val="0"/>
        <charset val="1"/>
      </rPr>
      <t xml:space="preserve">3) </t>
    </r>
    <r>
      <rPr>
        <sz val="10"/>
        <color rgb="FF000000"/>
        <rFont val="WenQuanYi Zen Hei"/>
        <family val="2"/>
      </rPr>
      <t xml:space="preserve">아래 코드 붙여넣기  </t>
    </r>
    <r>
      <rPr>
        <sz val="10"/>
        <color rgb="FF000000"/>
        <rFont val="Arial"/>
        <family val="0"/>
        <charset val="1"/>
      </rPr>
      <t xml:space="preserve">4) Alt+F8 → RunAllMacro </t>
    </r>
    <r>
      <rPr>
        <sz val="10"/>
        <color rgb="FF000000"/>
        <rFont val="WenQuanYi Zen Hei"/>
        <family val="2"/>
      </rPr>
      <t xml:space="preserve">실행</t>
    </r>
  </si>
  <si>
    <r>
      <rPr>
        <sz val="10"/>
        <color rgb="FF000000"/>
        <rFont val="Arial"/>
        <family val="0"/>
        <charset val="1"/>
      </rPr>
      <t xml:space="preserve">        (Assumption </t>
    </r>
    <r>
      <rPr>
        <sz val="10"/>
        <color rgb="FF000000"/>
        <rFont val="WenQuanYi Zen Hei"/>
        <family val="2"/>
      </rPr>
      <t xml:space="preserve">시트의 </t>
    </r>
    <r>
      <rPr>
        <sz val="10"/>
        <color rgb="FF000000"/>
        <rFont val="Arial"/>
        <family val="0"/>
        <charset val="1"/>
      </rPr>
      <t xml:space="preserve">Macro </t>
    </r>
    <r>
      <rPr>
        <sz val="10"/>
        <color rgb="FF000000"/>
        <rFont val="WenQuanYi Zen Hei"/>
        <family val="2"/>
      </rPr>
      <t xml:space="preserve">표</t>
    </r>
    <r>
      <rPr>
        <sz val="10"/>
        <color rgb="FF000000"/>
        <rFont val="Arial"/>
        <family val="0"/>
        <charset val="1"/>
      </rPr>
      <t xml:space="preserve">: Copy </t>
    </r>
    <r>
      <rPr>
        <sz val="10"/>
        <color rgb="FF000000"/>
        <rFont val="WenQuanYi Zen Hei"/>
        <family val="2"/>
      </rPr>
      <t xml:space="preserve">열 값을 </t>
    </r>
    <r>
      <rPr>
        <sz val="10"/>
        <color rgb="FF000000"/>
        <rFont val="Arial"/>
        <family val="0"/>
        <charset val="1"/>
      </rPr>
      <t xml:space="preserve">Paste </t>
    </r>
    <r>
      <rPr>
        <sz val="10"/>
        <color rgb="FF000000"/>
        <rFont val="WenQuanYi Zen Hei"/>
        <family val="2"/>
      </rPr>
      <t xml:space="preserve">열로 반복 복사하여 </t>
    </r>
    <r>
      <rPr>
        <sz val="10"/>
        <color rgb="FF000000"/>
        <rFont val="Arial"/>
        <family val="0"/>
        <charset val="1"/>
      </rPr>
      <t xml:space="preserve">Difference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이 될 때까지 수렴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</si>
  <si>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        가정을 바꾼 뒤 </t>
    </r>
    <r>
      <rPr>
        <sz val="10"/>
        <color rgb="FF000000"/>
        <rFont val="Arial"/>
        <family val="0"/>
        <charset val="1"/>
      </rPr>
      <t xml:space="preserve">Assumption </t>
    </r>
    <r>
      <rPr>
        <sz val="10"/>
        <color rgb="FF000000"/>
        <rFont val="WenQuanYi Zen Hei"/>
        <family val="2"/>
      </rPr>
      <t xml:space="preserve">상단 </t>
    </r>
    <r>
      <rPr>
        <sz val="10"/>
        <color rgb="FF000000"/>
        <rFont val="Arial"/>
        <family val="0"/>
        <charset val="1"/>
      </rPr>
      <t xml:space="preserve">Macro Check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"Run Macro"</t>
    </r>
    <r>
      <rPr>
        <sz val="10"/>
        <color rgb="FF000000"/>
        <rFont val="WenQuanYi Zen Hei"/>
        <family val="2"/>
      </rPr>
      <t xml:space="preserve">로 바뀌면 실행하세요</t>
    </r>
    <r>
      <rPr>
        <sz val="10"/>
        <color rgb="FF000000"/>
        <rFont val="Arial"/>
        <family val="0"/>
        <charset val="1"/>
      </rPr>
      <t xml:space="preserve">.</t>
    </r>
  </si>
  <si>
    <t xml:space="preserve">Sub RunAllMacro()</t>
  </si>
  <si>
    <t xml:space="preserve">    Dim i As Integer</t>
  </si>
  <si>
    <t xml:space="preserve">    Application.ScreenUpdating = False</t>
  </si>
  <si>
    <t xml:space="preserve">    For i = 1 To 50</t>
  </si>
  <si>
    <t xml:space="preserve">        Application.Calculate</t>
  </si>
  <si>
    <t xml:space="preserve">        Range("Paste_Range").Value = Range("Copy_Range").Value</t>
  </si>
  <si>
    <t xml:space="preserve">        If Application.WorksheetFunction.SumProduct(Application.Evaluate("ABS(Diff_Range)")) &lt; 0.001 Then Exit For</t>
  </si>
  <si>
    <t xml:space="preserve">    Next i</t>
  </si>
  <si>
    <t xml:space="preserve">    Application.ScreenUpdating = True</t>
  </si>
  <si>
    <r>
      <rPr>
        <sz val="10"/>
        <color rgb="FF1F3864"/>
        <rFont val="Arial"/>
        <family val="0"/>
        <charset val="1"/>
      </rPr>
      <t xml:space="preserve">    MsgBox "</t>
    </r>
    <r>
      <rPr>
        <sz val="10"/>
        <color rgb="FF1F3864"/>
        <rFont val="WenQuanYi Zen Hei"/>
        <family val="2"/>
      </rPr>
      <t xml:space="preserve">수렴 완료 </t>
    </r>
    <r>
      <rPr>
        <sz val="10"/>
        <color rgb="FF1F3864"/>
        <rFont val="Arial"/>
        <family val="0"/>
        <charset val="1"/>
      </rPr>
      <t xml:space="preserve">(" &amp; i &amp; "</t>
    </r>
    <r>
      <rPr>
        <sz val="10"/>
        <color rgb="FF1F3864"/>
        <rFont val="WenQuanYi Zen Hei"/>
        <family val="2"/>
      </rPr>
      <t xml:space="preserve">회 반복</t>
    </r>
    <r>
      <rPr>
        <sz val="10"/>
        <color rgb="FF1F3864"/>
        <rFont val="Arial"/>
        <family val="0"/>
        <charset val="1"/>
      </rPr>
      <t xml:space="preserve">)"</t>
    </r>
  </si>
  <si>
    <t xml:space="preserve">End Sub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</si>
</sst>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yyyy&quot;년 &quot;m\월"/>
    <numFmt numFmtId="166" formatCode="0&quot;개월&quot;"/>
    <numFmt numFmtId="167" formatCode="0.00\년"/>
    <numFmt numFmtId="168" formatCode="0.00%;\(0.00%\);\-"/>
    <numFmt numFmtId="169" formatCode="0.0000"/>
    <numFmt numFmtId="170" formatCode="#,##0.00\㎡;\(#,##0.00&quot;㎡)&quot;;\-"/>
    <numFmt numFmtId="171" formatCode="#,##0.00\평;\(#,##0.00&quot;평)&quot;;\-"/>
    <numFmt numFmtId="172" formatCode="General"/>
    <numFmt numFmtId="173" formatCode="0.0%;\(0.0%\);\-"/>
    <numFmt numFmtId="174" formatCode="#,##0;\(#,##0\);\-"/>
    <numFmt numFmtId="175" formatCode="yyyy\-mm\-dd"/>
    <numFmt numFmtId="176" formatCode="0&quot;년차&quot;"/>
    <numFmt numFmtId="177" formatCode="#,##0&quot;천원/평&quot;"/>
    <numFmt numFmtId="178" formatCode="#,##0&quot;백만원/실&quot;"/>
    <numFmt numFmtId="179" formatCode="0;\-0;\-"/>
    <numFmt numFmtId="180" formatCode="0"/>
    <numFmt numFmtId="181" formatCode="#,##0.00&quot;천원/평&quot;"/>
    <numFmt numFmtId="182" formatCode="#,##0.0;\(#,##0.0\);\-"/>
    <numFmt numFmtId="183" formatCode="0%"/>
    <numFmt numFmtId="184" formatCode="#,##0&quot; 백만원&quot;"/>
    <numFmt numFmtId="185" formatCode="0.0000%"/>
    <numFmt numFmtId="186" formatCode="#,##0&quot;백만원&quot;"/>
    <numFmt numFmtId="187" formatCode="yyyy\-mm"/>
    <numFmt numFmtId="188" formatCode="0;\-0;&quot;&quot;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sz val="9"/>
      <color rgb="FF0000FF"/>
      <name val="WenQuanYi Zen Hei"/>
      <family val="2"/>
    </font>
    <font>
      <sz val="9"/>
      <color rgb="FFFFFFFF"/>
      <name val="WenQuanYi Zen Hei"/>
      <family val="2"/>
    </font>
    <font>
      <sz val="9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FFFFFF"/>
      <name val="WenQuanYi Zen Hei"/>
      <family val="2"/>
    </font>
    <font>
      <sz val="9"/>
      <color rgb="FF000000"/>
      <name val="WenQuanYi Zen Hei"/>
      <family val="2"/>
    </font>
    <font>
      <b val="true"/>
      <sz val="9"/>
      <color rgb="FF008000"/>
      <name val="Arial"/>
      <family val="0"/>
      <charset val="1"/>
    </font>
    <font>
      <sz val="9"/>
      <color rgb="FF008000"/>
      <name val="WenQuanYi Zen Hei"/>
      <family val="2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i val="true"/>
      <sz val="9"/>
      <color rgb="FFFFFFFF"/>
      <name val="WenQuanYi Zen Hei"/>
      <family val="2"/>
    </font>
    <font>
      <b val="true"/>
      <i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WenQuanYi Zen Hei"/>
      <family val="2"/>
    </font>
    <font>
      <sz val="9"/>
      <color rgb="FF008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FFFFFF"/>
      <name val="WenQuanYi Zen Hei"/>
      <family val="2"/>
    </font>
    <font>
      <i val="true"/>
      <sz val="9"/>
      <color rgb="FF000000"/>
      <name val="WenQuanYi Zen Hei"/>
      <family val="2"/>
    </font>
    <font>
      <sz val="9"/>
      <color rgb="FF7F7F7F"/>
      <name val="Arial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Arial"/>
      <family val="0"/>
      <charset val="1"/>
    </font>
    <font>
      <sz val="9"/>
      <color rgb="FF7F7F7F"/>
      <name val="WenQuanYi Zen Hei"/>
      <family val="2"/>
    </font>
    <font>
      <sz val="9"/>
      <color rgb="FFFF0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1F3864"/>
      <name val="Arial"/>
      <family val="0"/>
      <charset val="1"/>
    </font>
    <font>
      <sz val="10"/>
      <color rgb="FF1F3864"/>
      <name val="WenQuanYi Zen He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E7E6E6"/>
      </patternFill>
    </fill>
    <fill>
      <patternFill patternType="solid">
        <fgColor rgb="FFD9E1F2"/>
        <bgColor rgb="FFDCE6F1"/>
      </patternFill>
    </fill>
    <fill>
      <patternFill patternType="solid">
        <fgColor rgb="FF808080"/>
        <bgColor rgb="FF7F7F7F"/>
      </patternFill>
    </fill>
    <fill>
      <patternFill patternType="solid">
        <fgColor rgb="FFBFBFBF"/>
        <bgColor rgb="FFA6A6A6"/>
      </patternFill>
    </fill>
    <fill>
      <patternFill patternType="solid">
        <fgColor rgb="FFE7E6E6"/>
        <bgColor rgb="FFDCE6F1"/>
      </patternFill>
    </fill>
    <fill>
      <patternFill patternType="solid">
        <fgColor rgb="FF7F7F7F"/>
        <bgColor rgb="FF8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hair">
        <color rgb="FFA6A6A6"/>
      </top>
      <bottom/>
      <diagonal/>
    </border>
    <border diagonalUp="false" diagonalDown="false">
      <left/>
      <right/>
      <top style="hair">
        <color rgb="FFA6A6A6"/>
      </top>
      <bottom/>
      <diagonal/>
    </border>
    <border diagonalUp="false" diagonalDown="false">
      <left/>
      <right style="thin"/>
      <top style="hair">
        <color rgb="FFA6A6A6"/>
      </top>
      <bottom/>
      <diagonal/>
    </border>
    <border diagonalUp="false" diagonalDown="false">
      <left style="thin"/>
      <right/>
      <top style="hair">
        <color rgb="FFA6A6A6"/>
      </top>
      <bottom style="thin"/>
      <diagonal/>
    </border>
    <border diagonalUp="false" diagonalDown="false">
      <left/>
      <right/>
      <top style="hair">
        <color rgb="FFA6A6A6"/>
      </top>
      <bottom style="thin"/>
      <diagonal/>
    </border>
    <border diagonalUp="false" diagonalDown="false">
      <left/>
      <right style="thin"/>
      <top style="hair">
        <color rgb="FFA6A6A6"/>
      </top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1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1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0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0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E7E6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27" min="4" style="0" width="13"/>
  </cols>
  <sheetData>
    <row r="1" customFormat="false" ht="16.4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3" t="s">
        <v>1</v>
      </c>
      <c r="J1" s="4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1"/>
      <c r="B2" s="5" t="s">
        <v>3</v>
      </c>
      <c r="C2" s="1"/>
      <c r="D2" s="1"/>
      <c r="E2" s="1"/>
      <c r="F2" s="1"/>
      <c r="G2" s="1"/>
      <c r="H2" s="1"/>
      <c r="I2" s="6" t="s">
        <v>4</v>
      </c>
      <c r="J2" s="4" t="s"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5" hidden="false" customHeight="false" outlineLevel="0" collapsed="false">
      <c r="A3" s="1"/>
      <c r="B3" s="1"/>
      <c r="C3" s="7" t="str">
        <f aca="false">IF(ABS(CF!$C$159)&lt;1,"OK","Error")</f>
        <v>OK</v>
      </c>
      <c r="D3" s="7" t="str">
        <f aca="false">IF(SUMPRODUCT(ABS($F$544:$F$553))&lt;1,"OK","Run Macro")</f>
        <v>OK</v>
      </c>
      <c r="E3" s="7" t="str">
        <f aca="false">IF(MIN(CF!$E$159:$EF$159)&gt;-0.5,"OK","Shortage")</f>
        <v>OK</v>
      </c>
      <c r="F3" s="7" t="str">
        <f aca="false">IF(SUM(CF!$E$153:$EF$153)-SUM(CF!$E$116:$EF$116)&lt;1,"OK","PF한도부족")</f>
        <v>OK</v>
      </c>
      <c r="G3" s="1"/>
      <c r="H3" s="1"/>
      <c r="I3" s="8" t="s">
        <v>6</v>
      </c>
      <c r="J3" s="4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" hidden="false" customHeight="false" outlineLevel="0" collapsed="false">
      <c r="A4" s="1"/>
      <c r="B4" s="1"/>
      <c r="C4" s="9" t="s">
        <v>8</v>
      </c>
      <c r="D4" s="9" t="s">
        <v>9</v>
      </c>
      <c r="E4" s="9" t="s">
        <v>10</v>
      </c>
      <c r="F4" s="9" t="s">
        <v>11</v>
      </c>
      <c r="G4" s="1"/>
      <c r="H4" s="1"/>
      <c r="I4" s="10" t="s">
        <v>12</v>
      </c>
      <c r="J4" s="4" t="s">
        <v>13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6" customFormat="false" ht="15" hidden="false" customHeight="false" outlineLevel="0" collapsed="false">
      <c r="A6" s="11" t="s">
        <v>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customFormat="false" ht="15" hidden="false" customHeight="false" outlineLevel="0" collapsed="false">
      <c r="B8" s="12" t="s">
        <v>15</v>
      </c>
      <c r="C8" s="13"/>
      <c r="D8" s="14" t="s">
        <v>16</v>
      </c>
      <c r="E8" s="15" t="n">
        <v>46112</v>
      </c>
    </row>
    <row r="9" customFormat="false" ht="15" hidden="false" customHeight="false" outlineLevel="0" collapsed="false">
      <c r="B9" s="16" t="s">
        <v>17</v>
      </c>
      <c r="C9" s="17"/>
      <c r="D9" s="18" t="s">
        <v>18</v>
      </c>
      <c r="E9" s="19" t="n">
        <v>3</v>
      </c>
    </row>
    <row r="10" customFormat="false" ht="15" hidden="false" customHeight="false" outlineLevel="0" collapsed="false">
      <c r="B10" s="16" t="s">
        <v>19</v>
      </c>
      <c r="C10" s="17"/>
      <c r="D10" s="18" t="s">
        <v>16</v>
      </c>
      <c r="E10" s="20" t="n">
        <f aca="false">EOMONTH($E$8,$E$9)</f>
        <v>46203</v>
      </c>
    </row>
    <row r="11" customFormat="false" ht="15" hidden="false" customHeight="false" outlineLevel="0" collapsed="false">
      <c r="B11" s="16" t="s">
        <v>20</v>
      </c>
      <c r="C11" s="17"/>
      <c r="D11" s="18" t="s">
        <v>18</v>
      </c>
      <c r="E11" s="19" t="n">
        <v>14</v>
      </c>
    </row>
    <row r="12" customFormat="false" ht="15" hidden="false" customHeight="false" outlineLevel="0" collapsed="false">
      <c r="B12" s="16" t="s">
        <v>21</v>
      </c>
      <c r="C12" s="17"/>
      <c r="D12" s="18" t="s">
        <v>16</v>
      </c>
      <c r="E12" s="20" t="n">
        <f aca="false">EOMONTH($E$10,$E$11)</f>
        <v>46630</v>
      </c>
    </row>
    <row r="13" customFormat="false" ht="15" hidden="false" customHeight="false" outlineLevel="0" collapsed="false">
      <c r="B13" s="16" t="s">
        <v>22</v>
      </c>
      <c r="C13" s="17"/>
      <c r="D13" s="18" t="s">
        <v>18</v>
      </c>
      <c r="E13" s="19" t="n">
        <v>1</v>
      </c>
    </row>
    <row r="14" customFormat="false" ht="15" hidden="false" customHeight="false" outlineLevel="0" collapsed="false">
      <c r="B14" s="16" t="s">
        <v>23</v>
      </c>
      <c r="C14" s="17"/>
      <c r="D14" s="18" t="s">
        <v>16</v>
      </c>
      <c r="E14" s="20" t="n">
        <f aca="false">EOMONTH($E$12,$E$13)</f>
        <v>46660</v>
      </c>
    </row>
    <row r="15" customFormat="false" ht="15" hidden="false" customHeight="false" outlineLevel="0" collapsed="false">
      <c r="B15" s="16" t="s">
        <v>24</v>
      </c>
      <c r="C15" s="17"/>
      <c r="D15" s="18" t="s">
        <v>18</v>
      </c>
      <c r="E15" s="19" t="n">
        <v>42</v>
      </c>
    </row>
    <row r="16" customFormat="false" ht="15" hidden="false" customHeight="false" outlineLevel="0" collapsed="false">
      <c r="B16" s="16" t="s">
        <v>25</v>
      </c>
      <c r="C16" s="17"/>
      <c r="D16" s="18" t="s">
        <v>16</v>
      </c>
      <c r="E16" s="20" t="n">
        <f aca="false">EOMONTH($E$14,$E$15-1)</f>
        <v>47907</v>
      </c>
    </row>
    <row r="17" customFormat="false" ht="15" hidden="false" customHeight="false" outlineLevel="0" collapsed="false">
      <c r="B17" s="16" t="s">
        <v>26</v>
      </c>
      <c r="C17" s="17"/>
      <c r="D17" s="18" t="s">
        <v>18</v>
      </c>
      <c r="E17" s="19" t="n">
        <v>1</v>
      </c>
    </row>
    <row r="18" customFormat="false" ht="15" hidden="false" customHeight="false" outlineLevel="0" collapsed="false">
      <c r="B18" s="16" t="s">
        <v>27</v>
      </c>
      <c r="C18" s="17"/>
      <c r="D18" s="18" t="s">
        <v>16</v>
      </c>
      <c r="E18" s="20" t="n">
        <f aca="false">EOMONTH($E$16,$E$17)</f>
        <v>47938</v>
      </c>
    </row>
    <row r="19" customFormat="false" ht="15" hidden="false" customHeight="false" outlineLevel="0" collapsed="false">
      <c r="B19" s="16" t="s">
        <v>28</v>
      </c>
      <c r="C19" s="17"/>
      <c r="D19" s="18" t="s">
        <v>18</v>
      </c>
      <c r="E19" s="19" t="n">
        <v>60</v>
      </c>
    </row>
    <row r="20" customFormat="false" ht="15" hidden="false" customHeight="false" outlineLevel="0" collapsed="false">
      <c r="B20" s="16" t="s">
        <v>29</v>
      </c>
      <c r="C20" s="17"/>
      <c r="D20" s="18" t="s">
        <v>16</v>
      </c>
      <c r="E20" s="20" t="n">
        <f aca="false">EOMONTH($E$18,$E$19-1)</f>
        <v>49734</v>
      </c>
    </row>
    <row r="21" customFormat="false" ht="15" hidden="false" customHeight="false" outlineLevel="0" collapsed="false">
      <c r="B21" s="16" t="s">
        <v>30</v>
      </c>
      <c r="C21" s="17"/>
      <c r="D21" s="18" t="s">
        <v>18</v>
      </c>
      <c r="E21" s="19" t="n">
        <v>0</v>
      </c>
    </row>
    <row r="22" customFormat="false" ht="15" hidden="false" customHeight="false" outlineLevel="0" collapsed="false">
      <c r="B22" s="16" t="s">
        <v>31</v>
      </c>
      <c r="C22" s="17"/>
      <c r="D22" s="18" t="s">
        <v>16</v>
      </c>
      <c r="E22" s="20" t="n">
        <f aca="false">EOMONTH($E$20,$E$21)</f>
        <v>49734</v>
      </c>
    </row>
    <row r="23" customFormat="false" ht="15" hidden="false" customHeight="false" outlineLevel="0" collapsed="false">
      <c r="B23" s="16" t="s">
        <v>32</v>
      </c>
      <c r="C23" s="17"/>
      <c r="D23" s="18" t="s">
        <v>18</v>
      </c>
      <c r="E23" s="19" t="n">
        <v>3</v>
      </c>
    </row>
    <row r="24" customFormat="false" ht="15" hidden="false" customHeight="false" outlineLevel="0" collapsed="false">
      <c r="B24" s="16" t="s">
        <v>33</v>
      </c>
      <c r="C24" s="17"/>
      <c r="D24" s="18" t="s">
        <v>16</v>
      </c>
      <c r="E24" s="20" t="n">
        <f aca="false">EOMONTH($E$22,$E$23)</f>
        <v>49826</v>
      </c>
    </row>
    <row r="25" customFormat="false" ht="15" hidden="false" customHeight="false" outlineLevel="0" collapsed="false">
      <c r="B25" s="16" t="s">
        <v>34</v>
      </c>
      <c r="C25" s="17"/>
      <c r="D25" s="18" t="s">
        <v>35</v>
      </c>
      <c r="E25" s="21" t="n">
        <f aca="false">((YEAR($E$16)-YEAR($E$8))*12+MONTH($E$16)-MONTH($E$8)+1)/12</f>
        <v>5</v>
      </c>
    </row>
    <row r="26" customFormat="false" ht="15" hidden="false" customHeight="false" outlineLevel="0" collapsed="false">
      <c r="B26" s="22" t="s">
        <v>36</v>
      </c>
      <c r="C26" s="23"/>
      <c r="D26" s="24" t="s">
        <v>35</v>
      </c>
      <c r="E26" s="25" t="n">
        <f aca="false">((YEAR($E$24)-YEAR($E$18))*12+MONTH($E$24)-MONTH($E$18)+1)/12</f>
        <v>5.25</v>
      </c>
    </row>
    <row r="28" customFormat="false" ht="15" hidden="false" customHeight="false" outlineLevel="0" collapsed="false">
      <c r="A28" s="26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30" customFormat="false" ht="15" hidden="false" customHeight="false" outlineLevel="0" collapsed="false">
      <c r="B30" s="27" t="s">
        <v>38</v>
      </c>
      <c r="C30" s="13"/>
      <c r="D30" s="13"/>
      <c r="E30" s="28" t="n">
        <f aca="false">CF!$C$171</f>
        <v>0.203927870290842</v>
      </c>
    </row>
    <row r="31" customFormat="false" ht="15" hidden="false" customHeight="false" outlineLevel="0" collapsed="false">
      <c r="B31" s="29" t="s">
        <v>39</v>
      </c>
      <c r="C31" s="17"/>
      <c r="D31" s="17"/>
      <c r="E31" s="30" t="n">
        <f aca="false">CF!$C$172</f>
        <v>0.0499999999985936</v>
      </c>
    </row>
    <row r="32" customFormat="false" ht="15" hidden="false" customHeight="false" outlineLevel="0" collapsed="false">
      <c r="B32" s="31" t="s">
        <v>40</v>
      </c>
      <c r="C32" s="23"/>
      <c r="D32" s="23"/>
      <c r="E32" s="32" t="n">
        <f aca="false">CF!$C$173</f>
        <v>0.121116349565578</v>
      </c>
    </row>
    <row r="34" customFormat="false" ht="15" hidden="false" customHeight="false" outlineLevel="0" collapsed="false">
      <c r="A34" s="11" t="s">
        <v>41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6" customFormat="false" ht="15" hidden="false" customHeight="false" outlineLevel="0" collapsed="false">
      <c r="B36" s="33" t="s">
        <v>42</v>
      </c>
      <c r="D36" s="34" t="s">
        <v>43</v>
      </c>
    </row>
    <row r="37" customFormat="false" ht="15" hidden="false" customHeight="false" outlineLevel="0" collapsed="false">
      <c r="B37" s="33" t="s">
        <v>44</v>
      </c>
      <c r="D37" s="34" t="s">
        <v>45</v>
      </c>
    </row>
    <row r="38" customFormat="false" ht="15" hidden="false" customHeight="false" outlineLevel="0" collapsed="false">
      <c r="B38" s="33" t="s">
        <v>46</v>
      </c>
      <c r="D38" s="34" t="s">
        <v>47</v>
      </c>
    </row>
    <row r="39" customFormat="false" ht="15" hidden="false" customHeight="false" outlineLevel="0" collapsed="false">
      <c r="B39" s="33" t="s">
        <v>48</v>
      </c>
      <c r="D39" s="34" t="s">
        <v>49</v>
      </c>
    </row>
    <row r="40" customFormat="false" ht="15" hidden="false" customHeight="false" outlineLevel="0" collapsed="false">
      <c r="B40" s="33" t="s">
        <v>50</v>
      </c>
      <c r="E40" s="35" t="s">
        <v>51</v>
      </c>
      <c r="F40" s="36" t="n">
        <v>0.3025</v>
      </c>
    </row>
    <row r="42" customFormat="false" ht="15" hidden="false" customHeight="false" outlineLevel="0" collapsed="false">
      <c r="B42" s="37" t="s">
        <v>52</v>
      </c>
      <c r="C42" s="38" t="s">
        <v>53</v>
      </c>
      <c r="D42" s="39" t="n">
        <v>178919.43</v>
      </c>
      <c r="E42" s="40" t="n">
        <f aca="false">$D$42*$F$40</f>
        <v>54123.127575</v>
      </c>
    </row>
    <row r="43" customFormat="false" ht="15" hidden="false" customHeight="false" outlineLevel="0" collapsed="false">
      <c r="B43" s="41"/>
      <c r="C43" s="42" t="s">
        <v>54</v>
      </c>
      <c r="D43" s="43" t="n">
        <v>91531.54</v>
      </c>
      <c r="E43" s="44" t="n">
        <f aca="false">$D$43*$F$40</f>
        <v>27688.29085</v>
      </c>
    </row>
    <row r="44" customFormat="false" ht="15" hidden="false" customHeight="false" outlineLevel="0" collapsed="false">
      <c r="B44" s="45"/>
      <c r="C44" s="46" t="s">
        <v>55</v>
      </c>
      <c r="D44" s="47" t="n">
        <f aca="false">$D$42+$D$43</f>
        <v>270450.97</v>
      </c>
      <c r="E44" s="48" t="n">
        <f aca="false">$D$44*$F$40</f>
        <v>81811.418425</v>
      </c>
      <c r="F44" s="49" t="b">
        <f aca="false">ABS($D$44-$C$56)&lt;1</f>
        <v>1</v>
      </c>
      <c r="G44" s="49" t="b">
        <f aca="false">ABS($D$44*$F$40-$C$55)&lt;1</f>
        <v>1</v>
      </c>
    </row>
    <row r="46" customFormat="false" ht="15" hidden="false" customHeight="false" outlineLevel="0" collapsed="false">
      <c r="B46" s="37" t="s">
        <v>56</v>
      </c>
      <c r="C46" s="50" t="s">
        <v>57</v>
      </c>
      <c r="D46" s="51" t="n">
        <f aca="false">SUMIF($D$53:$W$53,"시니어 레지던스",$D$56:$W$56)</f>
        <v>76060.08</v>
      </c>
      <c r="E46" s="40" t="n">
        <f aca="false">SUMIF($D$53:$W$53,"시니어 레지던스",$D$55:$W$55)</f>
        <v>23008.1742</v>
      </c>
    </row>
    <row r="47" customFormat="false" ht="15" hidden="false" customHeight="false" outlineLevel="0" collapsed="false">
      <c r="B47" s="41"/>
      <c r="C47" s="52" t="s">
        <v>58</v>
      </c>
      <c r="D47" s="53" t="n">
        <f aca="false">SUMIF($D$53:$W$53,"레지던스",$D$56:$W$56)</f>
        <v>44693.91</v>
      </c>
      <c r="E47" s="44" t="n">
        <f aca="false">SUMIF($D$53:$W$53,"레지던스",$D$55:$W$55)</f>
        <v>13519.907775</v>
      </c>
    </row>
    <row r="48" customFormat="false" ht="15" hidden="false" customHeight="false" outlineLevel="0" collapsed="false">
      <c r="B48" s="41"/>
      <c r="C48" s="52" t="s">
        <v>59</v>
      </c>
      <c r="D48" s="53" t="n">
        <f aca="false">SUMIF($D$53:$W$53,"호텔",$D$56:$W$56)</f>
        <v>70374.3</v>
      </c>
      <c r="E48" s="44" t="n">
        <f aca="false">SUMIF($D$53:$W$53,"호텔",$D$55:$W$55)</f>
        <v>21288.22575</v>
      </c>
    </row>
    <row r="49" customFormat="false" ht="15" hidden="false" customHeight="false" outlineLevel="0" collapsed="false">
      <c r="B49" s="41"/>
      <c r="C49" s="52" t="s">
        <v>60</v>
      </c>
      <c r="D49" s="53" t="n">
        <f aca="false">SUMIF($D$53:$W$53,"오피스",$D$56:$W$56)</f>
        <v>46433.07</v>
      </c>
      <c r="E49" s="44" t="n">
        <f aca="false">SUMIF($D$53:$W$53,"오피스",$D$55:$W$55)</f>
        <v>14046.003675</v>
      </c>
    </row>
    <row r="50" customFormat="false" ht="15" hidden="false" customHeight="false" outlineLevel="0" collapsed="false">
      <c r="B50" s="41"/>
      <c r="C50" s="52" t="s">
        <v>61</v>
      </c>
      <c r="D50" s="53" t="n">
        <f aca="false">SUMIF($D$53:$W$53,"부대시설",$D$56:$W$56)</f>
        <v>32889.63</v>
      </c>
      <c r="E50" s="44" t="n">
        <f aca="false">SUMIF($D$53:$W$53,"부대시설",$D$55:$W$55)</f>
        <v>9949.113075</v>
      </c>
    </row>
    <row r="51" customFormat="false" ht="15" hidden="false" customHeight="false" outlineLevel="0" collapsed="false">
      <c r="B51" s="45"/>
      <c r="C51" s="46" t="s">
        <v>62</v>
      </c>
      <c r="D51" s="47" t="n">
        <f aca="false">SUM(D46:D50)</f>
        <v>270450.99</v>
      </c>
      <c r="E51" s="48" t="n">
        <f aca="false">SUM(E46:E50)</f>
        <v>81811.424475</v>
      </c>
      <c r="F51" s="49" t="b">
        <f aca="false">ABS(D51-$D$44)&lt;1</f>
        <v>1</v>
      </c>
      <c r="G51" s="49" t="b">
        <f aca="false">ABS(E51-$C$55)&lt;0.1</f>
        <v>1</v>
      </c>
    </row>
    <row r="53" customFormat="false" ht="15" hidden="false" customHeight="false" outlineLevel="0" collapsed="false">
      <c r="D53" s="54" t="s">
        <v>57</v>
      </c>
      <c r="E53" s="54" t="s">
        <v>57</v>
      </c>
      <c r="F53" s="55" t="s">
        <v>61</v>
      </c>
      <c r="G53" s="55" t="s">
        <v>61</v>
      </c>
      <c r="H53" s="54" t="s">
        <v>57</v>
      </c>
      <c r="J53" s="56" t="s">
        <v>58</v>
      </c>
      <c r="K53" s="56" t="s">
        <v>58</v>
      </c>
      <c r="L53" s="57" t="s">
        <v>59</v>
      </c>
      <c r="M53" s="57" t="s">
        <v>59</v>
      </c>
      <c r="N53" s="57" t="s">
        <v>59</v>
      </c>
      <c r="O53" s="57" t="s">
        <v>59</v>
      </c>
      <c r="P53" s="57" t="s">
        <v>59</v>
      </c>
      <c r="Q53" s="57" t="s">
        <v>59</v>
      </c>
      <c r="R53" s="58" t="s">
        <v>60</v>
      </c>
      <c r="S53" s="57" t="s">
        <v>59</v>
      </c>
      <c r="U53" s="55" t="s">
        <v>61</v>
      </c>
      <c r="V53" s="55" t="s">
        <v>61</v>
      </c>
      <c r="W53" s="55" t="s">
        <v>61</v>
      </c>
    </row>
    <row r="54" customFormat="false" ht="15" hidden="false" customHeight="false" outlineLevel="0" collapsed="false">
      <c r="B54" s="59" t="s">
        <v>63</v>
      </c>
      <c r="C54" s="60" t="s">
        <v>64</v>
      </c>
      <c r="D54" s="60" t="s">
        <v>65</v>
      </c>
      <c r="E54" s="60" t="s">
        <v>66</v>
      </c>
      <c r="F54" s="60" t="s">
        <v>67</v>
      </c>
      <c r="G54" s="60" t="s">
        <v>68</v>
      </c>
      <c r="H54" s="61" t="s">
        <v>69</v>
      </c>
      <c r="I54" s="62" t="s">
        <v>70</v>
      </c>
      <c r="J54" s="60" t="s">
        <v>71</v>
      </c>
      <c r="K54" s="60" t="s">
        <v>72</v>
      </c>
      <c r="L54" s="60" t="s">
        <v>59</v>
      </c>
      <c r="M54" s="60" t="s">
        <v>73</v>
      </c>
      <c r="N54" s="60" t="s">
        <v>74</v>
      </c>
      <c r="O54" s="60" t="s">
        <v>75</v>
      </c>
      <c r="P54" s="60" t="s">
        <v>76</v>
      </c>
      <c r="Q54" s="60" t="s">
        <v>77</v>
      </c>
      <c r="R54" s="60" t="s">
        <v>60</v>
      </c>
      <c r="S54" s="61" t="s">
        <v>69</v>
      </c>
      <c r="T54" s="62" t="s">
        <v>78</v>
      </c>
      <c r="U54" s="60" t="s">
        <v>79</v>
      </c>
      <c r="V54" s="60" t="s">
        <v>80</v>
      </c>
      <c r="W54" s="60" t="s">
        <v>81</v>
      </c>
      <c r="X54" s="63" t="s">
        <v>82</v>
      </c>
      <c r="Y54" s="61" t="s">
        <v>83</v>
      </c>
      <c r="Z54" s="64" t="s">
        <v>84</v>
      </c>
    </row>
    <row r="55" customFormat="false" ht="15" hidden="false" customHeight="false" outlineLevel="0" collapsed="false">
      <c r="B55" s="65" t="s">
        <v>85</v>
      </c>
      <c r="C55" s="66" t="n">
        <f aca="false">I55+T55+X55</f>
        <v>81811.424475</v>
      </c>
      <c r="D55" s="67" t="n">
        <f aca="false">D56*$F$40</f>
        <v>20475.2449</v>
      </c>
      <c r="E55" s="67" t="n">
        <f aca="false">E56*$F$40</f>
        <v>2338.19795</v>
      </c>
      <c r="F55" s="67" t="n">
        <f aca="false">F56*$F$40</f>
        <v>1425.62805</v>
      </c>
      <c r="G55" s="67" t="n">
        <f aca="false">G56*$F$40</f>
        <v>597.16525</v>
      </c>
      <c r="H55" s="67" t="n">
        <f aca="false">H56*$F$40</f>
        <v>194.73135</v>
      </c>
      <c r="I55" s="68" t="n">
        <f aca="false">SUM(D55:H55)</f>
        <v>25030.9675</v>
      </c>
      <c r="J55" s="67" t="n">
        <f aca="false">J56*$F$40</f>
        <v>10714.913</v>
      </c>
      <c r="K55" s="67" t="n">
        <f aca="false">K56*$F$40</f>
        <v>2804.994775</v>
      </c>
      <c r="L55" s="67" t="n">
        <f aca="false">L56*$F$40</f>
        <v>11246.59305</v>
      </c>
      <c r="M55" s="67" t="n">
        <f aca="false">M56*$F$40</f>
        <v>2165.775975</v>
      </c>
      <c r="N55" s="67" t="n">
        <f aca="false">N56*$F$40</f>
        <v>1829.34455</v>
      </c>
      <c r="O55" s="67" t="n">
        <f aca="false">O56*$F$40</f>
        <v>1274.23285</v>
      </c>
      <c r="P55" s="67" t="n">
        <f aca="false">P56*$F$40</f>
        <v>1063.9651</v>
      </c>
      <c r="Q55" s="67" t="n">
        <f aca="false">Q56*$F$40</f>
        <v>3250.76785</v>
      </c>
      <c r="R55" s="67" t="n">
        <f aca="false">R56*$F$40</f>
        <v>14046.003675</v>
      </c>
      <c r="S55" s="67" t="n">
        <f aca="false">S56*$F$40</f>
        <v>457.546375</v>
      </c>
      <c r="T55" s="68" t="n">
        <f aca="false">SUM(J55:S55)</f>
        <v>48854.1372</v>
      </c>
      <c r="U55" s="67" t="n">
        <f aca="false">U56*$F$40</f>
        <v>1673.7446</v>
      </c>
      <c r="V55" s="67" t="n">
        <f aca="false">V56*$F$40</f>
        <v>2443.331825</v>
      </c>
      <c r="W55" s="67" t="n">
        <f aca="false">W56*$F$40</f>
        <v>3809.24335</v>
      </c>
      <c r="X55" s="68" t="n">
        <f aca="false">SUM(U55:W55)</f>
        <v>7926.319775</v>
      </c>
      <c r="Y55" s="17"/>
      <c r="Z55" s="69"/>
    </row>
    <row r="56" customFormat="false" ht="15" hidden="false" customHeight="false" outlineLevel="0" collapsed="false">
      <c r="B56" s="65" t="s">
        <v>86</v>
      </c>
      <c r="C56" s="70" t="n">
        <f aca="false">I56+T56+X56</f>
        <v>270450.99</v>
      </c>
      <c r="D56" s="43" t="n">
        <v>67686.76</v>
      </c>
      <c r="E56" s="43" t="n">
        <v>7729.58</v>
      </c>
      <c r="F56" s="43" t="n">
        <v>4712.82</v>
      </c>
      <c r="G56" s="43" t="n">
        <v>1974.1</v>
      </c>
      <c r="H56" s="43" t="n">
        <v>643.74</v>
      </c>
      <c r="I56" s="71" t="n">
        <f aca="false">SUM(D56:H56)</f>
        <v>82747</v>
      </c>
      <c r="J56" s="43" t="n">
        <v>35421.2</v>
      </c>
      <c r="K56" s="43" t="n">
        <v>9272.71</v>
      </c>
      <c r="L56" s="43" t="n">
        <v>37178.82</v>
      </c>
      <c r="M56" s="43" t="n">
        <v>7159.59</v>
      </c>
      <c r="N56" s="43" t="n">
        <v>6047.42</v>
      </c>
      <c r="O56" s="43" t="n">
        <v>4212.34</v>
      </c>
      <c r="P56" s="43" t="n">
        <v>3517.24</v>
      </c>
      <c r="Q56" s="43" t="n">
        <v>10746.34</v>
      </c>
      <c r="R56" s="43" t="n">
        <v>46433.07</v>
      </c>
      <c r="S56" s="43" t="n">
        <v>1512.55</v>
      </c>
      <c r="T56" s="71" t="n">
        <f aca="false">SUM(J56:S56)</f>
        <v>161501.28</v>
      </c>
      <c r="U56" s="43" t="n">
        <v>5533.04</v>
      </c>
      <c r="V56" s="43" t="n">
        <v>8077.13</v>
      </c>
      <c r="W56" s="43" t="n">
        <v>12592.54</v>
      </c>
      <c r="X56" s="71" t="n">
        <f aca="false">SUM(U56:W56)</f>
        <v>26202.71</v>
      </c>
      <c r="Y56" s="17"/>
      <c r="Z56" s="69"/>
    </row>
    <row r="57" customFormat="false" ht="15" hidden="false" customHeight="false" outlineLevel="0" collapsed="false">
      <c r="B57" s="65" t="s">
        <v>87</v>
      </c>
      <c r="C57" s="72" t="n">
        <f aca="false">C55/$C$55</f>
        <v>1</v>
      </c>
      <c r="D57" s="73" t="n">
        <f aca="false">D55/$C$55</f>
        <v>0.250273663261503</v>
      </c>
      <c r="E57" s="73" t="n">
        <f aca="false">E55/$C$55</f>
        <v>0.028580335387199</v>
      </c>
      <c r="F57" s="73" t="n">
        <f aca="false">F55/$C$55</f>
        <v>0.0174257820243143</v>
      </c>
      <c r="G57" s="73" t="n">
        <f aca="false">G55/$C$55</f>
        <v>0.00729928923536201</v>
      </c>
      <c r="H57" s="73" t="n">
        <f aca="false">H55/$C$55</f>
        <v>0.00238024641728988</v>
      </c>
      <c r="I57" s="74" t="n">
        <f aca="false">I55/$C$55</f>
        <v>0.305959316325668</v>
      </c>
      <c r="J57" s="73" t="n">
        <f aca="false">J55/$C$55</f>
        <v>0.130970864628745</v>
      </c>
      <c r="K57" s="73" t="n">
        <f aca="false">K55/$C$55</f>
        <v>0.0342861011527449</v>
      </c>
      <c r="L57" s="73" t="n">
        <f aca="false">L55/$C$55</f>
        <v>0.137469713089237</v>
      </c>
      <c r="M57" s="73" t="n">
        <f aca="false">M55/$C$55</f>
        <v>0.0264727816304167</v>
      </c>
      <c r="N57" s="73" t="n">
        <f aca="false">N55/$C$55</f>
        <v>0.0223605023594109</v>
      </c>
      <c r="O57" s="73" t="n">
        <f aca="false">O55/$C$55</f>
        <v>0.0155752434110151</v>
      </c>
      <c r="P57" s="73" t="n">
        <f aca="false">P55/$C$55</f>
        <v>0.0130050919761839</v>
      </c>
      <c r="Q57" s="73" t="n">
        <f aca="false">Q55/$C$55</f>
        <v>0.0397348887500837</v>
      </c>
      <c r="R57" s="73" t="n">
        <f aca="false">R55/$C$55</f>
        <v>0.171687557882484</v>
      </c>
      <c r="S57" s="73" t="n">
        <f aca="false">S55/$C$55</f>
        <v>0.00559269537153478</v>
      </c>
      <c r="T57" s="74" t="n">
        <f aca="false">T55/$C$55</f>
        <v>0.597155440251855</v>
      </c>
      <c r="U57" s="73" t="n">
        <f aca="false">U55/$C$55</f>
        <v>0.0204585681124702</v>
      </c>
      <c r="V57" s="73" t="n">
        <f aca="false">V55/$C$55</f>
        <v>0.0298654111046146</v>
      </c>
      <c r="W57" s="73" t="n">
        <f aca="false">W55/$C$55</f>
        <v>0.0465612642053926</v>
      </c>
      <c r="X57" s="74" t="n">
        <f aca="false">X55/$C$55</f>
        <v>0.0968852434224774</v>
      </c>
      <c r="Y57" s="17"/>
      <c r="Z57" s="69"/>
    </row>
    <row r="58" customFormat="false" ht="15" hidden="false" customHeight="false" outlineLevel="0" collapsed="false">
      <c r="B58" s="65" t="s">
        <v>88</v>
      </c>
      <c r="C58" s="66" t="n">
        <f aca="false">I58+T58+X58</f>
        <v>40534.76</v>
      </c>
      <c r="D58" s="75" t="n">
        <v>10848.89</v>
      </c>
      <c r="E58" s="75" t="n">
        <v>1218.17</v>
      </c>
      <c r="F58" s="75" t="n">
        <v>591.99</v>
      </c>
      <c r="G58" s="75" t="n">
        <v>213.87</v>
      </c>
      <c r="H58" s="75" t="n">
        <v>0</v>
      </c>
      <c r="I58" s="68" t="n">
        <f aca="false">SUM(D58:H58)</f>
        <v>12872.92</v>
      </c>
      <c r="J58" s="75" t="n">
        <v>5174.57</v>
      </c>
      <c r="K58" s="75" t="n">
        <v>1462.29</v>
      </c>
      <c r="L58" s="75" t="n">
        <v>5186.06</v>
      </c>
      <c r="M58" s="75" t="n">
        <v>847</v>
      </c>
      <c r="N58" s="75" t="n">
        <v>910.53</v>
      </c>
      <c r="O58" s="75" t="n">
        <v>535.43</v>
      </c>
      <c r="P58" s="75" t="n">
        <v>514.25</v>
      </c>
      <c r="Q58" s="75" t="n">
        <v>1870.66</v>
      </c>
      <c r="R58" s="75" t="n">
        <v>7377.98</v>
      </c>
      <c r="S58" s="75" t="n">
        <v>0</v>
      </c>
      <c r="T58" s="68" t="n">
        <f aca="false">SUM(J58:S58)</f>
        <v>23878.77</v>
      </c>
      <c r="U58" s="75" t="n">
        <v>948.64</v>
      </c>
      <c r="V58" s="75" t="n">
        <v>1270.5</v>
      </c>
      <c r="W58" s="75" t="n">
        <v>1563.93</v>
      </c>
      <c r="X58" s="68" t="n">
        <f aca="false">SUM(U58:W58)</f>
        <v>3783.07</v>
      </c>
      <c r="Y58" s="17"/>
      <c r="Z58" s="69"/>
    </row>
    <row r="59" customFormat="false" ht="15" hidden="false" customHeight="false" outlineLevel="0" collapsed="false">
      <c r="B59" s="65" t="s">
        <v>89</v>
      </c>
      <c r="C59" s="66" t="n">
        <f aca="false">I59+T59+X59</f>
        <v>18313.26</v>
      </c>
      <c r="D59" s="75" t="n">
        <v>3879.26</v>
      </c>
      <c r="E59" s="75" t="n">
        <v>463.73</v>
      </c>
      <c r="F59" s="75" t="n">
        <v>433.48</v>
      </c>
      <c r="G59" s="75" t="n">
        <v>215.68</v>
      </c>
      <c r="H59" s="75" t="n">
        <v>140.07</v>
      </c>
      <c r="I59" s="68" t="n">
        <f aca="false">SUM(D59:H59)</f>
        <v>5132.22</v>
      </c>
      <c r="J59" s="75" t="n">
        <v>2532.63</v>
      </c>
      <c r="K59" s="75" t="n">
        <v>555.39</v>
      </c>
      <c r="L59" s="75" t="n">
        <v>2903.78</v>
      </c>
      <c r="M59" s="75" t="n">
        <v>710.88</v>
      </c>
      <c r="N59" s="75" t="n">
        <v>405.35</v>
      </c>
      <c r="O59" s="75" t="n">
        <v>381.15</v>
      </c>
      <c r="P59" s="75" t="n">
        <v>251.08</v>
      </c>
      <c r="Q59" s="75" t="n">
        <v>467.67</v>
      </c>
      <c r="R59" s="75" t="n">
        <v>2725.53</v>
      </c>
      <c r="S59" s="75" t="n">
        <v>329.12</v>
      </c>
      <c r="T59" s="68" t="n">
        <f aca="false">SUM(J59:S59)</f>
        <v>11262.58</v>
      </c>
      <c r="U59" s="75" t="n">
        <v>255.31</v>
      </c>
      <c r="V59" s="75" t="n">
        <v>487.03</v>
      </c>
      <c r="W59" s="75" t="n">
        <v>1176.12</v>
      </c>
      <c r="X59" s="68" t="n">
        <f aca="false">SUM(U59:W59)</f>
        <v>1918.46</v>
      </c>
      <c r="Y59" s="17"/>
      <c r="Z59" s="69"/>
    </row>
    <row r="60" customFormat="false" ht="15" hidden="false" customHeight="false" outlineLevel="0" collapsed="false">
      <c r="B60" s="65" t="s">
        <v>90</v>
      </c>
      <c r="C60" s="66" t="n">
        <f aca="false">I60+T60+X60+Y60+Z60</f>
        <v>81811.424475</v>
      </c>
      <c r="D60" s="67" t="n">
        <f aca="false">D58+D59</f>
        <v>14728.15</v>
      </c>
      <c r="E60" s="67" t="n">
        <f aca="false">E58+E59</f>
        <v>1681.9</v>
      </c>
      <c r="F60" s="67" t="n">
        <f aca="false">F58+F59</f>
        <v>1025.47</v>
      </c>
      <c r="G60" s="67" t="n">
        <f aca="false">G58+G59</f>
        <v>429.55</v>
      </c>
      <c r="H60" s="67" t="n">
        <f aca="false">H58+H59</f>
        <v>140.07</v>
      </c>
      <c r="I60" s="68" t="n">
        <f aca="false">SUM(D60:H60)</f>
        <v>18005.14</v>
      </c>
      <c r="J60" s="67" t="n">
        <f aca="false">J58+J59</f>
        <v>7707.2</v>
      </c>
      <c r="K60" s="67" t="n">
        <f aca="false">K58+K59</f>
        <v>2017.68</v>
      </c>
      <c r="L60" s="67" t="n">
        <f aca="false">L58+L59</f>
        <v>8089.84</v>
      </c>
      <c r="M60" s="67" t="n">
        <f aca="false">M58+M59</f>
        <v>1557.88</v>
      </c>
      <c r="N60" s="67" t="n">
        <f aca="false">N58+N59</f>
        <v>1315.88</v>
      </c>
      <c r="O60" s="67" t="n">
        <f aca="false">O58+O59</f>
        <v>916.58</v>
      </c>
      <c r="P60" s="67" t="n">
        <f aca="false">P58+P59</f>
        <v>765.33</v>
      </c>
      <c r="Q60" s="67" t="n">
        <f aca="false">Q58+Q59</f>
        <v>2338.33</v>
      </c>
      <c r="R60" s="67" t="n">
        <f aca="false">R58+R59</f>
        <v>10103.51</v>
      </c>
      <c r="S60" s="67" t="n">
        <f aca="false">S58+S59</f>
        <v>329.12</v>
      </c>
      <c r="T60" s="68" t="n">
        <f aca="false">SUM(J60:S60)</f>
        <v>35141.35</v>
      </c>
      <c r="U60" s="67" t="n">
        <f aca="false">U58+U59</f>
        <v>1203.95</v>
      </c>
      <c r="V60" s="67" t="n">
        <f aca="false">V58+V59</f>
        <v>1757.53</v>
      </c>
      <c r="W60" s="67" t="n">
        <f aca="false">W58+W59</f>
        <v>2740.05</v>
      </c>
      <c r="X60" s="68" t="n">
        <f aca="false">SUM(U60:W60)</f>
        <v>5701.53</v>
      </c>
      <c r="Y60" s="75" t="n">
        <v>1585.81</v>
      </c>
      <c r="Z60" s="44" t="n">
        <f aca="false">$C$55-($I$60+$T$60+$X$60)-$Y$60</f>
        <v>21377.594475</v>
      </c>
    </row>
    <row r="61" customFormat="false" ht="15" hidden="false" customHeight="false" outlineLevel="0" collapsed="false">
      <c r="B61" s="65" t="s">
        <v>87</v>
      </c>
      <c r="C61" s="72" t="n">
        <f aca="false">C60/$C$60</f>
        <v>1</v>
      </c>
      <c r="D61" s="73" t="n">
        <f aca="false">D60/$C$60</f>
        <v>0.180025590490734</v>
      </c>
      <c r="E61" s="73" t="n">
        <f aca="false">E60/$C$60</f>
        <v>0.020558253456569</v>
      </c>
      <c r="F61" s="73" t="n">
        <f aca="false">F60/$C$60</f>
        <v>0.0125345574481882</v>
      </c>
      <c r="G61" s="73" t="n">
        <f aca="false">G60/$C$60</f>
        <v>0.00525048919214531</v>
      </c>
      <c r="H61" s="73" t="n">
        <f aca="false">H60/$C$60</f>
        <v>0.00171210806924408</v>
      </c>
      <c r="I61" s="74" t="n">
        <f aca="false">I60/$C$60</f>
        <v>0.220080998656881</v>
      </c>
      <c r="J61" s="73" t="n">
        <f aca="false">J60/$C$60</f>
        <v>0.0942068916347395</v>
      </c>
      <c r="K61" s="73" t="n">
        <f aca="false">K60/$C$60</f>
        <v>0.0246625702088412</v>
      </c>
      <c r="L61" s="73" t="n">
        <f aca="false">L60/$C$60</f>
        <v>0.0988839890261549</v>
      </c>
      <c r="M61" s="73" t="n">
        <f aca="false">M60/$C$60</f>
        <v>0.0190423282566857</v>
      </c>
      <c r="N61" s="73" t="n">
        <f aca="false">N60/$C$60</f>
        <v>0.0160843061766038</v>
      </c>
      <c r="O61" s="73" t="n">
        <f aca="false">O60/$C$60</f>
        <v>0.0112035697444687</v>
      </c>
      <c r="P61" s="73" t="n">
        <f aca="false">P60/$C$60</f>
        <v>0.00935480594441758</v>
      </c>
      <c r="Q61" s="73" t="n">
        <f aca="false">Q60/$C$60</f>
        <v>0.0285819494649497</v>
      </c>
      <c r="R61" s="73" t="n">
        <f aca="false">R60/$C$60</f>
        <v>0.123497544075735</v>
      </c>
      <c r="S61" s="73" t="n">
        <f aca="false">S60/$C$60</f>
        <v>0.00402291002891134</v>
      </c>
      <c r="T61" s="74" t="n">
        <f aca="false">T60/$C$60</f>
        <v>0.429540864561508</v>
      </c>
      <c r="U61" s="73" t="n">
        <f aca="false">U60/$C$60</f>
        <v>0.0147161598484073</v>
      </c>
      <c r="V61" s="73" t="n">
        <f aca="false">V60/$C$60</f>
        <v>0.0214826964727532</v>
      </c>
      <c r="W61" s="73" t="n">
        <f aca="false">W60/$C$60</f>
        <v>0.0334922661178856</v>
      </c>
      <c r="X61" s="74" t="n">
        <f aca="false">X60/$C$60</f>
        <v>0.0696911224390461</v>
      </c>
      <c r="Y61" s="73" t="n">
        <f aca="false">Y60/$C$60</f>
        <v>0.0193837231190687</v>
      </c>
      <c r="Z61" s="76" t="n">
        <f aca="false">Z60/$C$60</f>
        <v>0.261303291223496</v>
      </c>
    </row>
    <row r="62" customFormat="false" ht="15" hidden="false" customHeight="false" outlineLevel="0" collapsed="false">
      <c r="B62" s="65" t="s">
        <v>91</v>
      </c>
      <c r="C62" s="66" t="n">
        <f aca="false">I62+T62+X62</f>
        <v>21377.594475</v>
      </c>
      <c r="D62" s="67" t="n">
        <f aca="false">$Z$60*D60/($I$60+$T$60+$X$60)</f>
        <v>5350.26357840028</v>
      </c>
      <c r="E62" s="67" t="n">
        <f aca="false">$Z$60*E60/($I$60+$T$60+$X$60)</f>
        <v>610.980219003162</v>
      </c>
      <c r="F62" s="67" t="n">
        <f aca="false">$Z$60*F60/($I$60+$T$60+$X$60)</f>
        <v>372.520295606857</v>
      </c>
      <c r="G62" s="67" t="n">
        <f aca="false">$Z$60*G60/($I$60+$T$60+$X$60)</f>
        <v>156.041710608721</v>
      </c>
      <c r="H62" s="67" t="n">
        <f aca="false">$Z$60*H60/($I$60+$T$60+$X$60)</f>
        <v>50.8829295890201</v>
      </c>
      <c r="I62" s="68" t="n">
        <f aca="false">SUM(D62:H62)</f>
        <v>6540.68873320804</v>
      </c>
      <c r="J62" s="67" t="n">
        <f aca="false">$Z$60*J60/($I$60+$T$60+$X$60)</f>
        <v>2799.7780747376</v>
      </c>
      <c r="K62" s="67" t="n">
        <f aca="false">$Z$60*K60/($I$60+$T$60+$X$60)</f>
        <v>732.958302085915</v>
      </c>
      <c r="L62" s="67" t="n">
        <f aca="false">$Z$60*L60/($I$60+$T$60+$X$60)</f>
        <v>2938.77888988676</v>
      </c>
      <c r="M62" s="67" t="n">
        <f aca="false">$Z$60*M60/($I$60+$T$60+$X$60)</f>
        <v>565.927738617425</v>
      </c>
      <c r="N62" s="67" t="n">
        <f aca="false">$Z$60*N60/($I$60+$T$60+$X$60)</f>
        <v>478.016915739272</v>
      </c>
      <c r="O62" s="67" t="n">
        <f aca="false">$Z$60*O60/($I$60+$T$60+$X$60)</f>
        <v>332.96405799032</v>
      </c>
      <c r="P62" s="67" t="n">
        <f aca="false">$Z$60*P60/($I$60+$T$60+$X$60)</f>
        <v>278.019793691474</v>
      </c>
      <c r="Q62" s="67" t="n">
        <f aca="false">$Z$60*Q60/($I$60+$T$60+$X$60)</f>
        <v>849.440142399468</v>
      </c>
      <c r="R62" s="67" t="n">
        <f aca="false">$Z$60*R60/($I$60+$T$60+$X$60)</f>
        <v>3670.28048784151</v>
      </c>
      <c r="S62" s="67" t="n">
        <f aca="false">$Z$60*S60/($I$60+$T$60+$X$60)</f>
        <v>119.558719114288</v>
      </c>
      <c r="T62" s="68" t="n">
        <f aca="false">SUM(J62:S62)</f>
        <v>12765.723122104</v>
      </c>
      <c r="U62" s="67" t="n">
        <f aca="false">$Z$60*U60/($I$60+$T$60+$X$60)</f>
        <v>437.35634381881</v>
      </c>
      <c r="V62" s="67" t="n">
        <f aca="false">$Z$60*V60/($I$60+$T$60+$X$60)</f>
        <v>638.454167491901</v>
      </c>
      <c r="W62" s="67" t="n">
        <f aca="false">$Z$60*W60/($I$60+$T$60+$X$60)</f>
        <v>995.372108377201</v>
      </c>
      <c r="X62" s="68" t="n">
        <f aca="false">SUM(U62:W62)</f>
        <v>2071.18261968791</v>
      </c>
      <c r="Y62" s="17"/>
      <c r="Z62" s="69"/>
    </row>
    <row r="63" customFormat="false" ht="15" hidden="false" customHeight="false" outlineLevel="0" collapsed="false">
      <c r="B63" s="65" t="s">
        <v>92</v>
      </c>
      <c r="C63" s="66" t="n">
        <f aca="false">I63+T63+X63</f>
        <v>1585.81</v>
      </c>
      <c r="D63" s="67" t="n">
        <f aca="false">$Y$60*D60/($I$60+$T$60+$X$60)</f>
        <v>396.887568205353</v>
      </c>
      <c r="E63" s="67" t="n">
        <f aca="false">$Y$60*E60/($I$60+$T$60+$X$60)</f>
        <v>45.3230854496039</v>
      </c>
      <c r="F63" s="67" t="n">
        <f aca="false">$Y$60*F60/($I$60+$T$60+$X$60)</f>
        <v>27.6339047719872</v>
      </c>
      <c r="G63" s="67" t="n">
        <f aca="false">$Y$60*G60/($I$60+$T$60+$X$60)</f>
        <v>11.5753203846111</v>
      </c>
      <c r="H63" s="67" t="n">
        <f aca="false">$Y$60*H60/($I$60+$T$60+$X$60)</f>
        <v>3.77454342049231</v>
      </c>
      <c r="I63" s="68" t="n">
        <f aca="false">SUM(D63:H63)</f>
        <v>485.194422232048</v>
      </c>
      <c r="J63" s="67" t="n">
        <f aca="false">$Y$60*J60/($I$60+$T$60+$X$60)</f>
        <v>207.690162421777</v>
      </c>
      <c r="K63" s="67" t="n">
        <f aca="false">$Y$60*K60/($I$60+$T$60+$X$60)</f>
        <v>54.3715340091306</v>
      </c>
      <c r="L63" s="67" t="n">
        <f aca="false">$Y$60*L60/($I$60+$T$60+$X$60)</f>
        <v>218.00137320508</v>
      </c>
      <c r="M63" s="67" t="n">
        <f aca="false">$Y$60*M60/($I$60+$T$60+$X$60)</f>
        <v>41.9810502171526</v>
      </c>
      <c r="N63" s="67" t="n">
        <f aca="false">$Y$60*N60/($I$60+$T$60+$X$60)</f>
        <v>35.4597429582168</v>
      </c>
      <c r="O63" s="67" t="n">
        <f aca="false">$Y$60*O60/($I$60+$T$60+$X$60)</f>
        <v>24.6995859809727</v>
      </c>
      <c r="P63" s="67" t="n">
        <f aca="false">$Y$60*P60/($I$60+$T$60+$X$60)</f>
        <v>20.6237689441378</v>
      </c>
      <c r="Q63" s="67" t="n">
        <f aca="false">$Y$60*Q60/($I$60+$T$60+$X$60)</f>
        <v>63.0122661272206</v>
      </c>
      <c r="R63" s="67" t="n">
        <f aca="false">$Y$60*R60/($I$60+$T$60+$X$60)</f>
        <v>272.264847536077</v>
      </c>
      <c r="S63" s="67" t="n">
        <f aca="false">$Y$60*S60/($I$60+$T$60+$X$60)</f>
        <v>8.86897787215271</v>
      </c>
      <c r="T63" s="68" t="n">
        <f aca="false">SUM(J63:S63)</f>
        <v>946.973309271918</v>
      </c>
      <c r="U63" s="67" t="n">
        <f aca="false">$Y$60*U60/($I$60+$T$60+$X$60)</f>
        <v>32.4435036132057</v>
      </c>
      <c r="V63" s="67" t="n">
        <f aca="false">$Y$60*V60/($I$60+$T$60+$X$60)</f>
        <v>47.3611287057746</v>
      </c>
      <c r="W63" s="67" t="n">
        <f aca="false">$Y$60*W60/($I$60+$T$60+$X$60)</f>
        <v>73.8376361770541</v>
      </c>
      <c r="X63" s="68" t="n">
        <f aca="false">SUM(U63:W63)</f>
        <v>153.642268496034</v>
      </c>
      <c r="Y63" s="17"/>
      <c r="Z63" s="69"/>
    </row>
    <row r="64" customFormat="false" ht="15" hidden="false" customHeight="false" outlineLevel="0" collapsed="false">
      <c r="B64" s="65" t="s">
        <v>93</v>
      </c>
      <c r="C64" s="66" t="n">
        <f aca="false">I64+T64+X64</f>
        <v>41276.664475</v>
      </c>
      <c r="D64" s="67" t="n">
        <f aca="false">D59+D62+D63</f>
        <v>9626.41114660563</v>
      </c>
      <c r="E64" s="67" t="n">
        <f aca="false">E59+E62+E63</f>
        <v>1120.03330445277</v>
      </c>
      <c r="F64" s="67" t="n">
        <f aca="false">F59+F62+F63</f>
        <v>833.634200378844</v>
      </c>
      <c r="G64" s="67" t="n">
        <f aca="false">G59+G62+G63</f>
        <v>383.297030993332</v>
      </c>
      <c r="H64" s="67" t="n">
        <f aca="false">H59+H62+H63</f>
        <v>194.727473009512</v>
      </c>
      <c r="I64" s="68" t="n">
        <f aca="false">SUM(D64:H64)</f>
        <v>12158.1031554401</v>
      </c>
      <c r="J64" s="67" t="n">
        <f aca="false">J59+J62+J63</f>
        <v>5540.09823715938</v>
      </c>
      <c r="K64" s="67" t="n">
        <f aca="false">K59+K62+K63</f>
        <v>1342.71983609505</v>
      </c>
      <c r="L64" s="67" t="n">
        <f aca="false">L59+L62+L63</f>
        <v>6060.56026309184</v>
      </c>
      <c r="M64" s="67" t="n">
        <f aca="false">M59+M62+M63</f>
        <v>1318.78878883458</v>
      </c>
      <c r="N64" s="67" t="n">
        <f aca="false">N59+N62+N63</f>
        <v>918.826658697489</v>
      </c>
      <c r="O64" s="67" t="n">
        <f aca="false">O59+O62+O63</f>
        <v>738.813643971292</v>
      </c>
      <c r="P64" s="67" t="n">
        <f aca="false">P59+P62+P63</f>
        <v>549.723562635612</v>
      </c>
      <c r="Q64" s="67" t="n">
        <f aca="false">Q59+Q62+Q63</f>
        <v>1380.12240852669</v>
      </c>
      <c r="R64" s="67" t="n">
        <f aca="false">R59+R62+R63</f>
        <v>6668.07533537759</v>
      </c>
      <c r="S64" s="67" t="n">
        <f aca="false">S59+S62+S63</f>
        <v>457.547696986441</v>
      </c>
      <c r="T64" s="68" t="n">
        <f aca="false">SUM(J64:S64)</f>
        <v>24975.276431376</v>
      </c>
      <c r="U64" s="67" t="n">
        <f aca="false">U59+U62+U63</f>
        <v>725.109847432016</v>
      </c>
      <c r="V64" s="67" t="n">
        <f aca="false">V59+V62+V63</f>
        <v>1172.84529619768</v>
      </c>
      <c r="W64" s="67" t="n">
        <f aca="false">W59+W62+W63</f>
        <v>2245.32974455426</v>
      </c>
      <c r="X64" s="68" t="n">
        <f aca="false">SUM(U64:W64)</f>
        <v>4143.28488818395</v>
      </c>
      <c r="Y64" s="17"/>
      <c r="Z64" s="69"/>
    </row>
    <row r="65" customFormat="false" ht="15" hidden="false" customHeight="false" outlineLevel="0" collapsed="false">
      <c r="B65" s="65" t="s">
        <v>94</v>
      </c>
      <c r="C65" s="72" t="n">
        <f aca="false">C58/C55</f>
        <v>0.495465764838096</v>
      </c>
      <c r="D65" s="73" t="n">
        <f aca="false">IF(D55=0,0,D58/D55)</f>
        <v>0.529853979915034</v>
      </c>
      <c r="E65" s="73" t="n">
        <f aca="false">IF(E55=0,0,E58/E55)</f>
        <v>0.520986685494271</v>
      </c>
      <c r="F65" s="73" t="n">
        <f aca="false">IF(F55=0,0,F58/F55)</f>
        <v>0.415248563606756</v>
      </c>
      <c r="G65" s="73" t="n">
        <f aca="false">IF(G55=0,0,G58/G55)</f>
        <v>0.358142072064642</v>
      </c>
      <c r="H65" s="73" t="n">
        <f aca="false">IF(H55=0,0,H58/H55)</f>
        <v>0</v>
      </c>
      <c r="I65" s="74" t="n">
        <f aca="false">IF(I55=0,0,I58/I55)</f>
        <v>0.514279761659233</v>
      </c>
      <c r="J65" s="73" t="n">
        <f aca="false">IF(J55=0,0,J58/J55)</f>
        <v>0.48293159263169</v>
      </c>
      <c r="K65" s="73" t="n">
        <f aca="false">IF(K55=0,0,K58/K55)</f>
        <v>0.521316479101106</v>
      </c>
      <c r="L65" s="73" t="n">
        <f aca="false">IF(L55=0,0,L58/L55)</f>
        <v>0.461122757527001</v>
      </c>
      <c r="M65" s="73" t="n">
        <f aca="false">IF(M55=0,0,M58/M55)</f>
        <v>0.391083846980065</v>
      </c>
      <c r="N65" s="73" t="n">
        <f aca="false">IF(N55=0,0,N58/N55)</f>
        <v>0.497735650728016</v>
      </c>
      <c r="O65" s="73" t="n">
        <f aca="false">IF(O55=0,0,O58/O55)</f>
        <v>0.420197925363484</v>
      </c>
      <c r="P65" s="73" t="n">
        <f aca="false">IF(P55=0,0,P58/P55)</f>
        <v>0.483333522875891</v>
      </c>
      <c r="Q65" s="73" t="n">
        <f aca="false">IF(Q55=0,0,Q58/Q55)</f>
        <v>0.575451735195425</v>
      </c>
      <c r="R65" s="73" t="n">
        <f aca="false">IF(R55=0,0,R58/R55)</f>
        <v>0.525272538062325</v>
      </c>
      <c r="S65" s="73" t="n">
        <f aca="false">IF(S55=0,0,S58/S55)</f>
        <v>0</v>
      </c>
      <c r="T65" s="74" t="n">
        <f aca="false">IF(T55=0,0,T58/T55)</f>
        <v>0.488776823593151</v>
      </c>
      <c r="U65" s="73" t="n">
        <f aca="false">IF(U55=0,0,U58/U55)</f>
        <v>0.566777033963246</v>
      </c>
      <c r="V65" s="73" t="n">
        <f aca="false">IF(V55=0,0,V58/V55)</f>
        <v>0.519986678436524</v>
      </c>
      <c r="W65" s="73" t="n">
        <f aca="false">IF(W55=0,0,W58/W55)</f>
        <v>0.410561850820059</v>
      </c>
      <c r="X65" s="74" t="n">
        <f aca="false">IF(X55=0,0,X58/X55)</f>
        <v>0.477279507689305</v>
      </c>
      <c r="Y65" s="17"/>
      <c r="Z65" s="69"/>
    </row>
    <row r="66" customFormat="false" ht="15" hidden="false" customHeight="false" outlineLevel="0" collapsed="false">
      <c r="B66" s="77" t="s">
        <v>95</v>
      </c>
      <c r="C66" s="23"/>
      <c r="D66" s="78" t="s">
        <v>96</v>
      </c>
      <c r="E66" s="23"/>
      <c r="F66" s="23"/>
      <c r="G66" s="23"/>
      <c r="H66" s="23"/>
      <c r="I66" s="23"/>
      <c r="J66" s="78" t="s">
        <v>97</v>
      </c>
      <c r="K66" s="23"/>
      <c r="L66" s="78" t="s">
        <v>98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79"/>
    </row>
    <row r="68" customFormat="false" ht="15" hidden="false" customHeight="false" outlineLevel="0" collapsed="false">
      <c r="B68" s="33" t="s">
        <v>99</v>
      </c>
      <c r="D68" s="80" t="n">
        <v>16515</v>
      </c>
      <c r="E68" s="81" t="n">
        <f aca="false">$D$68*$F$40</f>
        <v>4995.7875</v>
      </c>
    </row>
    <row r="70" customFormat="false" ht="15" hidden="false" customHeight="false" outlineLevel="0" collapsed="false">
      <c r="B70" s="59" t="s">
        <v>63</v>
      </c>
      <c r="C70" s="61" t="s">
        <v>100</v>
      </c>
      <c r="D70" s="60" t="s">
        <v>101</v>
      </c>
      <c r="E70" s="64" t="s">
        <v>102</v>
      </c>
    </row>
    <row r="71" customFormat="false" ht="15" hidden="false" customHeight="false" outlineLevel="0" collapsed="false">
      <c r="B71" s="16" t="s">
        <v>57</v>
      </c>
      <c r="C71" s="82" t="n">
        <f aca="false">$E$46/$C$55</f>
        <v>0.281234245065991</v>
      </c>
      <c r="D71" s="53" t="n">
        <f aca="false">C71*$D$68</f>
        <v>4644.58355726485</v>
      </c>
      <c r="E71" s="44" t="n">
        <f aca="false">C71*$E$68</f>
        <v>1404.98652607262</v>
      </c>
    </row>
    <row r="72" customFormat="false" ht="15" hidden="false" customHeight="false" outlineLevel="0" collapsed="false">
      <c r="B72" s="16" t="s">
        <v>103</v>
      </c>
      <c r="C72" s="82" t="n">
        <f aca="false">$E$47/$C$55</f>
        <v>0.16525696578149</v>
      </c>
      <c r="D72" s="53" t="n">
        <f aca="false">C72*$D$68</f>
        <v>2729.2187898813</v>
      </c>
      <c r="E72" s="44" t="n">
        <f aca="false">C72*$E$68</f>
        <v>825.588683939094</v>
      </c>
    </row>
    <row r="73" customFormat="false" ht="15" hidden="false" customHeight="false" outlineLevel="0" collapsed="false">
      <c r="B73" s="16" t="s">
        <v>59</v>
      </c>
      <c r="C73" s="82" t="n">
        <f aca="false">$E$48/$C$55</f>
        <v>0.260210916587882</v>
      </c>
      <c r="D73" s="53" t="n">
        <f aca="false">C73*$D$68</f>
        <v>4297.38328744886</v>
      </c>
      <c r="E73" s="44" t="n">
        <f aca="false">C73*$E$68</f>
        <v>1299.95844445328</v>
      </c>
    </row>
    <row r="74" customFormat="false" ht="15" hidden="false" customHeight="false" outlineLevel="0" collapsed="false">
      <c r="B74" s="16" t="s">
        <v>60</v>
      </c>
      <c r="C74" s="82" t="n">
        <f aca="false">$E$49/$C$55</f>
        <v>0.171687557882484</v>
      </c>
      <c r="D74" s="53" t="n">
        <f aca="false">C74*$D$68</f>
        <v>2835.42001842922</v>
      </c>
      <c r="E74" s="44" t="n">
        <f aca="false">C74*$E$68</f>
        <v>857.714555574838</v>
      </c>
    </row>
    <row r="75" customFormat="false" ht="15" hidden="false" customHeight="false" outlineLevel="0" collapsed="false">
      <c r="B75" s="16" t="s">
        <v>61</v>
      </c>
      <c r="C75" s="82" t="n">
        <f aca="false">$E$50/$C$55</f>
        <v>0.121610314682154</v>
      </c>
      <c r="D75" s="53" t="n">
        <f aca="false">C75*$D$68</f>
        <v>2008.39434697577</v>
      </c>
      <c r="E75" s="44" t="n">
        <f aca="false">C75*$E$68</f>
        <v>607.53928996017</v>
      </c>
    </row>
    <row r="76" customFormat="false" ht="15" hidden="false" customHeight="false" outlineLevel="0" collapsed="false">
      <c r="B76" s="77" t="s">
        <v>62</v>
      </c>
      <c r="C76" s="83" t="n">
        <f aca="false">SUM(C71:C75)</f>
        <v>1</v>
      </c>
      <c r="D76" s="47" t="n">
        <f aca="false">SUM(D71:D75)</f>
        <v>16515</v>
      </c>
      <c r="E76" s="48" t="n">
        <f aca="false">SUM(E71:E75)</f>
        <v>4995.7875</v>
      </c>
    </row>
    <row r="78" customFormat="false" ht="15" hidden="false" customHeight="false" outlineLevel="0" collapsed="false">
      <c r="A78" s="26" t="s">
        <v>104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15" hidden="false" customHeight="false" outlineLevel="0" collapsed="false">
      <c r="B79" s="84" t="s">
        <v>105</v>
      </c>
    </row>
    <row r="81" customFormat="false" ht="15" hidden="false" customHeight="false" outlineLevel="0" collapsed="false">
      <c r="A81" s="85" t="s">
        <v>57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</row>
    <row r="82" customFormat="false" ht="15" hidden="false" customHeight="false" outlineLevel="0" collapsed="false">
      <c r="B82" s="87" t="s">
        <v>106</v>
      </c>
      <c r="C82" s="38" t="s">
        <v>107</v>
      </c>
      <c r="D82" s="38" t="s">
        <v>108</v>
      </c>
      <c r="E82" s="88" t="n">
        <v>270</v>
      </c>
      <c r="G82" s="59" t="s">
        <v>109</v>
      </c>
      <c r="H82" s="60" t="s">
        <v>110</v>
      </c>
      <c r="I82" s="60" t="s">
        <v>111</v>
      </c>
      <c r="J82" s="64" t="s">
        <v>112</v>
      </c>
    </row>
    <row r="83" customFormat="false" ht="15" hidden="false" customHeight="false" outlineLevel="0" collapsed="false">
      <c r="B83" s="41"/>
      <c r="C83" s="42" t="s">
        <v>109</v>
      </c>
      <c r="D83" s="42" t="s">
        <v>113</v>
      </c>
      <c r="E83" s="89" t="n">
        <v>2000</v>
      </c>
      <c r="G83" s="16" t="s">
        <v>114</v>
      </c>
      <c r="H83" s="90" t="n">
        <v>46477</v>
      </c>
      <c r="I83" s="91" t="n">
        <v>0.1</v>
      </c>
      <c r="J83" s="92" t="n">
        <f aca="false">EOMONTH(H83,0)</f>
        <v>46477</v>
      </c>
    </row>
    <row r="84" customFormat="false" ht="15" hidden="false" customHeight="false" outlineLevel="0" collapsed="false">
      <c r="B84" s="41"/>
      <c r="C84" s="42" t="s">
        <v>115</v>
      </c>
      <c r="D84" s="42" t="s">
        <v>116</v>
      </c>
      <c r="E84" s="93" t="n">
        <f aca="false">$E$82*$E$83</f>
        <v>540000</v>
      </c>
      <c r="G84" s="16" t="s">
        <v>117</v>
      </c>
      <c r="H84" s="90" t="n">
        <v>46842</v>
      </c>
      <c r="I84" s="91" t="n">
        <v>0.2</v>
      </c>
      <c r="J84" s="92" t="n">
        <f aca="false">EOMONTH(H84,0)</f>
        <v>46843</v>
      </c>
    </row>
    <row r="85" customFormat="false" ht="15" hidden="false" customHeight="false" outlineLevel="0" collapsed="false">
      <c r="B85" s="41"/>
      <c r="C85" s="42" t="s">
        <v>118</v>
      </c>
      <c r="D85" s="42" t="s">
        <v>119</v>
      </c>
      <c r="E85" s="89" t="n">
        <v>0</v>
      </c>
      <c r="G85" s="16" t="s">
        <v>120</v>
      </c>
      <c r="H85" s="90" t="n">
        <v>47208</v>
      </c>
      <c r="I85" s="91" t="n">
        <v>0.2</v>
      </c>
      <c r="J85" s="92" t="n">
        <f aca="false">EOMONTH(H85,0)</f>
        <v>47208</v>
      </c>
    </row>
    <row r="86" customFormat="false" ht="15" hidden="false" customHeight="false" outlineLevel="0" collapsed="false">
      <c r="B86" s="41"/>
      <c r="C86" s="42" t="s">
        <v>121</v>
      </c>
      <c r="D86" s="42" t="s">
        <v>119</v>
      </c>
      <c r="E86" s="89" t="n">
        <v>6000</v>
      </c>
      <c r="G86" s="16" t="s">
        <v>122</v>
      </c>
      <c r="H86" s="90" t="n">
        <v>47573</v>
      </c>
      <c r="I86" s="91" t="n">
        <v>0.2</v>
      </c>
      <c r="J86" s="92" t="n">
        <f aca="false">EOMONTH(H86,0)</f>
        <v>47573</v>
      </c>
    </row>
    <row r="87" customFormat="false" ht="15" hidden="false" customHeight="false" outlineLevel="0" collapsed="false">
      <c r="B87" s="41"/>
      <c r="C87" s="42" t="s">
        <v>123</v>
      </c>
      <c r="D87" s="94" t="s">
        <v>124</v>
      </c>
      <c r="E87" s="95" t="n">
        <v>0.02</v>
      </c>
      <c r="G87" s="16" t="s">
        <v>125</v>
      </c>
      <c r="H87" s="90" t="n">
        <v>47938</v>
      </c>
      <c r="I87" s="91" t="n">
        <v>0.3</v>
      </c>
      <c r="J87" s="92" t="n">
        <f aca="false">EOMONTH(H87,0)</f>
        <v>47938</v>
      </c>
    </row>
    <row r="88" customFormat="false" ht="15" hidden="false" customHeight="false" outlineLevel="0" collapsed="false">
      <c r="B88" s="41"/>
      <c r="C88" s="42" t="s">
        <v>126</v>
      </c>
      <c r="D88" s="42" t="s">
        <v>127</v>
      </c>
      <c r="E88" s="96" t="n">
        <v>12</v>
      </c>
      <c r="G88" s="77" t="s">
        <v>62</v>
      </c>
      <c r="H88" s="23"/>
      <c r="I88" s="97" t="n">
        <f aca="false">SUM(I83:I87)</f>
        <v>1</v>
      </c>
      <c r="J88" s="79"/>
    </row>
    <row r="89" customFormat="false" ht="15" hidden="false" customHeight="false" outlineLevel="0" collapsed="false">
      <c r="B89" s="41"/>
      <c r="C89" s="42" t="s">
        <v>128</v>
      </c>
      <c r="D89" s="94" t="s">
        <v>124</v>
      </c>
      <c r="E89" s="95" t="n">
        <v>0.02</v>
      </c>
    </row>
    <row r="90" customFormat="false" ht="15" hidden="false" customHeight="false" outlineLevel="0" collapsed="false">
      <c r="B90" s="41"/>
      <c r="C90" s="42" t="s">
        <v>129</v>
      </c>
      <c r="D90" s="94" t="s">
        <v>130</v>
      </c>
      <c r="E90" s="95" t="n">
        <v>0.8</v>
      </c>
    </row>
    <row r="91" customFormat="false" ht="15" hidden="false" customHeight="false" outlineLevel="0" collapsed="false">
      <c r="B91" s="41"/>
      <c r="C91" s="17"/>
      <c r="D91" s="94" t="s">
        <v>131</v>
      </c>
      <c r="E91" s="95" t="n">
        <v>1</v>
      </c>
    </row>
    <row r="92" customFormat="false" ht="15" hidden="false" customHeight="false" outlineLevel="0" collapsed="false">
      <c r="B92" s="41"/>
      <c r="C92" s="17"/>
      <c r="D92" s="94" t="s">
        <v>132</v>
      </c>
      <c r="E92" s="95" t="n">
        <v>1</v>
      </c>
    </row>
    <row r="93" customFormat="false" ht="15" hidden="false" customHeight="false" outlineLevel="0" collapsed="false">
      <c r="B93" s="41"/>
      <c r="C93" s="42" t="s">
        <v>133</v>
      </c>
      <c r="D93" s="42" t="s">
        <v>134</v>
      </c>
      <c r="E93" s="95" t="n">
        <v>0.15</v>
      </c>
    </row>
    <row r="94" customFormat="false" ht="15" hidden="false" customHeight="false" outlineLevel="0" collapsed="false">
      <c r="B94" s="65" t="s">
        <v>135</v>
      </c>
      <c r="C94" s="94" t="s">
        <v>136</v>
      </c>
      <c r="D94" s="42" t="s">
        <v>137</v>
      </c>
      <c r="E94" s="89" t="n">
        <v>200</v>
      </c>
    </row>
    <row r="95" customFormat="false" ht="15" hidden="false" customHeight="false" outlineLevel="0" collapsed="false">
      <c r="B95" s="41"/>
      <c r="C95" s="94" t="s">
        <v>138</v>
      </c>
      <c r="D95" s="94" t="s">
        <v>124</v>
      </c>
      <c r="E95" s="95" t="n">
        <v>0.9</v>
      </c>
    </row>
    <row r="96" customFormat="false" ht="15" hidden="false" customHeight="false" outlineLevel="0" collapsed="false">
      <c r="B96" s="41"/>
      <c r="C96" s="42" t="s">
        <v>139</v>
      </c>
      <c r="D96" s="42" t="s">
        <v>140</v>
      </c>
      <c r="E96" s="95" t="n">
        <v>0.75</v>
      </c>
    </row>
    <row r="97" customFormat="false" ht="15" hidden="false" customHeight="false" outlineLevel="0" collapsed="false">
      <c r="B97" s="45"/>
      <c r="C97" s="98" t="s">
        <v>141</v>
      </c>
      <c r="D97" s="98" t="s">
        <v>140</v>
      </c>
      <c r="E97" s="99" t="n">
        <v>0.04</v>
      </c>
    </row>
    <row r="99" customFormat="false" ht="15" hidden="false" customHeight="false" outlineLevel="0" collapsed="false">
      <c r="A99" s="85" t="s">
        <v>142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</row>
    <row r="100" customFormat="false" ht="15" hidden="false" customHeight="false" outlineLevel="0" collapsed="false">
      <c r="B100" s="87" t="s">
        <v>106</v>
      </c>
      <c r="C100" s="38" t="s">
        <v>109</v>
      </c>
      <c r="D100" s="38" t="s">
        <v>116</v>
      </c>
      <c r="E100" s="88" t="n">
        <v>1500</v>
      </c>
    </row>
    <row r="101" customFormat="false" ht="15" hidden="false" customHeight="false" outlineLevel="0" collapsed="false">
      <c r="B101" s="41"/>
      <c r="C101" s="42" t="s">
        <v>143</v>
      </c>
      <c r="D101" s="42" t="s">
        <v>144</v>
      </c>
      <c r="E101" s="89" t="n">
        <v>120</v>
      </c>
    </row>
    <row r="102" customFormat="false" ht="15" hidden="false" customHeight="false" outlineLevel="0" collapsed="false">
      <c r="B102" s="41"/>
      <c r="C102" s="42" t="s">
        <v>88</v>
      </c>
      <c r="D102" s="42" t="s">
        <v>145</v>
      </c>
      <c r="E102" s="44" t="n">
        <f aca="false">$E$58</f>
        <v>1218.17</v>
      </c>
    </row>
    <row r="103" customFormat="false" ht="15" hidden="false" customHeight="false" outlineLevel="0" collapsed="false">
      <c r="B103" s="41"/>
      <c r="C103" s="42" t="s">
        <v>146</v>
      </c>
      <c r="D103" s="42" t="s">
        <v>147</v>
      </c>
      <c r="E103" s="93" t="n">
        <f aca="false">$E$101*$E$102/1000</f>
        <v>146.1804</v>
      </c>
    </row>
    <row r="104" customFormat="false" ht="15" hidden="false" customHeight="false" outlineLevel="0" collapsed="false">
      <c r="B104" s="41"/>
      <c r="C104" s="42" t="s">
        <v>123</v>
      </c>
      <c r="D104" s="94" t="s">
        <v>124</v>
      </c>
      <c r="E104" s="95" t="n">
        <v>0.02</v>
      </c>
    </row>
    <row r="105" customFormat="false" ht="15" hidden="false" customHeight="false" outlineLevel="0" collapsed="false">
      <c r="B105" s="41"/>
      <c r="C105" s="42" t="s">
        <v>126</v>
      </c>
      <c r="D105" s="42" t="s">
        <v>127</v>
      </c>
      <c r="E105" s="96" t="n">
        <v>12</v>
      </c>
    </row>
    <row r="106" customFormat="false" ht="15" hidden="false" customHeight="false" outlineLevel="0" collapsed="false">
      <c r="B106" s="45"/>
      <c r="C106" s="98" t="s">
        <v>128</v>
      </c>
      <c r="D106" s="100" t="s">
        <v>124</v>
      </c>
      <c r="E106" s="99" t="n">
        <v>0.02</v>
      </c>
    </row>
    <row r="108" customFormat="false" ht="15" hidden="false" customHeight="false" outlineLevel="0" collapsed="false">
      <c r="A108" s="85" t="s">
        <v>148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</row>
    <row r="109" customFormat="false" ht="15" hidden="false" customHeight="false" outlineLevel="0" collapsed="false">
      <c r="B109" s="59" t="s">
        <v>149</v>
      </c>
      <c r="C109" s="60" t="s">
        <v>150</v>
      </c>
      <c r="D109" s="60" t="s">
        <v>151</v>
      </c>
      <c r="E109" s="60" t="s">
        <v>152</v>
      </c>
      <c r="F109" s="61" t="s">
        <v>153</v>
      </c>
      <c r="G109" s="101" t="s">
        <v>154</v>
      </c>
      <c r="I109" s="59" t="s">
        <v>109</v>
      </c>
      <c r="J109" s="60" t="s">
        <v>110</v>
      </c>
      <c r="K109" s="60" t="s">
        <v>111</v>
      </c>
      <c r="L109" s="64" t="s">
        <v>112</v>
      </c>
    </row>
    <row r="110" customFormat="false" ht="15" hidden="false" customHeight="false" outlineLevel="0" collapsed="false">
      <c r="B110" s="102" t="s">
        <v>155</v>
      </c>
      <c r="C110" s="103" t="n">
        <v>39</v>
      </c>
      <c r="D110" s="103" t="n">
        <v>24</v>
      </c>
      <c r="E110" s="103" t="n">
        <v>2364</v>
      </c>
      <c r="F110" s="103" t="n">
        <v>530888</v>
      </c>
      <c r="G110" s="93" t="n">
        <f aca="false">D110*F110</f>
        <v>12741312</v>
      </c>
      <c r="I110" s="16" t="s">
        <v>114</v>
      </c>
      <c r="J110" s="90" t="n">
        <v>46477</v>
      </c>
      <c r="K110" s="91" t="n">
        <v>0.1</v>
      </c>
      <c r="L110" s="92" t="n">
        <f aca="false">EOMONTH(J110,0)</f>
        <v>46477</v>
      </c>
    </row>
    <row r="111" customFormat="false" ht="15" hidden="false" customHeight="false" outlineLevel="0" collapsed="false">
      <c r="B111" s="102" t="s">
        <v>156</v>
      </c>
      <c r="C111" s="103" t="n">
        <v>43</v>
      </c>
      <c r="D111" s="103" t="n">
        <v>24</v>
      </c>
      <c r="E111" s="103" t="n">
        <v>2592</v>
      </c>
      <c r="F111" s="103" t="n">
        <v>583976</v>
      </c>
      <c r="G111" s="93" t="n">
        <f aca="false">D111*F111</f>
        <v>14015424</v>
      </c>
      <c r="I111" s="16" t="s">
        <v>117</v>
      </c>
      <c r="J111" s="90" t="n">
        <v>46842</v>
      </c>
      <c r="K111" s="91" t="n">
        <v>0.2</v>
      </c>
      <c r="L111" s="92" t="n">
        <f aca="false">EOMONTH(J111,0)</f>
        <v>46843</v>
      </c>
    </row>
    <row r="112" customFormat="false" ht="15" hidden="false" customHeight="false" outlineLevel="0" collapsed="false">
      <c r="B112" s="102" t="s">
        <v>157</v>
      </c>
      <c r="C112" s="103" t="n">
        <v>61</v>
      </c>
      <c r="D112" s="103" t="n">
        <v>40</v>
      </c>
      <c r="E112" s="103" t="n">
        <v>3636</v>
      </c>
      <c r="F112" s="103" t="n">
        <v>816750</v>
      </c>
      <c r="G112" s="93" t="n">
        <f aca="false">D112*F112</f>
        <v>32670000</v>
      </c>
      <c r="I112" s="16" t="s">
        <v>120</v>
      </c>
      <c r="J112" s="90" t="n">
        <v>47208</v>
      </c>
      <c r="K112" s="91" t="n">
        <v>0.2</v>
      </c>
      <c r="L112" s="92" t="n">
        <f aca="false">EOMONTH(J112,0)</f>
        <v>47208</v>
      </c>
    </row>
    <row r="113" customFormat="false" ht="15" hidden="false" customHeight="false" outlineLevel="0" collapsed="false">
      <c r="B113" s="102" t="s">
        <v>158</v>
      </c>
      <c r="C113" s="103" t="n">
        <v>157</v>
      </c>
      <c r="D113" s="103" t="n">
        <v>3</v>
      </c>
      <c r="E113" s="103" t="n">
        <v>9444</v>
      </c>
      <c r="F113" s="103" t="n">
        <v>2123550</v>
      </c>
      <c r="G113" s="93" t="n">
        <f aca="false">D113*F113</f>
        <v>6370650</v>
      </c>
      <c r="I113" s="16" t="s">
        <v>122</v>
      </c>
      <c r="J113" s="90" t="n">
        <v>47573</v>
      </c>
      <c r="K113" s="91" t="n">
        <v>0.2</v>
      </c>
      <c r="L113" s="92" t="n">
        <f aca="false">EOMONTH(J113,0)</f>
        <v>47573</v>
      </c>
    </row>
    <row r="114" customFormat="false" ht="15" hidden="false" customHeight="false" outlineLevel="0" collapsed="false">
      <c r="B114" s="102" t="s">
        <v>159</v>
      </c>
      <c r="C114" s="103" t="n">
        <v>301</v>
      </c>
      <c r="D114" s="103" t="n">
        <v>1</v>
      </c>
      <c r="E114" s="103" t="n">
        <v>18036</v>
      </c>
      <c r="F114" s="103" t="n">
        <v>4059248</v>
      </c>
      <c r="G114" s="93" t="n">
        <f aca="false">D114*F114</f>
        <v>4059248</v>
      </c>
      <c r="I114" s="16" t="s">
        <v>125</v>
      </c>
      <c r="J114" s="90" t="n">
        <v>47938</v>
      </c>
      <c r="K114" s="91" t="n">
        <v>0.3</v>
      </c>
      <c r="L114" s="92" t="n">
        <f aca="false">EOMONTH(J114,0)</f>
        <v>47938</v>
      </c>
    </row>
    <row r="115" customFormat="false" ht="15" hidden="false" customHeight="false" outlineLevel="0" collapsed="false">
      <c r="A115" s="104"/>
      <c r="B115" s="105" t="s">
        <v>62</v>
      </c>
      <c r="C115" s="106" t="n">
        <f aca="false">SUMPRODUCT(C110:C114,D110:D114)</f>
        <v>5180</v>
      </c>
      <c r="D115" s="106" t="n">
        <f aca="false">SUM(D110:D114)</f>
        <v>92</v>
      </c>
      <c r="E115" s="106" t="n">
        <f aca="false">SUMPRODUCT(D110:D114,E110:E114)</f>
        <v>310752</v>
      </c>
      <c r="F115" s="106" t="n">
        <f aca="false">G115/D115</f>
        <v>759311.239130435</v>
      </c>
      <c r="G115" s="106" t="n">
        <f aca="false">SUM(G110:G114)</f>
        <v>69856634</v>
      </c>
      <c r="I115" s="77" t="s">
        <v>62</v>
      </c>
      <c r="J115" s="23"/>
      <c r="K115" s="97" t="n">
        <f aca="false">SUM(K110:K114)</f>
        <v>1</v>
      </c>
      <c r="L115" s="79"/>
    </row>
    <row r="116" customFormat="false" ht="15" hidden="false" customHeight="false" outlineLevel="0" collapsed="false">
      <c r="B116" s="87" t="s">
        <v>160</v>
      </c>
      <c r="C116" s="38" t="s">
        <v>123</v>
      </c>
      <c r="D116" s="107" t="s">
        <v>124</v>
      </c>
      <c r="E116" s="108" t="n">
        <v>0.02</v>
      </c>
    </row>
    <row r="117" customFormat="false" ht="15" hidden="false" customHeight="false" outlineLevel="0" collapsed="false">
      <c r="B117" s="41"/>
      <c r="C117" s="42" t="s">
        <v>126</v>
      </c>
      <c r="D117" s="42" t="s">
        <v>127</v>
      </c>
      <c r="E117" s="96" t="n">
        <v>12</v>
      </c>
    </row>
    <row r="118" customFormat="false" ht="15" hidden="false" customHeight="false" outlineLevel="0" collapsed="false">
      <c r="B118" s="41"/>
      <c r="C118" s="42" t="s">
        <v>128</v>
      </c>
      <c r="D118" s="94" t="s">
        <v>124</v>
      </c>
      <c r="E118" s="95" t="n">
        <v>0.02</v>
      </c>
    </row>
    <row r="119" customFormat="false" ht="15" hidden="false" customHeight="false" outlineLevel="0" collapsed="false">
      <c r="B119" s="41"/>
      <c r="C119" s="42" t="s">
        <v>129</v>
      </c>
      <c r="D119" s="94" t="s">
        <v>130</v>
      </c>
      <c r="E119" s="95" t="n">
        <v>0.8</v>
      </c>
    </row>
    <row r="120" customFormat="false" ht="15" hidden="false" customHeight="false" outlineLevel="0" collapsed="false">
      <c r="B120" s="41"/>
      <c r="C120" s="17"/>
      <c r="D120" s="94" t="s">
        <v>131</v>
      </c>
      <c r="E120" s="95" t="n">
        <v>1</v>
      </c>
    </row>
    <row r="121" customFormat="false" ht="15" hidden="false" customHeight="false" outlineLevel="0" collapsed="false">
      <c r="B121" s="41"/>
      <c r="C121" s="17"/>
      <c r="D121" s="94" t="s">
        <v>132</v>
      </c>
      <c r="E121" s="95" t="n">
        <v>1</v>
      </c>
    </row>
    <row r="122" customFormat="false" ht="15" hidden="false" customHeight="false" outlineLevel="0" collapsed="false">
      <c r="B122" s="41"/>
      <c r="C122" s="94" t="s">
        <v>138</v>
      </c>
      <c r="D122" s="94" t="s">
        <v>130</v>
      </c>
      <c r="E122" s="95" t="n">
        <v>0.65</v>
      </c>
    </row>
    <row r="123" customFormat="false" ht="15" hidden="false" customHeight="false" outlineLevel="0" collapsed="false">
      <c r="B123" s="41"/>
      <c r="C123" s="17"/>
      <c r="D123" s="94" t="s">
        <v>131</v>
      </c>
      <c r="E123" s="95" t="n">
        <v>0.75</v>
      </c>
    </row>
    <row r="124" customFormat="false" ht="15" hidden="false" customHeight="false" outlineLevel="0" collapsed="false">
      <c r="B124" s="41"/>
      <c r="C124" s="17"/>
      <c r="D124" s="94" t="s">
        <v>132</v>
      </c>
      <c r="E124" s="95" t="n">
        <v>0.75</v>
      </c>
    </row>
    <row r="125" customFormat="false" ht="15" hidden="false" customHeight="false" outlineLevel="0" collapsed="false">
      <c r="B125" s="41"/>
      <c r="C125" s="42" t="s">
        <v>161</v>
      </c>
      <c r="D125" s="42" t="s">
        <v>162</v>
      </c>
      <c r="E125" s="95" t="n">
        <v>0.667</v>
      </c>
    </row>
    <row r="126" customFormat="false" ht="15" hidden="false" customHeight="false" outlineLevel="0" collapsed="false">
      <c r="B126" s="65" t="s">
        <v>135</v>
      </c>
      <c r="C126" s="42" t="s">
        <v>139</v>
      </c>
      <c r="D126" s="42" t="s">
        <v>140</v>
      </c>
      <c r="E126" s="95" t="n">
        <v>0.75</v>
      </c>
    </row>
    <row r="127" customFormat="false" ht="15" hidden="false" customHeight="false" outlineLevel="0" collapsed="false">
      <c r="B127" s="45"/>
      <c r="C127" s="98" t="s">
        <v>141</v>
      </c>
      <c r="D127" s="98" t="s">
        <v>140</v>
      </c>
      <c r="E127" s="99" t="n">
        <v>0.04</v>
      </c>
    </row>
    <row r="129" customFormat="false" ht="15" hidden="false" customHeight="false" outlineLevel="0" collapsed="false">
      <c r="A129" s="85" t="s">
        <v>163</v>
      </c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</row>
    <row r="130" customFormat="false" ht="15" hidden="false" customHeight="false" outlineLevel="0" collapsed="false">
      <c r="B130" s="87" t="s">
        <v>160</v>
      </c>
      <c r="C130" s="38" t="s">
        <v>162</v>
      </c>
      <c r="D130" s="107" t="s">
        <v>124</v>
      </c>
      <c r="E130" s="108" t="n">
        <v>0.365</v>
      </c>
    </row>
    <row r="131" customFormat="false" ht="15" hidden="false" customHeight="false" outlineLevel="0" collapsed="false">
      <c r="B131" s="77" t="s">
        <v>135</v>
      </c>
      <c r="C131" s="98" t="s">
        <v>164</v>
      </c>
      <c r="D131" s="100" t="s">
        <v>124</v>
      </c>
      <c r="E131" s="99" t="n">
        <v>0.75</v>
      </c>
    </row>
    <row r="133" customFormat="false" ht="15" hidden="false" customHeight="false" outlineLevel="0" collapsed="false">
      <c r="A133" s="85" t="s">
        <v>59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</row>
    <row r="134" customFormat="false" ht="15" hidden="false" customHeight="false" outlineLevel="0" collapsed="false">
      <c r="B134" s="87" t="s">
        <v>106</v>
      </c>
      <c r="C134" s="38" t="s">
        <v>165</v>
      </c>
      <c r="D134" s="38" t="s">
        <v>166</v>
      </c>
      <c r="E134" s="88" t="n">
        <v>257</v>
      </c>
    </row>
    <row r="135" customFormat="false" ht="15" hidden="false" customHeight="false" outlineLevel="0" collapsed="false">
      <c r="B135" s="41"/>
      <c r="C135" s="42" t="s">
        <v>109</v>
      </c>
      <c r="D135" s="42" t="s">
        <v>167</v>
      </c>
      <c r="E135" s="89" t="n">
        <v>50</v>
      </c>
    </row>
    <row r="136" customFormat="false" ht="15" hidden="false" customHeight="false" outlineLevel="0" collapsed="false">
      <c r="B136" s="41"/>
      <c r="C136" s="42" t="s">
        <v>168</v>
      </c>
      <c r="D136" s="42" t="s">
        <v>169</v>
      </c>
      <c r="E136" s="89" t="n">
        <v>1320</v>
      </c>
    </row>
    <row r="137" customFormat="false" ht="15" hidden="false" customHeight="false" outlineLevel="0" collapsed="false">
      <c r="B137" s="41"/>
      <c r="C137" s="42" t="s">
        <v>115</v>
      </c>
      <c r="D137" s="42" t="s">
        <v>116</v>
      </c>
      <c r="E137" s="93" t="n">
        <f aca="false">$E$135*$E$136</f>
        <v>66000</v>
      </c>
    </row>
    <row r="138" customFormat="false" ht="15" hidden="false" customHeight="false" outlineLevel="0" collapsed="false">
      <c r="B138" s="41"/>
      <c r="C138" s="42" t="s">
        <v>118</v>
      </c>
      <c r="D138" s="42" t="s">
        <v>119</v>
      </c>
      <c r="E138" s="89" t="n">
        <v>0</v>
      </c>
    </row>
    <row r="139" customFormat="false" ht="15" hidden="false" customHeight="false" outlineLevel="0" collapsed="false">
      <c r="B139" s="41"/>
      <c r="C139" s="42" t="s">
        <v>123</v>
      </c>
      <c r="D139" s="94" t="s">
        <v>124</v>
      </c>
      <c r="E139" s="95" t="n">
        <v>0.02</v>
      </c>
    </row>
    <row r="140" customFormat="false" ht="15" hidden="false" customHeight="false" outlineLevel="0" collapsed="false">
      <c r="B140" s="41"/>
      <c r="C140" s="42" t="s">
        <v>126</v>
      </c>
      <c r="D140" s="42" t="s">
        <v>127</v>
      </c>
      <c r="E140" s="96" t="n">
        <v>12</v>
      </c>
    </row>
    <row r="141" customFormat="false" ht="15" hidden="false" customHeight="false" outlineLevel="0" collapsed="false">
      <c r="B141" s="41"/>
      <c r="C141" s="42" t="s">
        <v>128</v>
      </c>
      <c r="D141" s="94" t="s">
        <v>124</v>
      </c>
      <c r="E141" s="95" t="n">
        <v>0.02</v>
      </c>
    </row>
    <row r="142" customFormat="false" ht="15" hidden="false" customHeight="false" outlineLevel="0" collapsed="false">
      <c r="B142" s="41"/>
      <c r="C142" s="42" t="s">
        <v>170</v>
      </c>
      <c r="D142" s="94" t="s">
        <v>130</v>
      </c>
      <c r="E142" s="95" t="n">
        <v>0.6</v>
      </c>
    </row>
    <row r="143" customFormat="false" ht="15" hidden="false" customHeight="false" outlineLevel="0" collapsed="false">
      <c r="B143" s="41"/>
      <c r="C143" s="17"/>
      <c r="D143" s="94" t="s">
        <v>131</v>
      </c>
      <c r="E143" s="95" t="n">
        <v>0.8</v>
      </c>
    </row>
    <row r="144" customFormat="false" ht="15" hidden="false" customHeight="false" outlineLevel="0" collapsed="false">
      <c r="B144" s="41"/>
      <c r="C144" s="17"/>
      <c r="D144" s="94" t="s">
        <v>132</v>
      </c>
      <c r="E144" s="95" t="n">
        <v>1</v>
      </c>
    </row>
    <row r="145" customFormat="false" ht="15" hidden="false" customHeight="false" outlineLevel="0" collapsed="false">
      <c r="B145" s="41"/>
      <c r="C145" s="94" t="s">
        <v>136</v>
      </c>
      <c r="D145" s="42" t="s">
        <v>171</v>
      </c>
      <c r="E145" s="89" t="n">
        <v>600000</v>
      </c>
    </row>
    <row r="146" customFormat="false" ht="15" hidden="false" customHeight="false" outlineLevel="0" collapsed="false">
      <c r="B146" s="41"/>
      <c r="C146" s="94" t="s">
        <v>138</v>
      </c>
      <c r="D146" s="94" t="s">
        <v>130</v>
      </c>
      <c r="E146" s="95" t="n">
        <v>0.65</v>
      </c>
    </row>
    <row r="147" customFormat="false" ht="15" hidden="false" customHeight="false" outlineLevel="0" collapsed="false">
      <c r="B147" s="41"/>
      <c r="C147" s="17"/>
      <c r="D147" s="94" t="s">
        <v>131</v>
      </c>
      <c r="E147" s="95" t="n">
        <v>0.75</v>
      </c>
    </row>
    <row r="148" customFormat="false" ht="15" hidden="false" customHeight="false" outlineLevel="0" collapsed="false">
      <c r="B148" s="41"/>
      <c r="C148" s="17"/>
      <c r="D148" s="94" t="s">
        <v>132</v>
      </c>
      <c r="E148" s="95" t="n">
        <v>0.75</v>
      </c>
    </row>
    <row r="149" customFormat="false" ht="15" hidden="false" customHeight="false" outlineLevel="0" collapsed="false">
      <c r="B149" s="41"/>
      <c r="C149" s="42" t="s">
        <v>172</v>
      </c>
      <c r="D149" s="94" t="s">
        <v>124</v>
      </c>
      <c r="E149" s="95" t="n">
        <v>0.45</v>
      </c>
    </row>
    <row r="150" customFormat="false" ht="15" hidden="false" customHeight="false" outlineLevel="0" collapsed="false">
      <c r="B150" s="41"/>
      <c r="C150" s="42" t="s">
        <v>173</v>
      </c>
      <c r="D150" s="94" t="s">
        <v>124</v>
      </c>
      <c r="E150" s="95" t="n">
        <v>0.06</v>
      </c>
    </row>
    <row r="151" customFormat="false" ht="15" hidden="false" customHeight="false" outlineLevel="0" collapsed="false">
      <c r="B151" s="65" t="s">
        <v>135</v>
      </c>
      <c r="C151" s="42" t="s">
        <v>139</v>
      </c>
      <c r="D151" s="42" t="s">
        <v>140</v>
      </c>
      <c r="E151" s="95" t="n">
        <v>0.75</v>
      </c>
    </row>
    <row r="152" customFormat="false" ht="15" hidden="false" customHeight="false" outlineLevel="0" collapsed="false">
      <c r="B152" s="45"/>
      <c r="C152" s="98" t="s">
        <v>141</v>
      </c>
      <c r="D152" s="98" t="s">
        <v>140</v>
      </c>
      <c r="E152" s="99" t="n">
        <v>0.04</v>
      </c>
    </row>
    <row r="154" customFormat="false" ht="15" hidden="false" customHeight="false" outlineLevel="0" collapsed="false">
      <c r="A154" s="85" t="s">
        <v>174</v>
      </c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</row>
    <row r="155" customFormat="false" ht="15" hidden="false" customHeight="false" outlineLevel="0" collapsed="false">
      <c r="B155" s="87" t="s">
        <v>106</v>
      </c>
      <c r="C155" s="38" t="s">
        <v>175</v>
      </c>
      <c r="D155" s="38" t="s">
        <v>176</v>
      </c>
      <c r="E155" s="108" t="n">
        <v>0.36</v>
      </c>
    </row>
    <row r="156" customFormat="false" ht="15" hidden="false" customHeight="false" outlineLevel="0" collapsed="false">
      <c r="B156" s="41"/>
      <c r="C156" s="42" t="s">
        <v>177</v>
      </c>
      <c r="D156" s="42" t="s">
        <v>176</v>
      </c>
      <c r="E156" s="95" t="n">
        <v>0.14</v>
      </c>
    </row>
    <row r="157" customFormat="false" ht="15" hidden="false" customHeight="false" outlineLevel="0" collapsed="false">
      <c r="B157" s="41"/>
      <c r="C157" s="42" t="s">
        <v>178</v>
      </c>
      <c r="D157" s="42" t="s">
        <v>176</v>
      </c>
      <c r="E157" s="95" t="n">
        <v>0.45</v>
      </c>
    </row>
    <row r="158" customFormat="false" ht="15" hidden="false" customHeight="false" outlineLevel="0" collapsed="false">
      <c r="B158" s="41"/>
      <c r="C158" s="42" t="s">
        <v>179</v>
      </c>
      <c r="D158" s="42" t="s">
        <v>176</v>
      </c>
      <c r="E158" s="95" t="n">
        <v>0.2</v>
      </c>
    </row>
    <row r="159" customFormat="false" ht="15" hidden="false" customHeight="false" outlineLevel="0" collapsed="false">
      <c r="B159" s="41"/>
      <c r="C159" s="94" t="s">
        <v>180</v>
      </c>
      <c r="D159" s="42" t="s">
        <v>181</v>
      </c>
      <c r="E159" s="95" t="n">
        <v>0.2</v>
      </c>
    </row>
    <row r="160" customFormat="false" ht="15" hidden="false" customHeight="false" outlineLevel="0" collapsed="false">
      <c r="B160" s="41"/>
      <c r="C160" s="42" t="s">
        <v>128</v>
      </c>
      <c r="D160" s="94" t="s">
        <v>124</v>
      </c>
      <c r="E160" s="95" t="n">
        <v>0.02</v>
      </c>
    </row>
    <row r="161" customFormat="false" ht="15" hidden="false" customHeight="false" outlineLevel="0" collapsed="false">
      <c r="B161" s="65" t="s">
        <v>135</v>
      </c>
      <c r="C161" s="42" t="s">
        <v>175</v>
      </c>
      <c r="D161" s="42" t="s">
        <v>164</v>
      </c>
      <c r="E161" s="95" t="n">
        <v>0.75</v>
      </c>
    </row>
    <row r="162" customFormat="false" ht="15" hidden="false" customHeight="false" outlineLevel="0" collapsed="false">
      <c r="B162" s="41"/>
      <c r="C162" s="42" t="s">
        <v>177</v>
      </c>
      <c r="D162" s="42" t="s">
        <v>164</v>
      </c>
      <c r="E162" s="95" t="n">
        <v>0.75</v>
      </c>
    </row>
    <row r="163" customFormat="false" ht="15" hidden="false" customHeight="false" outlineLevel="0" collapsed="false">
      <c r="B163" s="41"/>
      <c r="C163" s="42" t="s">
        <v>178</v>
      </c>
      <c r="D163" s="42" t="s">
        <v>164</v>
      </c>
      <c r="E163" s="95" t="n">
        <v>0.75</v>
      </c>
    </row>
    <row r="164" customFormat="false" ht="15" hidden="false" customHeight="false" outlineLevel="0" collapsed="false">
      <c r="B164" s="41"/>
      <c r="C164" s="42" t="s">
        <v>179</v>
      </c>
      <c r="D164" s="42" t="s">
        <v>164</v>
      </c>
      <c r="E164" s="95" t="n">
        <v>0.7</v>
      </c>
    </row>
    <row r="165" customFormat="false" ht="15" hidden="false" customHeight="false" outlineLevel="0" collapsed="false">
      <c r="B165" s="45"/>
      <c r="C165" s="100" t="s">
        <v>180</v>
      </c>
      <c r="D165" s="98" t="s">
        <v>164</v>
      </c>
      <c r="E165" s="99" t="n">
        <v>0.85</v>
      </c>
    </row>
    <row r="167" customFormat="false" ht="15" hidden="false" customHeight="false" outlineLevel="0" collapsed="false">
      <c r="A167" s="85" t="s">
        <v>60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</row>
    <row r="168" customFormat="false" ht="15" hidden="false" customHeight="false" outlineLevel="0" collapsed="false">
      <c r="B168" s="87" t="s">
        <v>106</v>
      </c>
      <c r="C168" s="38" t="s">
        <v>109</v>
      </c>
      <c r="D168" s="38" t="s">
        <v>116</v>
      </c>
      <c r="E168" s="88" t="n">
        <v>14400</v>
      </c>
    </row>
    <row r="169" customFormat="false" ht="15" hidden="false" customHeight="false" outlineLevel="0" collapsed="false">
      <c r="B169" s="41"/>
      <c r="C169" s="42" t="s">
        <v>182</v>
      </c>
      <c r="D169" s="42" t="s">
        <v>183</v>
      </c>
      <c r="E169" s="89" t="n">
        <v>195</v>
      </c>
    </row>
    <row r="170" customFormat="false" ht="15" hidden="false" customHeight="false" outlineLevel="0" collapsed="false">
      <c r="B170" s="41"/>
      <c r="C170" s="42" t="s">
        <v>88</v>
      </c>
      <c r="D170" s="42" t="s">
        <v>145</v>
      </c>
      <c r="E170" s="44" t="n">
        <f aca="false">$R$58</f>
        <v>7377.98</v>
      </c>
    </row>
    <row r="171" customFormat="false" ht="15" hidden="false" customHeight="false" outlineLevel="0" collapsed="false">
      <c r="B171" s="41"/>
      <c r="C171" s="42" t="s">
        <v>146</v>
      </c>
      <c r="D171" s="42" t="s">
        <v>147</v>
      </c>
      <c r="E171" s="93" t="n">
        <f aca="false">$E$169*$E$170/1000</f>
        <v>1438.7061</v>
      </c>
    </row>
    <row r="172" customFormat="false" ht="15" hidden="false" customHeight="false" outlineLevel="0" collapsed="false">
      <c r="B172" s="41"/>
      <c r="C172" s="42" t="s">
        <v>123</v>
      </c>
      <c r="D172" s="94" t="s">
        <v>124</v>
      </c>
      <c r="E172" s="95" t="n">
        <v>0.02</v>
      </c>
    </row>
    <row r="173" customFormat="false" ht="15" hidden="false" customHeight="false" outlineLevel="0" collapsed="false">
      <c r="B173" s="41"/>
      <c r="C173" s="42" t="s">
        <v>126</v>
      </c>
      <c r="D173" s="42" t="s">
        <v>127</v>
      </c>
      <c r="E173" s="96" t="n">
        <v>12</v>
      </c>
    </row>
    <row r="174" customFormat="false" ht="15" hidden="false" customHeight="false" outlineLevel="0" collapsed="false">
      <c r="B174" s="41"/>
      <c r="C174" s="42" t="s">
        <v>128</v>
      </c>
      <c r="D174" s="94" t="s">
        <v>124</v>
      </c>
      <c r="E174" s="95" t="n">
        <v>0.02</v>
      </c>
    </row>
    <row r="175" customFormat="false" ht="15" hidden="false" customHeight="false" outlineLevel="0" collapsed="false">
      <c r="B175" s="16"/>
      <c r="C175" s="42" t="s">
        <v>184</v>
      </c>
      <c r="D175" s="94" t="s">
        <v>130</v>
      </c>
      <c r="E175" s="95" t="n">
        <v>0.2</v>
      </c>
    </row>
    <row r="176" customFormat="false" ht="15" hidden="false" customHeight="false" outlineLevel="0" collapsed="false">
      <c r="B176" s="41"/>
      <c r="C176" s="17"/>
      <c r="D176" s="94" t="s">
        <v>131</v>
      </c>
      <c r="E176" s="95" t="n">
        <v>0.02</v>
      </c>
    </row>
    <row r="177" customFormat="false" ht="15" hidden="false" customHeight="false" outlineLevel="0" collapsed="false">
      <c r="B177" s="41"/>
      <c r="C177" s="17"/>
      <c r="D177" s="94" t="s">
        <v>132</v>
      </c>
      <c r="E177" s="95" t="n">
        <v>0.02</v>
      </c>
    </row>
    <row r="178" customFormat="false" ht="15" hidden="false" customHeight="false" outlineLevel="0" collapsed="false">
      <c r="B178" s="87" t="s">
        <v>135</v>
      </c>
      <c r="C178" s="38" t="s">
        <v>185</v>
      </c>
      <c r="D178" s="107" t="s">
        <v>130</v>
      </c>
      <c r="E178" s="108" t="n">
        <v>0.25</v>
      </c>
    </row>
    <row r="179" customFormat="false" ht="15" hidden="false" customHeight="false" outlineLevel="0" collapsed="false">
      <c r="B179" s="41"/>
      <c r="C179" s="17"/>
      <c r="D179" s="94" t="s">
        <v>131</v>
      </c>
      <c r="E179" s="95" t="n">
        <v>0.083</v>
      </c>
    </row>
    <row r="180" customFormat="false" ht="15" hidden="false" customHeight="false" outlineLevel="0" collapsed="false">
      <c r="B180" s="41"/>
      <c r="C180" s="17"/>
      <c r="D180" s="94" t="s">
        <v>132</v>
      </c>
      <c r="E180" s="95" t="n">
        <v>0.083</v>
      </c>
    </row>
    <row r="181" customFormat="false" ht="15" hidden="false" customHeight="false" outlineLevel="0" collapsed="false">
      <c r="B181" s="41"/>
      <c r="C181" s="42" t="s">
        <v>186</v>
      </c>
      <c r="D181" s="42" t="s">
        <v>183</v>
      </c>
      <c r="E181" s="89" t="n">
        <v>20</v>
      </c>
    </row>
    <row r="182" customFormat="false" ht="15" hidden="false" customHeight="false" outlineLevel="0" collapsed="false">
      <c r="B182" s="45"/>
      <c r="C182" s="98" t="s">
        <v>187</v>
      </c>
      <c r="D182" s="98" t="s">
        <v>147</v>
      </c>
      <c r="E182" s="109" t="n">
        <f aca="false">$E$181*$E$170/1000</f>
        <v>147.5596</v>
      </c>
    </row>
    <row r="184" customFormat="false" ht="15" hidden="false" customHeight="false" outlineLevel="0" collapsed="false">
      <c r="A184" s="85" t="s">
        <v>61</v>
      </c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</row>
    <row r="185" customFormat="false" ht="15" hidden="false" customHeight="false" outlineLevel="0" collapsed="false">
      <c r="A185" s="110" t="s">
        <v>79</v>
      </c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 customFormat="false" ht="15" hidden="false" customHeight="false" outlineLevel="0" collapsed="false">
      <c r="B186" s="87" t="s">
        <v>106</v>
      </c>
      <c r="C186" s="38" t="s">
        <v>109</v>
      </c>
      <c r="D186" s="38" t="s">
        <v>116</v>
      </c>
      <c r="E186" s="88" t="n">
        <v>1500</v>
      </c>
    </row>
    <row r="187" customFormat="false" ht="15" hidden="false" customHeight="false" outlineLevel="0" collapsed="false">
      <c r="B187" s="41"/>
      <c r="C187" s="42" t="s">
        <v>182</v>
      </c>
      <c r="D187" s="42" t="s">
        <v>183</v>
      </c>
      <c r="E187" s="89" t="n">
        <v>150</v>
      </c>
    </row>
    <row r="188" customFormat="false" ht="15" hidden="false" customHeight="false" outlineLevel="0" collapsed="false">
      <c r="B188" s="41"/>
      <c r="C188" s="42" t="s">
        <v>88</v>
      </c>
      <c r="D188" s="42" t="s">
        <v>145</v>
      </c>
      <c r="E188" s="44" t="n">
        <f aca="false">$U$58</f>
        <v>948.64</v>
      </c>
    </row>
    <row r="189" customFormat="false" ht="15" hidden="false" customHeight="false" outlineLevel="0" collapsed="false">
      <c r="B189" s="41"/>
      <c r="C189" s="42" t="s">
        <v>146</v>
      </c>
      <c r="D189" s="42" t="s">
        <v>147</v>
      </c>
      <c r="E189" s="93" t="n">
        <f aca="false">$E$187*$E$188/1000</f>
        <v>142.296</v>
      </c>
    </row>
    <row r="190" customFormat="false" ht="15" hidden="false" customHeight="false" outlineLevel="0" collapsed="false">
      <c r="B190" s="41"/>
      <c r="C190" s="42" t="s">
        <v>123</v>
      </c>
      <c r="D190" s="94" t="s">
        <v>124</v>
      </c>
      <c r="E190" s="95" t="n">
        <v>0.02</v>
      </c>
    </row>
    <row r="191" customFormat="false" ht="15" hidden="false" customHeight="false" outlineLevel="0" collapsed="false">
      <c r="B191" s="41"/>
      <c r="C191" s="42" t="s">
        <v>126</v>
      </c>
      <c r="D191" s="42" t="s">
        <v>127</v>
      </c>
      <c r="E191" s="96" t="n">
        <v>12</v>
      </c>
    </row>
    <row r="192" customFormat="false" ht="15" hidden="false" customHeight="false" outlineLevel="0" collapsed="false">
      <c r="B192" s="41"/>
      <c r="C192" s="42" t="s">
        <v>128</v>
      </c>
      <c r="D192" s="94" t="s">
        <v>124</v>
      </c>
      <c r="E192" s="95" t="n">
        <v>0.02</v>
      </c>
    </row>
    <row r="193" customFormat="false" ht="15" hidden="false" customHeight="false" outlineLevel="0" collapsed="false">
      <c r="B193" s="41"/>
      <c r="C193" s="42" t="s">
        <v>184</v>
      </c>
      <c r="D193" s="94" t="s">
        <v>130</v>
      </c>
      <c r="E193" s="95" t="n">
        <v>0</v>
      </c>
    </row>
    <row r="194" customFormat="false" ht="15" hidden="false" customHeight="false" outlineLevel="0" collapsed="false">
      <c r="B194" s="41"/>
      <c r="C194" s="17"/>
      <c r="D194" s="94" t="s">
        <v>131</v>
      </c>
      <c r="E194" s="95" t="n">
        <v>0</v>
      </c>
    </row>
    <row r="195" customFormat="false" ht="15" hidden="false" customHeight="false" outlineLevel="0" collapsed="false">
      <c r="B195" s="41"/>
      <c r="C195" s="17"/>
      <c r="D195" s="94" t="s">
        <v>132</v>
      </c>
      <c r="E195" s="95" t="n">
        <v>0</v>
      </c>
    </row>
    <row r="196" customFormat="false" ht="15" hidden="false" customHeight="false" outlineLevel="0" collapsed="false">
      <c r="B196" s="77" t="s">
        <v>135</v>
      </c>
      <c r="C196" s="98" t="s">
        <v>139</v>
      </c>
      <c r="D196" s="98" t="s">
        <v>140</v>
      </c>
      <c r="E196" s="99" t="n">
        <v>0</v>
      </c>
    </row>
    <row r="198" customFormat="false" ht="15" hidden="false" customHeight="false" outlineLevel="0" collapsed="false">
      <c r="A198" s="110" t="s">
        <v>188</v>
      </c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</row>
    <row r="199" customFormat="false" ht="15" hidden="false" customHeight="false" outlineLevel="0" collapsed="false">
      <c r="B199" s="87" t="s">
        <v>106</v>
      </c>
      <c r="C199" s="38" t="s">
        <v>109</v>
      </c>
      <c r="D199" s="38" t="s">
        <v>116</v>
      </c>
      <c r="E199" s="88" t="n">
        <v>1600</v>
      </c>
    </row>
    <row r="200" customFormat="false" ht="15" hidden="false" customHeight="false" outlineLevel="0" collapsed="false">
      <c r="B200" s="41"/>
      <c r="C200" s="42" t="s">
        <v>182</v>
      </c>
      <c r="D200" s="42" t="s">
        <v>183</v>
      </c>
      <c r="E200" s="89" t="n">
        <v>120</v>
      </c>
    </row>
    <row r="201" customFormat="false" ht="15" hidden="false" customHeight="false" outlineLevel="0" collapsed="false">
      <c r="B201" s="41"/>
      <c r="C201" s="42" t="s">
        <v>88</v>
      </c>
      <c r="D201" s="42" t="s">
        <v>145</v>
      </c>
      <c r="E201" s="44" t="n">
        <f aca="false">$V$58</f>
        <v>1270.5</v>
      </c>
    </row>
    <row r="202" customFormat="false" ht="15" hidden="false" customHeight="false" outlineLevel="0" collapsed="false">
      <c r="B202" s="41"/>
      <c r="C202" s="42" t="s">
        <v>146</v>
      </c>
      <c r="D202" s="42" t="s">
        <v>147</v>
      </c>
      <c r="E202" s="93" t="n">
        <f aca="false">$E$200*$E$201/1000</f>
        <v>152.46</v>
      </c>
    </row>
    <row r="203" customFormat="false" ht="15" hidden="false" customHeight="false" outlineLevel="0" collapsed="false">
      <c r="B203" s="41"/>
      <c r="C203" s="42" t="s">
        <v>123</v>
      </c>
      <c r="D203" s="94" t="s">
        <v>124</v>
      </c>
      <c r="E203" s="95" t="n">
        <v>0.02</v>
      </c>
    </row>
    <row r="204" customFormat="false" ht="15" hidden="false" customHeight="false" outlineLevel="0" collapsed="false">
      <c r="B204" s="41"/>
      <c r="C204" s="42" t="s">
        <v>126</v>
      </c>
      <c r="D204" s="42" t="s">
        <v>127</v>
      </c>
      <c r="E204" s="96" t="n">
        <v>12</v>
      </c>
    </row>
    <row r="205" customFormat="false" ht="15" hidden="false" customHeight="false" outlineLevel="0" collapsed="false">
      <c r="B205" s="41"/>
      <c r="C205" s="42" t="s">
        <v>128</v>
      </c>
      <c r="D205" s="94" t="s">
        <v>124</v>
      </c>
      <c r="E205" s="95" t="n">
        <v>0.02</v>
      </c>
    </row>
    <row r="206" customFormat="false" ht="15" hidden="false" customHeight="false" outlineLevel="0" collapsed="false">
      <c r="B206" s="41"/>
      <c r="C206" s="42" t="s">
        <v>184</v>
      </c>
      <c r="D206" s="94" t="s">
        <v>130</v>
      </c>
      <c r="E206" s="95" t="n">
        <v>0</v>
      </c>
    </row>
    <row r="207" customFormat="false" ht="15" hidden="false" customHeight="false" outlineLevel="0" collapsed="false">
      <c r="B207" s="41"/>
      <c r="C207" s="17"/>
      <c r="D207" s="94" t="s">
        <v>131</v>
      </c>
      <c r="E207" s="95" t="n">
        <v>0</v>
      </c>
    </row>
    <row r="208" customFormat="false" ht="15" hidden="false" customHeight="false" outlineLevel="0" collapsed="false">
      <c r="B208" s="41"/>
      <c r="C208" s="17"/>
      <c r="D208" s="94" t="s">
        <v>132</v>
      </c>
      <c r="E208" s="95" t="n">
        <v>0</v>
      </c>
    </row>
    <row r="209" customFormat="false" ht="15" hidden="false" customHeight="false" outlineLevel="0" collapsed="false">
      <c r="B209" s="77" t="s">
        <v>135</v>
      </c>
      <c r="C209" s="98" t="s">
        <v>139</v>
      </c>
      <c r="D209" s="98" t="s">
        <v>140</v>
      </c>
      <c r="E209" s="99" t="n">
        <v>0</v>
      </c>
    </row>
    <row r="211" customFormat="false" ht="15" hidden="false" customHeight="false" outlineLevel="0" collapsed="false">
      <c r="A211" s="110" t="s">
        <v>81</v>
      </c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 customFormat="false" ht="15" hidden="false" customHeight="false" outlineLevel="0" collapsed="false">
      <c r="B212" s="87" t="s">
        <v>106</v>
      </c>
      <c r="C212" s="38" t="s">
        <v>109</v>
      </c>
      <c r="D212" s="38" t="s">
        <v>116</v>
      </c>
      <c r="E212" s="88" t="n">
        <v>2700</v>
      </c>
    </row>
    <row r="213" customFormat="false" ht="15" hidden="false" customHeight="false" outlineLevel="0" collapsed="false">
      <c r="B213" s="41"/>
      <c r="C213" s="42" t="s">
        <v>182</v>
      </c>
      <c r="D213" s="42" t="s">
        <v>183</v>
      </c>
      <c r="E213" s="89" t="n">
        <v>171</v>
      </c>
    </row>
    <row r="214" customFormat="false" ht="15" hidden="false" customHeight="false" outlineLevel="0" collapsed="false">
      <c r="B214" s="41"/>
      <c r="C214" s="42" t="s">
        <v>88</v>
      </c>
      <c r="D214" s="42" t="s">
        <v>145</v>
      </c>
      <c r="E214" s="44" t="n">
        <f aca="false">$W$58</f>
        <v>1563.93</v>
      </c>
    </row>
    <row r="215" customFormat="false" ht="15" hidden="false" customHeight="false" outlineLevel="0" collapsed="false">
      <c r="B215" s="41"/>
      <c r="C215" s="42" t="s">
        <v>146</v>
      </c>
      <c r="D215" s="42" t="s">
        <v>147</v>
      </c>
      <c r="E215" s="93" t="n">
        <f aca="false">$E$213*$E$214/1000</f>
        <v>267.43203</v>
      </c>
    </row>
    <row r="216" customFormat="false" ht="15" hidden="false" customHeight="false" outlineLevel="0" collapsed="false">
      <c r="B216" s="41"/>
      <c r="C216" s="42" t="s">
        <v>123</v>
      </c>
      <c r="D216" s="94" t="s">
        <v>124</v>
      </c>
      <c r="E216" s="95" t="n">
        <v>0.02</v>
      </c>
    </row>
    <row r="217" customFormat="false" ht="15" hidden="false" customHeight="false" outlineLevel="0" collapsed="false">
      <c r="B217" s="41"/>
      <c r="C217" s="42" t="s">
        <v>126</v>
      </c>
      <c r="D217" s="42" t="s">
        <v>127</v>
      </c>
      <c r="E217" s="96" t="n">
        <v>12</v>
      </c>
    </row>
    <row r="218" customFormat="false" ht="15" hidden="false" customHeight="false" outlineLevel="0" collapsed="false">
      <c r="B218" s="41"/>
      <c r="C218" s="42" t="s">
        <v>128</v>
      </c>
      <c r="D218" s="94" t="s">
        <v>124</v>
      </c>
      <c r="E218" s="95" t="n">
        <v>0.02</v>
      </c>
    </row>
    <row r="219" customFormat="false" ht="15" hidden="false" customHeight="false" outlineLevel="0" collapsed="false">
      <c r="B219" s="41"/>
      <c r="C219" s="42" t="s">
        <v>184</v>
      </c>
      <c r="D219" s="94" t="s">
        <v>130</v>
      </c>
      <c r="E219" s="95" t="n">
        <v>0</v>
      </c>
    </row>
    <row r="220" customFormat="false" ht="15" hidden="false" customHeight="false" outlineLevel="0" collapsed="false">
      <c r="B220" s="41"/>
      <c r="C220" s="17"/>
      <c r="D220" s="94" t="s">
        <v>131</v>
      </c>
      <c r="E220" s="95" t="n">
        <v>0</v>
      </c>
    </row>
    <row r="221" customFormat="false" ht="15" hidden="false" customHeight="false" outlineLevel="0" collapsed="false">
      <c r="B221" s="41"/>
      <c r="C221" s="17"/>
      <c r="D221" s="94" t="s">
        <v>132</v>
      </c>
      <c r="E221" s="95" t="n">
        <v>0</v>
      </c>
    </row>
    <row r="222" customFormat="false" ht="15" hidden="false" customHeight="false" outlineLevel="0" collapsed="false">
      <c r="B222" s="77" t="s">
        <v>135</v>
      </c>
      <c r="C222" s="98" t="s">
        <v>139</v>
      </c>
      <c r="D222" s="98" t="s">
        <v>140</v>
      </c>
      <c r="E222" s="99" t="n">
        <v>0</v>
      </c>
    </row>
    <row r="224" customFormat="false" ht="15" hidden="false" customHeight="false" outlineLevel="0" collapsed="false">
      <c r="A224" s="110" t="s">
        <v>67</v>
      </c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</row>
    <row r="225" customFormat="false" ht="15" hidden="false" customHeight="false" outlineLevel="0" collapsed="false">
      <c r="B225" s="87" t="s">
        <v>106</v>
      </c>
      <c r="C225" s="38" t="s">
        <v>109</v>
      </c>
      <c r="D225" s="38" t="s">
        <v>116</v>
      </c>
      <c r="E225" s="88" t="n">
        <v>800</v>
      </c>
    </row>
    <row r="226" customFormat="false" ht="15" hidden="false" customHeight="false" outlineLevel="0" collapsed="false">
      <c r="B226" s="41"/>
      <c r="C226" s="42" t="s">
        <v>182</v>
      </c>
      <c r="D226" s="42" t="s">
        <v>183</v>
      </c>
      <c r="E226" s="89" t="n">
        <v>120</v>
      </c>
    </row>
    <row r="227" customFormat="false" ht="15" hidden="false" customHeight="false" outlineLevel="0" collapsed="false">
      <c r="B227" s="41"/>
      <c r="C227" s="42" t="s">
        <v>88</v>
      </c>
      <c r="D227" s="42" t="s">
        <v>145</v>
      </c>
      <c r="E227" s="44" t="n">
        <f aca="false">$F$58</f>
        <v>591.99</v>
      </c>
    </row>
    <row r="228" customFormat="false" ht="15" hidden="false" customHeight="false" outlineLevel="0" collapsed="false">
      <c r="B228" s="41"/>
      <c r="C228" s="42" t="s">
        <v>146</v>
      </c>
      <c r="D228" s="42" t="s">
        <v>147</v>
      </c>
      <c r="E228" s="93" t="n">
        <f aca="false">$E$226*$E$227/1000</f>
        <v>71.0388</v>
      </c>
    </row>
    <row r="229" customFormat="false" ht="15" hidden="false" customHeight="false" outlineLevel="0" collapsed="false">
      <c r="B229" s="41"/>
      <c r="C229" s="42" t="s">
        <v>123</v>
      </c>
      <c r="D229" s="94" t="s">
        <v>124</v>
      </c>
      <c r="E229" s="95" t="n">
        <v>0.02</v>
      </c>
    </row>
    <row r="230" customFormat="false" ht="15" hidden="false" customHeight="false" outlineLevel="0" collapsed="false">
      <c r="B230" s="41"/>
      <c r="C230" s="42" t="s">
        <v>126</v>
      </c>
      <c r="D230" s="42" t="s">
        <v>127</v>
      </c>
      <c r="E230" s="96" t="n">
        <v>12</v>
      </c>
    </row>
    <row r="231" customFormat="false" ht="15" hidden="false" customHeight="false" outlineLevel="0" collapsed="false">
      <c r="B231" s="41"/>
      <c r="C231" s="42" t="s">
        <v>128</v>
      </c>
      <c r="D231" s="94" t="s">
        <v>124</v>
      </c>
      <c r="E231" s="95" t="n">
        <v>0.02</v>
      </c>
    </row>
    <row r="232" customFormat="false" ht="15" hidden="false" customHeight="false" outlineLevel="0" collapsed="false">
      <c r="B232" s="41"/>
      <c r="C232" s="42" t="s">
        <v>184</v>
      </c>
      <c r="D232" s="94" t="s">
        <v>130</v>
      </c>
      <c r="E232" s="95" t="n">
        <v>0</v>
      </c>
    </row>
    <row r="233" customFormat="false" ht="15" hidden="false" customHeight="false" outlineLevel="0" collapsed="false">
      <c r="B233" s="41"/>
      <c r="C233" s="17"/>
      <c r="D233" s="94" t="s">
        <v>131</v>
      </c>
      <c r="E233" s="95" t="n">
        <v>0</v>
      </c>
    </row>
    <row r="234" customFormat="false" ht="15" hidden="false" customHeight="false" outlineLevel="0" collapsed="false">
      <c r="B234" s="41"/>
      <c r="C234" s="17"/>
      <c r="D234" s="94" t="s">
        <v>132</v>
      </c>
      <c r="E234" s="95" t="n">
        <v>0</v>
      </c>
    </row>
    <row r="235" customFormat="false" ht="15" hidden="false" customHeight="false" outlineLevel="0" collapsed="false">
      <c r="B235" s="77" t="s">
        <v>135</v>
      </c>
      <c r="C235" s="98" t="s">
        <v>139</v>
      </c>
      <c r="D235" s="98" t="s">
        <v>140</v>
      </c>
      <c r="E235" s="99" t="n">
        <v>0</v>
      </c>
    </row>
    <row r="237" customFormat="false" ht="15" hidden="false" customHeight="false" outlineLevel="0" collapsed="false">
      <c r="A237" s="110" t="s">
        <v>68</v>
      </c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</row>
    <row r="238" customFormat="false" ht="15" hidden="false" customHeight="false" outlineLevel="0" collapsed="false">
      <c r="B238" s="87" t="s">
        <v>106</v>
      </c>
      <c r="C238" s="38" t="s">
        <v>109</v>
      </c>
      <c r="D238" s="38" t="s">
        <v>116</v>
      </c>
      <c r="E238" s="88" t="n">
        <v>2700</v>
      </c>
    </row>
    <row r="239" customFormat="false" ht="15" hidden="false" customHeight="false" outlineLevel="0" collapsed="false">
      <c r="B239" s="41"/>
      <c r="C239" s="42" t="s">
        <v>182</v>
      </c>
      <c r="D239" s="42" t="s">
        <v>183</v>
      </c>
      <c r="E239" s="89" t="n">
        <v>120</v>
      </c>
    </row>
    <row r="240" customFormat="false" ht="15" hidden="false" customHeight="false" outlineLevel="0" collapsed="false">
      <c r="B240" s="41"/>
      <c r="C240" s="42" t="s">
        <v>88</v>
      </c>
      <c r="D240" s="42" t="s">
        <v>145</v>
      </c>
      <c r="E240" s="44" t="n">
        <f aca="false">$G$58</f>
        <v>213.87</v>
      </c>
    </row>
    <row r="241" customFormat="false" ht="15" hidden="false" customHeight="false" outlineLevel="0" collapsed="false">
      <c r="B241" s="41"/>
      <c r="C241" s="42" t="s">
        <v>146</v>
      </c>
      <c r="D241" s="42" t="s">
        <v>147</v>
      </c>
      <c r="E241" s="93" t="n">
        <f aca="false">$E$239*$E$240/1000</f>
        <v>25.6644</v>
      </c>
    </row>
    <row r="242" customFormat="false" ht="15" hidden="false" customHeight="false" outlineLevel="0" collapsed="false">
      <c r="B242" s="41"/>
      <c r="C242" s="42" t="s">
        <v>123</v>
      </c>
      <c r="D242" s="94" t="s">
        <v>124</v>
      </c>
      <c r="E242" s="95" t="n">
        <v>0.02</v>
      </c>
    </row>
    <row r="243" customFormat="false" ht="15" hidden="false" customHeight="false" outlineLevel="0" collapsed="false">
      <c r="B243" s="41"/>
      <c r="C243" s="42" t="s">
        <v>126</v>
      </c>
      <c r="D243" s="42" t="s">
        <v>127</v>
      </c>
      <c r="E243" s="96" t="n">
        <v>12</v>
      </c>
    </row>
    <row r="244" customFormat="false" ht="15" hidden="false" customHeight="false" outlineLevel="0" collapsed="false">
      <c r="B244" s="41"/>
      <c r="C244" s="42" t="s">
        <v>128</v>
      </c>
      <c r="D244" s="94" t="s">
        <v>124</v>
      </c>
      <c r="E244" s="95" t="n">
        <v>0.02</v>
      </c>
    </row>
    <row r="245" customFormat="false" ht="15" hidden="false" customHeight="false" outlineLevel="0" collapsed="false">
      <c r="B245" s="41"/>
      <c r="C245" s="42" t="s">
        <v>184</v>
      </c>
      <c r="D245" s="94" t="s">
        <v>130</v>
      </c>
      <c r="E245" s="95" t="n">
        <v>0</v>
      </c>
    </row>
    <row r="246" customFormat="false" ht="15" hidden="false" customHeight="false" outlineLevel="0" collapsed="false">
      <c r="B246" s="41"/>
      <c r="C246" s="17"/>
      <c r="D246" s="94" t="s">
        <v>131</v>
      </c>
      <c r="E246" s="95" t="n">
        <v>0</v>
      </c>
    </row>
    <row r="247" customFormat="false" ht="15" hidden="false" customHeight="false" outlineLevel="0" collapsed="false">
      <c r="B247" s="41"/>
      <c r="C247" s="17"/>
      <c r="D247" s="94" t="s">
        <v>132</v>
      </c>
      <c r="E247" s="95" t="n">
        <v>0</v>
      </c>
    </row>
    <row r="248" customFormat="false" ht="15" hidden="false" customHeight="false" outlineLevel="0" collapsed="false">
      <c r="B248" s="77" t="s">
        <v>135</v>
      </c>
      <c r="C248" s="98" t="s">
        <v>139</v>
      </c>
      <c r="D248" s="98" t="s">
        <v>140</v>
      </c>
      <c r="E248" s="99" t="n">
        <v>0</v>
      </c>
    </row>
    <row r="250" customFormat="false" ht="15" hidden="false" customHeight="false" outlineLevel="0" collapsed="false">
      <c r="A250" s="85" t="s">
        <v>189</v>
      </c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</row>
    <row r="251" customFormat="false" ht="15" hidden="false" customHeight="false" outlineLevel="0" collapsed="false">
      <c r="B251" s="87" t="s">
        <v>135</v>
      </c>
      <c r="C251" s="38" t="s">
        <v>190</v>
      </c>
      <c r="D251" s="38" t="s">
        <v>191</v>
      </c>
      <c r="E251" s="88" t="n">
        <v>1500</v>
      </c>
    </row>
    <row r="252" customFormat="false" ht="15" hidden="false" customHeight="false" outlineLevel="0" collapsed="false">
      <c r="B252" s="41"/>
      <c r="C252" s="42" t="s">
        <v>192</v>
      </c>
      <c r="D252" s="42" t="s">
        <v>191</v>
      </c>
      <c r="E252" s="89" t="n">
        <v>1500</v>
      </c>
    </row>
    <row r="253" customFormat="false" ht="15" hidden="false" customHeight="false" outlineLevel="0" collapsed="false">
      <c r="B253" s="41"/>
      <c r="C253" s="42" t="s">
        <v>193</v>
      </c>
      <c r="D253" s="42" t="s">
        <v>191</v>
      </c>
      <c r="E253" s="89" t="n">
        <v>1500</v>
      </c>
    </row>
    <row r="254" customFormat="false" ht="15" hidden="false" customHeight="false" outlineLevel="0" collapsed="false">
      <c r="B254" s="41"/>
      <c r="C254" s="42" t="s">
        <v>194</v>
      </c>
      <c r="D254" s="42" t="s">
        <v>195</v>
      </c>
      <c r="E254" s="89" t="n">
        <v>1575</v>
      </c>
    </row>
    <row r="255" customFormat="false" ht="15" hidden="false" customHeight="false" outlineLevel="0" collapsed="false">
      <c r="B255" s="41"/>
      <c r="C255" s="42" t="s">
        <v>196</v>
      </c>
      <c r="D255" s="94" t="s">
        <v>124</v>
      </c>
      <c r="E255" s="95" t="n">
        <v>0.035</v>
      </c>
    </row>
    <row r="256" customFormat="false" ht="15" hidden="false" customHeight="false" outlineLevel="0" collapsed="false">
      <c r="B256" s="45"/>
      <c r="C256" s="98" t="s">
        <v>197</v>
      </c>
      <c r="D256" s="100" t="s">
        <v>124</v>
      </c>
      <c r="E256" s="99" t="n">
        <v>0.02</v>
      </c>
    </row>
    <row r="258" customFormat="false" ht="15" hidden="false" customHeight="false" outlineLevel="0" collapsed="false">
      <c r="A258" s="11" t="s">
        <v>198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60" customFormat="false" ht="15" hidden="false" customHeight="false" outlineLevel="0" collapsed="false">
      <c r="B260" s="112" t="s">
        <v>199</v>
      </c>
      <c r="D260" s="35" t="s">
        <v>200</v>
      </c>
      <c r="E260" s="113" t="n">
        <v>5</v>
      </c>
    </row>
    <row r="262" customFormat="false" ht="15" hidden="false" customHeight="false" outlineLevel="0" collapsed="false">
      <c r="B262" s="59" t="s">
        <v>63</v>
      </c>
      <c r="C262" s="61" t="s">
        <v>201</v>
      </c>
      <c r="D262" s="61" t="s">
        <v>202</v>
      </c>
      <c r="E262" s="64" t="s">
        <v>203</v>
      </c>
    </row>
    <row r="263" customFormat="false" ht="15" hidden="false" customHeight="false" outlineLevel="0" collapsed="false">
      <c r="B263" s="16" t="s">
        <v>57</v>
      </c>
      <c r="C263" s="114" t="n">
        <f aca="false">SUMIF(CF!$E$16:$EF$16,$E$260,CF!$E$59:$EF$59)</f>
        <v>6980.52360094157</v>
      </c>
      <c r="D263" s="115" t="n">
        <v>0.04</v>
      </c>
      <c r="E263" s="93" t="n">
        <f aca="false">IF(D263=0,0,C263/D263)</f>
        <v>174513.090023539</v>
      </c>
    </row>
    <row r="264" customFormat="false" ht="15" hidden="false" customHeight="false" outlineLevel="0" collapsed="false">
      <c r="B264" s="16" t="s">
        <v>58</v>
      </c>
      <c r="C264" s="114" t="n">
        <f aca="false">SUMIF(CF!$E$16:$EF$16,$E$260,CF!$E$60:$EF$60)</f>
        <v>9160.18618361453</v>
      </c>
      <c r="D264" s="115" t="n">
        <v>0.04</v>
      </c>
      <c r="E264" s="93" t="n">
        <f aca="false">IF(D264=0,0,C264/D264)</f>
        <v>229004.654590363</v>
      </c>
    </row>
    <row r="265" customFormat="false" ht="15" hidden="false" customHeight="false" outlineLevel="0" collapsed="false">
      <c r="B265" s="16" t="s">
        <v>59</v>
      </c>
      <c r="C265" s="114" t="n">
        <f aca="false">SUMIF(CF!$E$16:$EF$16,$E$260,CF!$E$61:$EF$61)</f>
        <v>28434.0799877989</v>
      </c>
      <c r="D265" s="115" t="n">
        <v>0.04</v>
      </c>
      <c r="E265" s="93" t="n">
        <f aca="false">IF(D265=0,0,C265/D265)</f>
        <v>710851.999694971</v>
      </c>
    </row>
    <row r="266" customFormat="false" ht="15" hidden="false" customHeight="false" outlineLevel="0" collapsed="false">
      <c r="B266" s="16" t="s">
        <v>60</v>
      </c>
      <c r="C266" s="114" t="n">
        <f aca="false">SUMIF(CF!$E$16:$EF$16,$E$260,CF!$E$62:$EF$62)</f>
        <v>14877.1384245805</v>
      </c>
      <c r="D266" s="115" t="n">
        <v>0.03</v>
      </c>
      <c r="E266" s="93" t="n">
        <f aca="false">IF(D266=0,0,C266/D266)</f>
        <v>495904.614152683</v>
      </c>
    </row>
    <row r="267" customFormat="false" ht="15" hidden="false" customHeight="false" outlineLevel="0" collapsed="false">
      <c r="B267" s="16" t="s">
        <v>61</v>
      </c>
      <c r="C267" s="114" t="n">
        <f aca="false">SUMIF(CF!$E$16:$EF$16,$E$260,CF!$E$63:$EF$63)</f>
        <v>8558.46068752748</v>
      </c>
      <c r="D267" s="115" t="n">
        <v>0.04</v>
      </c>
      <c r="E267" s="93" t="n">
        <f aca="false">IF(D267=0,0,C267/D267)</f>
        <v>213961.517188187</v>
      </c>
    </row>
    <row r="268" customFormat="false" ht="15" hidden="false" customHeight="false" outlineLevel="0" collapsed="false">
      <c r="B268" s="77" t="s">
        <v>62</v>
      </c>
      <c r="C268" s="116" t="n">
        <f aca="false">SUM(C263:C267)</f>
        <v>68010.3888844629</v>
      </c>
      <c r="D268" s="23"/>
      <c r="E268" s="117" t="n">
        <f aca="false">SUM(E263:E267)</f>
        <v>1824235.87564974</v>
      </c>
    </row>
    <row r="270" customFormat="false" ht="15" hidden="false" customHeight="false" outlineLevel="0" collapsed="false">
      <c r="A270" s="11" t="s">
        <v>204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2" customFormat="false" ht="15" hidden="false" customHeight="false" outlineLevel="0" collapsed="false">
      <c r="D272" s="54" t="s">
        <v>57</v>
      </c>
      <c r="E272" s="54" t="s">
        <v>57</v>
      </c>
      <c r="F272" s="55" t="s">
        <v>61</v>
      </c>
      <c r="G272" s="55" t="s">
        <v>61</v>
      </c>
      <c r="H272" s="54" t="s">
        <v>57</v>
      </c>
      <c r="J272" s="56" t="s">
        <v>58</v>
      </c>
      <c r="K272" s="56" t="s">
        <v>58</v>
      </c>
      <c r="L272" s="57" t="s">
        <v>59</v>
      </c>
      <c r="M272" s="57" t="s">
        <v>59</v>
      </c>
      <c r="N272" s="57" t="s">
        <v>59</v>
      </c>
      <c r="O272" s="57" t="s">
        <v>59</v>
      </c>
      <c r="P272" s="57" t="s">
        <v>59</v>
      </c>
      <c r="Q272" s="57" t="s">
        <v>59</v>
      </c>
      <c r="R272" s="58" t="s">
        <v>60</v>
      </c>
      <c r="S272" s="57" t="s">
        <v>59</v>
      </c>
      <c r="U272" s="55" t="s">
        <v>61</v>
      </c>
      <c r="V272" s="55" t="s">
        <v>61</v>
      </c>
      <c r="W272" s="55" t="s">
        <v>61</v>
      </c>
    </row>
    <row r="273" customFormat="false" ht="15" hidden="false" customHeight="false" outlineLevel="0" collapsed="false">
      <c r="B273" s="118" t="s">
        <v>205</v>
      </c>
      <c r="C273" s="63" t="s">
        <v>64</v>
      </c>
      <c r="D273" s="60" t="s">
        <v>65</v>
      </c>
      <c r="E273" s="60" t="s">
        <v>66</v>
      </c>
      <c r="F273" s="60" t="s">
        <v>67</v>
      </c>
      <c r="G273" s="60" t="s">
        <v>68</v>
      </c>
      <c r="H273" s="61" t="s">
        <v>69</v>
      </c>
      <c r="I273" s="62" t="s">
        <v>70</v>
      </c>
      <c r="J273" s="60" t="s">
        <v>71</v>
      </c>
      <c r="K273" s="60" t="s">
        <v>72</v>
      </c>
      <c r="L273" s="60" t="s">
        <v>59</v>
      </c>
      <c r="M273" s="60" t="s">
        <v>73</v>
      </c>
      <c r="N273" s="60" t="s">
        <v>74</v>
      </c>
      <c r="O273" s="60" t="s">
        <v>75</v>
      </c>
      <c r="P273" s="60" t="s">
        <v>76</v>
      </c>
      <c r="Q273" s="60" t="s">
        <v>77</v>
      </c>
      <c r="R273" s="60" t="s">
        <v>60</v>
      </c>
      <c r="S273" s="61" t="s">
        <v>69</v>
      </c>
      <c r="T273" s="62" t="s">
        <v>78</v>
      </c>
      <c r="U273" s="60" t="s">
        <v>79</v>
      </c>
      <c r="V273" s="60" t="s">
        <v>80</v>
      </c>
      <c r="W273" s="60" t="s">
        <v>81</v>
      </c>
      <c r="X273" s="63" t="s">
        <v>82</v>
      </c>
      <c r="Y273" s="61" t="s">
        <v>83</v>
      </c>
      <c r="Z273" s="64" t="s">
        <v>84</v>
      </c>
    </row>
    <row r="274" customFormat="false" ht="15" hidden="false" customHeight="false" outlineLevel="0" collapsed="false">
      <c r="B274" s="65" t="s">
        <v>206</v>
      </c>
      <c r="C274" s="119" t="n">
        <f aca="false">I274+T274+X274+Y274+Z274</f>
        <v>596838.992808495</v>
      </c>
      <c r="D274" s="120" t="n">
        <f aca="false">D287*D288/1000</f>
        <v>126404.052812</v>
      </c>
      <c r="E274" s="120" t="n">
        <f aca="false">E287*E288/1000</f>
        <v>11982.999292</v>
      </c>
      <c r="F274" s="120" t="n">
        <f aca="false">F287*F288/1000</f>
        <v>6322.0020406</v>
      </c>
      <c r="G274" s="120" t="n">
        <f aca="false">G287*G288/1000</f>
        <v>2647.9996345</v>
      </c>
      <c r="H274" s="120" t="n">
        <f aca="false">H287*H288/1000</f>
        <v>741.9998145</v>
      </c>
      <c r="I274" s="121" t="n">
        <f aca="false">SUM(D274:H274)</f>
        <v>148099.0535936</v>
      </c>
      <c r="J274" s="120" t="n">
        <f aca="false">J287*J288/1000</f>
        <v>68279.009664</v>
      </c>
      <c r="K274" s="120" t="n">
        <f aca="false">K287*K288/1000</f>
        <v>14410.9969248</v>
      </c>
      <c r="L274" s="120" t="n">
        <f aca="false">L287*L288/1000</f>
        <v>78140.978036</v>
      </c>
      <c r="M274" s="120" t="n">
        <f aca="false">M287*M288/1000</f>
        <v>10286.993216</v>
      </c>
      <c r="N274" s="120" t="n">
        <f aca="false">N287*N288/1000</f>
        <v>8633.0018044</v>
      </c>
      <c r="O274" s="120" t="n">
        <f aca="false">O287*O288/1000</f>
        <v>6547.0026188</v>
      </c>
      <c r="P274" s="120" t="n">
        <f aca="false">P287*P288/1000</f>
        <v>5052.9994854</v>
      </c>
      <c r="Q274" s="120" t="n">
        <f aca="false">Q287*Q288/1000</f>
        <v>14928.9977351</v>
      </c>
      <c r="R274" s="120" t="n">
        <f aca="false">R287*R288/1000</f>
        <v>78811.0152636</v>
      </c>
      <c r="S274" s="120" t="n">
        <f aca="false">S287*S288/1000</f>
        <v>1748.9996304</v>
      </c>
      <c r="T274" s="121" t="n">
        <f aca="false">SUM(J274:S274)</f>
        <v>286839.9943785</v>
      </c>
      <c r="U274" s="120" t="n">
        <f aca="false">U287*U288/1000</f>
        <v>8254.0042915</v>
      </c>
      <c r="V274" s="120" t="n">
        <f aca="false">V287*V288/1000</f>
        <v>10257.999598</v>
      </c>
      <c r="W274" s="120" t="n">
        <f aca="false">W287*W288/1000</f>
        <v>17494.013628</v>
      </c>
      <c r="X274" s="121" t="n">
        <f aca="false">SUM(U274:W274)</f>
        <v>36006.0175175</v>
      </c>
      <c r="Y274" s="120" t="n">
        <f aca="false">Y287*Y288/1000</f>
        <v>5148.9982052</v>
      </c>
      <c r="Z274" s="93" t="n">
        <f aca="false">Z287*Z288/1000</f>
        <v>120744.929113695</v>
      </c>
    </row>
    <row r="275" customFormat="false" ht="15" hidden="false" customHeight="false" outlineLevel="0" collapsed="false">
      <c r="B275" s="65" t="s">
        <v>207</v>
      </c>
      <c r="C275" s="119" t="n">
        <f aca="false">I275+T275+X275+Y275+Z275</f>
        <v>34475.334273765</v>
      </c>
      <c r="D275" s="120" t="n">
        <f aca="false">D287*D291/1000</f>
        <v>6206.44241</v>
      </c>
      <c r="E275" s="120" t="n">
        <f aca="false">E287*E291/1000</f>
        <v>708.75266</v>
      </c>
      <c r="F275" s="120" t="n">
        <f aca="false">F287*F291/1000</f>
        <v>432.133058</v>
      </c>
      <c r="G275" s="120" t="n">
        <f aca="false">G287*G291/1000</f>
        <v>181.01237</v>
      </c>
      <c r="H275" s="120" t="n">
        <f aca="false">H287*H291/1000</f>
        <v>59.025498</v>
      </c>
      <c r="I275" s="121" t="n">
        <f aca="false">SUM(D275:H275)</f>
        <v>7587.365996</v>
      </c>
      <c r="J275" s="120" t="n">
        <f aca="false">J287*J291/1000</f>
        <v>3247.81408</v>
      </c>
      <c r="K275" s="120" t="n">
        <f aca="false">K287*K291/1000</f>
        <v>850.250352</v>
      </c>
      <c r="L275" s="120" t="n">
        <f aca="false">L287*L291/1000</f>
        <v>3409.058576</v>
      </c>
      <c r="M275" s="120" t="n">
        <f aca="false">M287*M291/1000</f>
        <v>656.490632</v>
      </c>
      <c r="N275" s="120" t="n">
        <f aca="false">N287*N291/1000</f>
        <v>554.511832</v>
      </c>
      <c r="O275" s="120" t="n">
        <f aca="false">O287*O291/1000</f>
        <v>386.246812</v>
      </c>
      <c r="P275" s="120" t="n">
        <f aca="false">P287*P291/1000</f>
        <v>322.510062</v>
      </c>
      <c r="Q275" s="120" t="n">
        <f aca="false">Q287*Q291/1000</f>
        <v>985.372262</v>
      </c>
      <c r="R275" s="120" t="n">
        <f aca="false">R287*R291/1000</f>
        <v>4257.619114</v>
      </c>
      <c r="S275" s="120" t="n">
        <f aca="false">S287*S291/1000</f>
        <v>138.691168</v>
      </c>
      <c r="T275" s="121" t="n">
        <f aca="false">SUM(J275:S275)</f>
        <v>14808.56489</v>
      </c>
      <c r="U275" s="120" t="n">
        <f aca="false">U287*U291/1000</f>
        <v>507.34453</v>
      </c>
      <c r="V275" s="120" t="n">
        <f aca="false">V287*V291/1000</f>
        <v>740.623142</v>
      </c>
      <c r="W275" s="120" t="n">
        <f aca="false">W287*W291/1000</f>
        <v>1154.65707</v>
      </c>
      <c r="X275" s="121" t="n">
        <f aca="false">SUM(U275:W275)</f>
        <v>2402.624742</v>
      </c>
      <c r="Y275" s="120" t="n">
        <f aca="false">Y287*Y291/1000</f>
        <v>668.260334</v>
      </c>
      <c r="Z275" s="93" t="n">
        <f aca="false">Z287*Z291/1000</f>
        <v>9008.51831176499</v>
      </c>
    </row>
    <row r="276" customFormat="false" ht="15" hidden="false" customHeight="false" outlineLevel="0" collapsed="false">
      <c r="B276" s="65" t="s">
        <v>208</v>
      </c>
      <c r="C276" s="119" t="n">
        <f aca="false">I276+T276+X276+Y276+Z276</f>
        <v>315029.1045658</v>
      </c>
      <c r="D276" s="120" t="n">
        <f aca="false">D287*D289/1000</f>
        <v>66618.073517</v>
      </c>
      <c r="E276" s="120" t="n">
        <f aca="false">E287*E289/1000</f>
        <v>2017.994077</v>
      </c>
      <c r="F276" s="120" t="n">
        <f aca="false">F287*F289/1000</f>
        <v>1231.0049521</v>
      </c>
      <c r="G276" s="120" t="n">
        <f aca="false">G287*G289/1000</f>
        <v>515.0003815</v>
      </c>
      <c r="H276" s="120" t="n">
        <f aca="false">H287*H289/1000</f>
        <v>0</v>
      </c>
      <c r="I276" s="121" t="n">
        <f aca="false">SUM(D276:H276)</f>
        <v>70382.0729276</v>
      </c>
      <c r="J276" s="120" t="n">
        <f aca="false">J287*J289/1000</f>
        <v>78440.028</v>
      </c>
      <c r="K276" s="120" t="n">
        <f aca="false">K287*K289/1000</f>
        <v>17607.0020448</v>
      </c>
      <c r="L276" s="120" t="n">
        <f aca="false">L287*L289/1000</f>
        <v>82332.0005464</v>
      </c>
      <c r="M276" s="120" t="n">
        <f aca="false">M287*M289/1000</f>
        <v>7477.9953668</v>
      </c>
      <c r="N276" s="120" t="n">
        <f aca="false">N287*N289/1000</f>
        <v>11483.0005024</v>
      </c>
      <c r="O276" s="120" t="n">
        <f aca="false">O287*O289/1000</f>
        <v>8249.0000208</v>
      </c>
      <c r="P276" s="120" t="n">
        <f aca="false">P287*P289/1000</f>
        <v>3827.0020518</v>
      </c>
      <c r="Q276" s="120" t="n">
        <f aca="false">Q287*Q289/1000</f>
        <v>0</v>
      </c>
      <c r="R276" s="120" t="n">
        <f aca="false">R287*R289/1000</f>
        <v>12124.0099298</v>
      </c>
      <c r="S276" s="120" t="n">
        <f aca="false">S287*S289/1000</f>
        <v>0</v>
      </c>
      <c r="T276" s="121" t="n">
        <f aca="false">SUM(J276:S276)</f>
        <v>221540.0384628</v>
      </c>
      <c r="U276" s="120" t="n">
        <f aca="false">U287*U289/1000</f>
        <v>1445.004869</v>
      </c>
      <c r="V276" s="120" t="n">
        <f aca="false">V287*V289/1000</f>
        <v>11798.0001099</v>
      </c>
      <c r="W276" s="120" t="n">
        <f aca="false">W287*W289/1000</f>
        <v>9863.9881965</v>
      </c>
      <c r="X276" s="121" t="n">
        <f aca="false">SUM(U276:W276)</f>
        <v>23106.9931754</v>
      </c>
      <c r="Y276" s="120" t="n">
        <f aca="false">Y287*Y289/1000</f>
        <v>0</v>
      </c>
      <c r="Z276" s="93" t="n">
        <f aca="false">Z287*Z289/1000</f>
        <v>0</v>
      </c>
    </row>
    <row r="277" customFormat="false" ht="15" hidden="false" customHeight="false" outlineLevel="0" collapsed="false">
      <c r="B277" s="29" t="s">
        <v>209</v>
      </c>
      <c r="C277" s="119" t="n">
        <f aca="false">I277+T277+X277+Y277+Z277</f>
        <v>39526.035727</v>
      </c>
      <c r="D277" s="120" t="n">
        <f aca="false">D287*D290/1000</f>
        <v>8327.001447</v>
      </c>
      <c r="E277" s="120" t="n">
        <f aca="false">E287*E290/1000</f>
        <v>0</v>
      </c>
      <c r="F277" s="120" t="n">
        <f aca="false">F287*F290/1000</f>
        <v>0</v>
      </c>
      <c r="G277" s="120" t="n">
        <f aca="false">G287*G290/1000</f>
        <v>0</v>
      </c>
      <c r="H277" s="120" t="n">
        <f aca="false">H287*H290/1000</f>
        <v>0</v>
      </c>
      <c r="I277" s="121" t="n">
        <f aca="false">SUM(D277:H277)</f>
        <v>8327.001447</v>
      </c>
      <c r="J277" s="120" t="n">
        <f aca="false">J287*J290/1000</f>
        <v>4358.03624</v>
      </c>
      <c r="K277" s="120" t="n">
        <f aca="false">K287*K290/1000</f>
        <v>1140.99804</v>
      </c>
      <c r="L277" s="120" t="n">
        <f aca="false">$E$134*L290</f>
        <v>25700</v>
      </c>
      <c r="M277" s="120" t="n">
        <f aca="false">M287*M290/1000</f>
        <v>0</v>
      </c>
      <c r="N277" s="120" t="n">
        <f aca="false">N287*N290/1000</f>
        <v>0</v>
      </c>
      <c r="O277" s="120" t="n">
        <f aca="false">O287*O290/1000</f>
        <v>0</v>
      </c>
      <c r="P277" s="120" t="n">
        <f aca="false">P287*P290/1000</f>
        <v>0</v>
      </c>
      <c r="Q277" s="120" t="n">
        <f aca="false">Q287*Q290/1000</f>
        <v>0</v>
      </c>
      <c r="R277" s="120" t="n">
        <f aca="false">R287*R290/1000</f>
        <v>0</v>
      </c>
      <c r="S277" s="120" t="n">
        <f aca="false">S287*S290/1000</f>
        <v>0</v>
      </c>
      <c r="T277" s="121" t="n">
        <f aca="false">SUM(J277:S277)</f>
        <v>31199.03428</v>
      </c>
      <c r="U277" s="120" t="n">
        <f aca="false">U287*U290/1000</f>
        <v>0</v>
      </c>
      <c r="V277" s="120" t="n">
        <f aca="false">V287*V290/1000</f>
        <v>0</v>
      </c>
      <c r="W277" s="120" t="n">
        <f aca="false">W287*W290/1000</f>
        <v>0</v>
      </c>
      <c r="X277" s="121" t="n">
        <f aca="false">SUM(U277:W277)</f>
        <v>0</v>
      </c>
      <c r="Y277" s="120" t="n">
        <f aca="false">Y287*Y290/1000</f>
        <v>0</v>
      </c>
      <c r="Z277" s="93" t="n">
        <f aca="false">Z287*Z290/1000</f>
        <v>0</v>
      </c>
    </row>
    <row r="278" customFormat="false" ht="15" hidden="false" customHeight="false" outlineLevel="0" collapsed="false">
      <c r="B278" s="65" t="s">
        <v>210</v>
      </c>
      <c r="C278" s="119" t="n">
        <f aca="false">I278+T278+X278+Y278+Z278</f>
        <v>7363.02820275</v>
      </c>
      <c r="D278" s="120" t="n">
        <f aca="false">D287*D292/1000</f>
        <v>1325.5335</v>
      </c>
      <c r="E278" s="120" t="n">
        <f aca="false">E287*E292/1000</f>
        <v>151.371</v>
      </c>
      <c r="F278" s="120" t="n">
        <f aca="false">F287*F292/1000</f>
        <v>92.2923</v>
      </c>
      <c r="G278" s="120" t="n">
        <f aca="false">G287*G292/1000</f>
        <v>38.6595</v>
      </c>
      <c r="H278" s="120" t="n">
        <f aca="false">H287*H292/1000</f>
        <v>12.6063</v>
      </c>
      <c r="I278" s="121" t="n">
        <f aca="false">SUM(D278:H278)</f>
        <v>1620.4626</v>
      </c>
      <c r="J278" s="120" t="n">
        <f aca="false">J287*J292/1000</f>
        <v>693.648</v>
      </c>
      <c r="K278" s="120" t="n">
        <f aca="false">K287*K292/1000</f>
        <v>181.5912</v>
      </c>
      <c r="L278" s="120" t="n">
        <f aca="false">L287*L292/1000</f>
        <v>728.0856</v>
      </c>
      <c r="M278" s="120" t="n">
        <f aca="false">M287*M292/1000</f>
        <v>140.2092</v>
      </c>
      <c r="N278" s="120" t="n">
        <f aca="false">N287*N292/1000</f>
        <v>118.4292</v>
      </c>
      <c r="O278" s="120" t="n">
        <f aca="false">O287*O292/1000</f>
        <v>82.4922</v>
      </c>
      <c r="P278" s="120" t="n">
        <f aca="false">P287*P292/1000</f>
        <v>68.8797</v>
      </c>
      <c r="Q278" s="120" t="n">
        <f aca="false">Q287*Q292/1000</f>
        <v>210.4497</v>
      </c>
      <c r="R278" s="120" t="n">
        <f aca="false">R287*R292/1000</f>
        <v>909.3159</v>
      </c>
      <c r="S278" s="120" t="n">
        <f aca="false">S287*S292/1000</f>
        <v>29.6208</v>
      </c>
      <c r="T278" s="121" t="n">
        <f aca="false">SUM(J278:S278)</f>
        <v>3162.7215</v>
      </c>
      <c r="U278" s="120" t="n">
        <f aca="false">U287*U292/1000</f>
        <v>108.3555</v>
      </c>
      <c r="V278" s="120" t="n">
        <f aca="false">V287*V292/1000</f>
        <v>158.1777</v>
      </c>
      <c r="W278" s="120" t="n">
        <f aca="false">W287*W292/1000</f>
        <v>246.6045</v>
      </c>
      <c r="X278" s="121" t="n">
        <f aca="false">SUM(U278:W278)</f>
        <v>513.1377</v>
      </c>
      <c r="Y278" s="120" t="n">
        <f aca="false">Y287*Y292/1000</f>
        <v>142.7229</v>
      </c>
      <c r="Z278" s="93" t="n">
        <f aca="false">Z287*Z292/1000</f>
        <v>1923.98350275</v>
      </c>
    </row>
    <row r="279" customFormat="false" ht="15" hidden="false" customHeight="false" outlineLevel="0" collapsed="false">
      <c r="B279" s="65" t="s">
        <v>211</v>
      </c>
      <c r="C279" s="119" t="n">
        <f aca="false">I279+T279+X279+Y279+Z279</f>
        <v>29612.1556268715</v>
      </c>
      <c r="D279" s="120" t="n">
        <f aca="false">D293*(D274+D275+D276+D277+D278)</f>
        <v>4950.4821573582</v>
      </c>
      <c r="E279" s="120" t="n">
        <f aca="false">E293*(E274+E275+E276+E277+E278)</f>
        <v>352.2084735873</v>
      </c>
      <c r="F279" s="120" t="n">
        <f aca="false">F293*(F274+F275+F276+F277+F278)</f>
        <v>255.24686228212</v>
      </c>
      <c r="G279" s="120" t="n">
        <f aca="false">G293*(G274+G275+G276+G277+G278)</f>
        <v>106.8924315976</v>
      </c>
      <c r="H279" s="120" t="n">
        <f aca="false">H293*(H274+H275+H276+H277+H278)</f>
        <v>19.28306921625</v>
      </c>
      <c r="I279" s="121" t="n">
        <f aca="false">SUM(D279:H279)</f>
        <v>5684.11299404147</v>
      </c>
      <c r="J279" s="120" t="n">
        <f aca="false">J293*(J274+J275+J276+J277+J278)</f>
        <v>4898.5857370944</v>
      </c>
      <c r="K279" s="120" t="n">
        <f aca="false">K293*(K274+K275+K276+K277+K278)</f>
        <v>1080.43049854656</v>
      </c>
      <c r="L279" s="120" t="n">
        <f aca="false">L293*(L274+L275+L276+L277+L278)</f>
        <v>6013.79987916544</v>
      </c>
      <c r="M279" s="120" t="n">
        <f aca="false">M293*(M274+M275+M276+M277+M278)</f>
        <v>586.54935390768</v>
      </c>
      <c r="N279" s="120" t="n">
        <f aca="false">N293*(N274+N275+N276+N277+N278)</f>
        <v>656.93060950608</v>
      </c>
      <c r="O279" s="120" t="n">
        <f aca="false">O293*(O274+O275+O276+O277+O278)</f>
        <v>482.36583619056</v>
      </c>
      <c r="P279" s="120" t="n">
        <f aca="false">P293*(P274+P275+P276+P277+P278)</f>
        <v>292.97596505472</v>
      </c>
      <c r="Q279" s="120" t="n">
        <f aca="false">Q293*(Q274+Q275+Q276+Q277+Q278)</f>
        <v>509.54430242836</v>
      </c>
      <c r="R279" s="120" t="n">
        <f aca="false">R293*(R274+R275+R276+R277+R278)</f>
        <v>3036.82194255384</v>
      </c>
      <c r="S279" s="120" t="n">
        <f aca="false">S293*(S274+S275+S276+S277+S278)</f>
        <v>60.58704650944</v>
      </c>
      <c r="T279" s="121" t="n">
        <f aca="false">SUM(J279:S279)</f>
        <v>17618.5911709571</v>
      </c>
      <c r="U279" s="120" t="n">
        <f aca="false">U293*(U274+U275+U276+U277+U278)</f>
        <v>325.9448104198</v>
      </c>
      <c r="V279" s="120" t="n">
        <f aca="false">V293*(V274+V275+V276+V277+V278)</f>
        <v>725.37169737684</v>
      </c>
      <c r="W279" s="120" t="n">
        <f aca="false">W293*(W274+W275+W276+W277+W278)</f>
        <v>908.7927232662</v>
      </c>
      <c r="X279" s="121" t="n">
        <f aca="false">SUM(U279:W279)</f>
        <v>1960.10923106284</v>
      </c>
      <c r="Y279" s="120" t="n">
        <f aca="false">Y293*(Y274+Y275+Y276+Y277+Y278)</f>
        <v>188.33541347872</v>
      </c>
      <c r="Z279" s="93" t="n">
        <f aca="false">Z293*(Z274+Z275+Z276+Z277+Z278)</f>
        <v>4161.00681733143</v>
      </c>
    </row>
    <row r="280" customFormat="false" ht="15" hidden="false" customHeight="false" outlineLevel="0" collapsed="false">
      <c r="B280" s="65" t="s">
        <v>212</v>
      </c>
      <c r="C280" s="119" t="n">
        <f aca="false">I280+T280+X280+Y280+Z280</f>
        <v>95505.682335</v>
      </c>
      <c r="D280" s="120" t="n">
        <f aca="false">$M$385*(D274+D275+D276+D277+D278+D279+D281+D282+D283+D284)/($C$274+$C$275+$C$276+$C$277+$C$278+$C$279+$C$281+$C$282+$C$283+$C$284)</f>
        <v>20096.5244282881</v>
      </c>
      <c r="E280" s="120" t="n">
        <f aca="false">$M$385*(E274+E275+E276+E277+E278+E279+E281+E282+E283+E284)/($C$274+$C$275+$C$276+$C$277+$C$278+$C$279+$C$281+$C$282+$C$283+$C$284)</f>
        <v>1418.98329355909</v>
      </c>
      <c r="F280" s="120" t="n">
        <f aca="false">$M$385*(F274+F275+F276+F277+F278+F279+F281+F282+F283+F284)/($C$274+$C$275+$C$276+$C$277+$C$278+$C$279+$C$281+$C$282+$C$283+$C$284)</f>
        <v>785.334900569359</v>
      </c>
      <c r="G280" s="120" t="n">
        <f aca="false">$M$385*(G274+G275+G276+G277+G278+G279+G281+G282+G283+G284)/($C$274+$C$275+$C$276+$C$277+$C$278+$C$279+$C$281+$C$282+$C$283+$C$284)</f>
        <v>328.891046468342</v>
      </c>
      <c r="H280" s="120" t="n">
        <f aca="false">$M$385*(H274+H275+H276+H277+H278+H279+H281+H282+H283+H284)/($C$274+$C$275+$C$276+$C$277+$C$278+$C$279+$C$281+$C$282+$C$283+$C$284)</f>
        <v>81.4282268135686</v>
      </c>
      <c r="I280" s="121" t="n">
        <f aca="false">SUM(D280:H280)</f>
        <v>22711.1618956985</v>
      </c>
      <c r="J280" s="120" t="n">
        <f aca="false">$M$385*(J274+J275+J276+J277+J278+J279+J281+J282+J283+J284)/($C$274+$C$275+$C$276+$C$277+$C$278+$C$279+$C$281+$C$282+$C$283+$C$284)</f>
        <v>14985.1375567704</v>
      </c>
      <c r="K280" s="120" t="n">
        <f aca="false">$M$385*(K274+K275+K276+K277+K278+K279+K281+K282+K283+K284)/($C$274+$C$275+$C$276+$C$277+$C$278+$C$279+$C$281+$C$282+$C$283+$C$284)</f>
        <v>3143.17003214817</v>
      </c>
      <c r="L280" s="120" t="n">
        <f aca="false">$M$385*(L274+L275+L276+L277+L278+L279+L281+L282+L283+L284)/($C$274+$C$275+$C$276+$C$277+$C$278+$C$279+$C$281+$C$282+$C$283+$C$284)</f>
        <v>18096.9973224241</v>
      </c>
      <c r="M280" s="120" t="n">
        <f aca="false">$M$385*(M274+M275+M276+M277+M278+M279+M281+M282+M283+M284)/($C$274+$C$275+$C$276+$C$277+$C$278+$C$279+$C$281+$C$282+$C$283+$C$284)</f>
        <v>1742.42880295803</v>
      </c>
      <c r="N280" s="120" t="n">
        <f aca="false">$M$385*(N274+N275+N276+N277+N278+N279+N281+N282+N283+N284)/($C$274+$C$275+$C$276+$C$277+$C$278+$C$279+$C$281+$C$282+$C$283+$C$284)</f>
        <v>1918.07422365484</v>
      </c>
      <c r="O280" s="120" t="n">
        <f aca="false">$M$385*(O274+O275+O276+O277+O278+O279+O281+O282+O283+O284)/($C$274+$C$275+$C$276+$C$277+$C$278+$C$279+$C$281+$C$282+$C$283+$C$284)</f>
        <v>1404.5198368149</v>
      </c>
      <c r="P280" s="120" t="n">
        <f aca="false">$M$385*(P274+P275+P276+P277+P278+P279+P281+P282+P283+P284)/($C$274+$C$275+$C$276+$C$277+$C$278+$C$279+$C$281+$C$282+$C$283+$C$284)</f>
        <v>869.328074361767</v>
      </c>
      <c r="Q280" s="120" t="n">
        <f aca="false">$M$385*(Q274+Q275+Q276+Q277+Q278+Q279+Q281+Q282+Q283+Q284)/($C$274+$C$275+$C$276+$C$277+$C$278+$C$279+$C$281+$C$282+$C$283+$C$284)</f>
        <v>1590.44587830207</v>
      </c>
      <c r="R280" s="120" t="n">
        <f aca="false">$M$385*(R274+R275+R276+R277+R278+R279+R281+R282+R283+R284)/($C$274+$C$275+$C$276+$C$277+$C$278+$C$279+$C$281+$C$282+$C$283+$C$284)</f>
        <v>9180.13672840829</v>
      </c>
      <c r="S280" s="120" t="n">
        <f aca="false">$M$385*(S274+S275+S276+S277+S278+S279+S281+S282+S283+S284)/($C$274+$C$275+$C$276+$C$277+$C$278+$C$279+$C$281+$C$282+$C$283+$C$284)</f>
        <v>193.092462458216</v>
      </c>
      <c r="T280" s="121" t="n">
        <f aca="false">SUM(J280:S280)</f>
        <v>53123.3309183007</v>
      </c>
      <c r="U280" s="120" t="n">
        <f aca="false">$M$385*(U274+U275+U276+U277+U278+U279+U281+U282+U283+U284)/($C$274+$C$275+$C$276+$C$277+$C$278+$C$279+$C$281+$C$282+$C$283+$C$284)</f>
        <v>994.628848526473</v>
      </c>
      <c r="V280" s="120" t="n">
        <f aca="false">$M$385*(V274+V275+V276+V277+V278+V279+V281+V282+V283+V284)/($C$274+$C$275+$C$276+$C$277+$C$278+$C$279+$C$281+$C$282+$C$283+$C$284)</f>
        <v>2141.64320764843</v>
      </c>
      <c r="W280" s="120" t="n">
        <f aca="false">$M$385*(W274+W275+W276+W277+W278+W279+W281+W282+W283+W284)/($C$274+$C$275+$C$276+$C$277+$C$278+$C$279+$C$281+$C$282+$C$283+$C$284)</f>
        <v>2725.13065941176</v>
      </c>
      <c r="X280" s="121" t="n">
        <f aca="false">SUM(U280:W280)</f>
        <v>5861.40271558667</v>
      </c>
      <c r="Y280" s="120" t="n">
        <f aca="false">$M$385*(Y274+Y275+Y276+Y277+Y278+Y279+Y281+Y282+Y283+Y284)/($C$274+$C$275+$C$276+$C$277+$C$278+$C$279+$C$281+$C$282+$C$283+$C$284)</f>
        <v>644.090980679224</v>
      </c>
      <c r="Z280" s="93" t="n">
        <f aca="false">$M$385*(Z274+Z275+Z276+Z277+Z278+Z279+Z281+Z282+Z283+Z284)/($C$274+$C$275+$C$276+$C$277+$C$278+$C$279+$C$281+$C$282+$C$283+$C$284)</f>
        <v>13165.6958247349</v>
      </c>
    </row>
    <row r="281" customFormat="false" ht="15" hidden="false" customHeight="false" outlineLevel="0" collapsed="false">
      <c r="B281" s="65" t="s">
        <v>213</v>
      </c>
      <c r="C281" s="119" t="n">
        <f aca="false">I281+T281+X281+Y281+Z281</f>
        <v>30000</v>
      </c>
      <c r="D281" s="103" t="n">
        <v>10000</v>
      </c>
      <c r="E281" s="103" t="n">
        <v>0</v>
      </c>
      <c r="F281" s="103" t="n">
        <v>0</v>
      </c>
      <c r="G281" s="103" t="n">
        <v>0</v>
      </c>
      <c r="H281" s="103" t="n">
        <v>0</v>
      </c>
      <c r="I281" s="121" t="n">
        <f aca="false">SUM(D281:H281)</f>
        <v>10000</v>
      </c>
      <c r="J281" s="103" t="n">
        <v>10000</v>
      </c>
      <c r="K281" s="103" t="n">
        <v>0</v>
      </c>
      <c r="L281" s="103" t="n">
        <v>10000</v>
      </c>
      <c r="M281" s="103" t="n">
        <v>0</v>
      </c>
      <c r="N281" s="103" t="n">
        <v>0</v>
      </c>
      <c r="O281" s="103" t="n">
        <v>0</v>
      </c>
      <c r="P281" s="103" t="n">
        <v>0</v>
      </c>
      <c r="Q281" s="103" t="n">
        <v>0</v>
      </c>
      <c r="R281" s="103" t="n">
        <v>0</v>
      </c>
      <c r="S281" s="103" t="n">
        <v>0</v>
      </c>
      <c r="T281" s="121" t="n">
        <f aca="false">SUM(J281:S281)</f>
        <v>20000</v>
      </c>
      <c r="U281" s="103" t="n">
        <v>0</v>
      </c>
      <c r="V281" s="103" t="n">
        <v>0</v>
      </c>
      <c r="W281" s="103" t="n">
        <v>0</v>
      </c>
      <c r="X281" s="121" t="n">
        <f aca="false">SUM(U281:W281)</f>
        <v>0</v>
      </c>
      <c r="Y281" s="103" t="n">
        <v>0</v>
      </c>
      <c r="Z281" s="89" t="n">
        <v>0</v>
      </c>
    </row>
    <row r="282" customFormat="false" ht="15" hidden="false" customHeight="false" outlineLevel="0" collapsed="false">
      <c r="B282" s="65" t="s">
        <v>214</v>
      </c>
      <c r="C282" s="119" t="n">
        <f aca="false">I282+T282+X282+Y282+Z282</f>
        <v>5324</v>
      </c>
      <c r="D282" s="120" t="n">
        <f aca="false">$M$346*D287/$C$55</f>
        <v>958.45624377267</v>
      </c>
      <c r="E282" s="120" t="n">
        <f aca="false">$M$346*E287/$C$55</f>
        <v>109.452141402773</v>
      </c>
      <c r="F282" s="120" t="n">
        <f aca="false">$M$346*F287/$C$55</f>
        <v>66.7339838541541</v>
      </c>
      <c r="G282" s="120" t="n">
        <f aca="false">$M$346*G287/$C$55</f>
        <v>27.9536044589816</v>
      </c>
      <c r="H282" s="120" t="n">
        <f aca="false">$M$346*H287/$C$55</f>
        <v>9.11526336065547</v>
      </c>
      <c r="I282" s="121" t="n">
        <f aca="false">SUM(D282:H282)</f>
        <v>1171.71123684923</v>
      </c>
      <c r="J282" s="120" t="n">
        <f aca="false">$M$346*J287/$C$55</f>
        <v>501.557491063353</v>
      </c>
      <c r="K282" s="120" t="n">
        <f aca="false">$M$346*K287/$C$55</f>
        <v>131.303523791871</v>
      </c>
      <c r="L282" s="120" t="n">
        <f aca="false">$M$346*L287/$C$55</f>
        <v>526.458357575249</v>
      </c>
      <c r="M282" s="120" t="n">
        <f aca="false">$M$346*M287/$C$55</f>
        <v>101.381355638595</v>
      </c>
      <c r="N282" s="120" t="n">
        <f aca="false">$M$346*N287/$C$55</f>
        <v>85.6328460842388</v>
      </c>
      <c r="O282" s="120" t="n">
        <f aca="false">$M$346*O287/$C$55</f>
        <v>59.6478053195516</v>
      </c>
      <c r="P282" s="120" t="n">
        <f aca="false">$M$346*P287/$C$55</f>
        <v>49.8049868480792</v>
      </c>
      <c r="Q282" s="120" t="n">
        <f aca="false">$M$346*Q287/$C$55</f>
        <v>152.170298951392</v>
      </c>
      <c r="R282" s="120" t="n">
        <f aca="false">$M$346*R287/$C$55</f>
        <v>657.500924659215</v>
      </c>
      <c r="S282" s="120" t="n">
        <f aca="false">$M$346*S287/$C$55</f>
        <v>21.417972993924</v>
      </c>
      <c r="T282" s="121" t="n">
        <f aca="false">SUM(J282:S282)</f>
        <v>2286.87556292547</v>
      </c>
      <c r="U282" s="120" t="n">
        <f aca="false">$M$346*U287/$C$55</f>
        <v>78.3488350329204</v>
      </c>
      <c r="V282" s="120" t="n">
        <f aca="false">$M$346*V287/$C$55</f>
        <v>114.373876020938</v>
      </c>
      <c r="W282" s="120" t="n">
        <f aca="false">$M$346*W287/$C$55</f>
        <v>178.312824811623</v>
      </c>
      <c r="X282" s="121" t="n">
        <f aca="false">SUM(U282:W282)</f>
        <v>371.035535865482</v>
      </c>
      <c r="Y282" s="120" t="n">
        <f aca="false">$M$346*Y287/$C$55</f>
        <v>103.198941885922</v>
      </c>
      <c r="Z282" s="93" t="n">
        <f aca="false">$M$346*Z287/$C$55</f>
        <v>1391.17872247389</v>
      </c>
    </row>
    <row r="283" customFormat="false" ht="15" hidden="false" customHeight="false" outlineLevel="0" collapsed="false">
      <c r="B283" s="65" t="s">
        <v>215</v>
      </c>
      <c r="C283" s="119" t="n">
        <f aca="false">I283+T283+X283+Y283+Z283</f>
        <v>30000</v>
      </c>
      <c r="D283" s="120" t="n">
        <f aca="false">$M$364*D287/$C$55</f>
        <v>5400.76771472203</v>
      </c>
      <c r="E283" s="120" t="n">
        <f aca="false">$M$364*E287/$C$55</f>
        <v>616.747603697069</v>
      </c>
      <c r="F283" s="120" t="n">
        <f aca="false">$M$364*F287/$C$55</f>
        <v>376.036723445647</v>
      </c>
      <c r="G283" s="120" t="n">
        <f aca="false">$M$364*G287/$C$55</f>
        <v>157.514675764359</v>
      </c>
      <c r="H283" s="120" t="n">
        <f aca="false">$M$364*H287/$C$55</f>
        <v>51.3632420773224</v>
      </c>
      <c r="I283" s="121" t="n">
        <f aca="false">SUM(D283:H283)</f>
        <v>6602.42995970643</v>
      </c>
      <c r="J283" s="120" t="n">
        <f aca="false">$M$364*J287/$C$55</f>
        <v>2826.20674904219</v>
      </c>
      <c r="K283" s="120" t="n">
        <f aca="false">$M$364*K287/$C$55</f>
        <v>739.877106265237</v>
      </c>
      <c r="L283" s="120" t="n">
        <f aca="false">$M$364*L287/$C$55</f>
        <v>2966.51967078465</v>
      </c>
      <c r="M283" s="120" t="n">
        <f aca="false">$M$364*M287/$C$55</f>
        <v>571.269847700571</v>
      </c>
      <c r="N283" s="120" t="n">
        <f aca="false">$M$364*N287/$C$55</f>
        <v>482.529185298115</v>
      </c>
      <c r="O283" s="120" t="n">
        <f aca="false">$M$364*O287/$C$55</f>
        <v>336.107092334062</v>
      </c>
      <c r="P283" s="120" t="n">
        <f aca="false">$M$364*P287/$C$55</f>
        <v>280.644178332528</v>
      </c>
      <c r="Q283" s="120" t="n">
        <f aca="false">$M$364*Q287/$C$55</f>
        <v>857.458483948491</v>
      </c>
      <c r="R283" s="120" t="n">
        <f aca="false">$M$364*R287/$C$55</f>
        <v>3704.92632227206</v>
      </c>
      <c r="S283" s="120" t="n">
        <f aca="false">$M$364*S287/$C$55</f>
        <v>120.68730086734</v>
      </c>
      <c r="T283" s="121" t="n">
        <f aca="false">SUM(J283:S283)</f>
        <v>12886.2259368452</v>
      </c>
      <c r="U283" s="120" t="n">
        <f aca="false">$M$364*U287/$C$55</f>
        <v>441.484795452219</v>
      </c>
      <c r="V283" s="120" t="n">
        <f aca="false">$M$364*V287/$C$55</f>
        <v>644.480894182597</v>
      </c>
      <c r="W283" s="120" t="n">
        <f aca="false">$M$364*W287/$C$55</f>
        <v>1004.76798353657</v>
      </c>
      <c r="X283" s="121" t="n">
        <f aca="false">SUM(U283:W283)</f>
        <v>2090.73367317138</v>
      </c>
      <c r="Y283" s="120" t="n">
        <f aca="false">$M$364*Y287/$C$55</f>
        <v>581.511693572061</v>
      </c>
      <c r="Z283" s="93" t="n">
        <f aca="false">$M$364*Z287/$C$55</f>
        <v>7839.09873670489</v>
      </c>
    </row>
    <row r="284" customFormat="false" ht="15" hidden="false" customHeight="false" outlineLevel="0" collapsed="false">
      <c r="B284" s="29" t="s">
        <v>216</v>
      </c>
      <c r="C284" s="119" t="n">
        <f aca="false">I284+T284+X284+Y284+Z284</f>
        <v>40000.0597685618</v>
      </c>
      <c r="D284" s="120" t="n">
        <f aca="false">($M$362+$M$363)*D287/$C$55</f>
        <v>7201.0343795</v>
      </c>
      <c r="E284" s="120" t="n">
        <f aca="false">($M$362+$M$363)*E287/$C$55</f>
        <v>822.331367</v>
      </c>
      <c r="F284" s="120" t="n">
        <f aca="false">($M$362+$M$363)*F287/$C$55</f>
        <v>501.3830471</v>
      </c>
      <c r="G284" s="120" t="n">
        <f aca="false">($M$362+$M$363)*G287/$C$55</f>
        <v>210.0198815</v>
      </c>
      <c r="H284" s="120" t="n">
        <f aca="false">($M$362+$M$363)*H287/$C$55</f>
        <v>68.4844251</v>
      </c>
      <c r="I284" s="121" t="n">
        <f aca="false">SUM(D284:H284)</f>
        <v>8803.2531002</v>
      </c>
      <c r="J284" s="120" t="n">
        <f aca="false">($M$362+$M$363)*J287/$C$55</f>
        <v>3768.281296</v>
      </c>
      <c r="K284" s="120" t="n">
        <f aca="false">($M$362+$M$363)*K287/$C$55</f>
        <v>986.5042824</v>
      </c>
      <c r="L284" s="120" t="n">
        <f aca="false">($M$362+$M$363)*L287/$C$55</f>
        <v>3955.3654712</v>
      </c>
      <c r="M284" s="120" t="n">
        <f aca="false">($M$362+$M$363)*M287/$C$55</f>
        <v>761.6942684</v>
      </c>
      <c r="N284" s="120" t="n">
        <f aca="false">($M$362+$M$363)*N287/$C$55</f>
        <v>643.3732084</v>
      </c>
      <c r="O284" s="120" t="n">
        <f aca="false">($M$362+$M$363)*O287/$C$55</f>
        <v>448.1434594</v>
      </c>
      <c r="P284" s="120" t="n">
        <f aca="false">($M$362+$M$363)*P287/$C$55</f>
        <v>374.1927969</v>
      </c>
      <c r="Q284" s="120" t="n">
        <f aca="false">($M$362+$M$363)*Q287/$C$55</f>
        <v>1143.2796869</v>
      </c>
      <c r="R284" s="120" t="n">
        <f aca="false">($M$362+$M$363)*R287/$C$55</f>
        <v>4939.9091443</v>
      </c>
      <c r="S284" s="120" t="n">
        <f aca="false">($M$362+$M$363)*S287/$C$55</f>
        <v>160.9166416</v>
      </c>
      <c r="T284" s="121" t="n">
        <f aca="false">SUM(J284:S284)</f>
        <v>17181.6602555</v>
      </c>
      <c r="U284" s="120" t="n">
        <f aca="false">($M$362+$M$363)*U287/$C$55</f>
        <v>588.6472735</v>
      </c>
      <c r="V284" s="120" t="n">
        <f aca="false">($M$362+$M$363)*V287/$C$55</f>
        <v>859.3091429</v>
      </c>
      <c r="W284" s="120" t="n">
        <f aca="false">($M$362+$M$363)*W287/$C$55</f>
        <v>1339.6926465</v>
      </c>
      <c r="X284" s="121" t="n">
        <f aca="false">SUM(U284:W284)</f>
        <v>2787.6490629</v>
      </c>
      <c r="Y284" s="120" t="n">
        <f aca="false">($M$362+$M$363)*Y287/$C$55</f>
        <v>775.3500833</v>
      </c>
      <c r="Z284" s="93" t="n">
        <f aca="false">($M$362+$M$363)*Z287/$C$55</f>
        <v>10452.1472666617</v>
      </c>
    </row>
    <row r="285" customFormat="false" ht="15" hidden="false" customHeight="false" outlineLevel="0" collapsed="false">
      <c r="B285" s="65" t="s">
        <v>62</v>
      </c>
      <c r="C285" s="119" t="n">
        <f aca="false">I285+T285+X285+Y285+Z285</f>
        <v>1223674.39330824</v>
      </c>
      <c r="D285" s="122" t="n">
        <f aca="false">SUM(D274:D284)</f>
        <v>257488.368609641</v>
      </c>
      <c r="E285" s="122" t="n">
        <f aca="false">SUM(E274:E284)</f>
        <v>18180.8399082462</v>
      </c>
      <c r="F285" s="122" t="n">
        <f aca="false">SUM(F274:F284)</f>
        <v>10062.1678679513</v>
      </c>
      <c r="G285" s="122" t="n">
        <f aca="false">SUM(G274:G284)</f>
        <v>4213.94352578928</v>
      </c>
      <c r="H285" s="122" t="n">
        <f aca="false">SUM(H274:H284)</f>
        <v>1043.3058390678</v>
      </c>
      <c r="I285" s="121" t="n">
        <f aca="false">SUM(D285:H285)</f>
        <v>290988.625750696</v>
      </c>
      <c r="J285" s="122" t="n">
        <f aca="false">SUM(J274:J284)</f>
        <v>191998.30481397</v>
      </c>
      <c r="K285" s="122" t="n">
        <f aca="false">SUM(K274:K284)</f>
        <v>40272.1240047518</v>
      </c>
      <c r="L285" s="122" t="n">
        <f aca="false">SUM(L274:L284)</f>
        <v>231869.263459549</v>
      </c>
      <c r="M285" s="122" t="n">
        <f aca="false">SUM(M274:M284)</f>
        <v>22325.0120434049</v>
      </c>
      <c r="N285" s="122" t="n">
        <f aca="false">SUM(N274:N284)</f>
        <v>24575.4834117433</v>
      </c>
      <c r="O285" s="122" t="n">
        <f aca="false">SUM(O274:O284)</f>
        <v>17995.5256816591</v>
      </c>
      <c r="P285" s="122" t="n">
        <f aca="false">SUM(P274:P284)</f>
        <v>11138.3373006971</v>
      </c>
      <c r="Q285" s="122" t="n">
        <f aca="false">SUM(Q274:Q284)</f>
        <v>20377.7183476303</v>
      </c>
      <c r="R285" s="122" t="n">
        <f aca="false">SUM(R274:R284)</f>
        <v>117621.255269593</v>
      </c>
      <c r="S285" s="122" t="n">
        <f aca="false">SUM(S274:S284)</f>
        <v>2474.01302282892</v>
      </c>
      <c r="T285" s="121" t="n">
        <f aca="false">SUM(J285:S285)</f>
        <v>680647.037355829</v>
      </c>
      <c r="U285" s="122" t="n">
        <f aca="false">SUM(U274:U284)</f>
        <v>12743.7637534314</v>
      </c>
      <c r="V285" s="122" t="n">
        <f aca="false">SUM(V274:V284)</f>
        <v>27439.9793680288</v>
      </c>
      <c r="W285" s="122" t="n">
        <f aca="false">SUM(W274:W284)</f>
        <v>34915.9602320262</v>
      </c>
      <c r="X285" s="121" t="n">
        <f aca="false">SUM(U285:W285)</f>
        <v>75099.7033534864</v>
      </c>
      <c r="Y285" s="122" t="n">
        <f aca="false">SUM(Y274:Y284)</f>
        <v>8252.46855211593</v>
      </c>
      <c r="Z285" s="123" t="n">
        <f aca="false">SUM(Z274:Z284)</f>
        <v>168686.558296117</v>
      </c>
    </row>
    <row r="286" customFormat="false" ht="15" hidden="false" customHeight="false" outlineLevel="0" collapsed="false">
      <c r="B286" s="124" t="s">
        <v>217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69"/>
    </row>
    <row r="287" customFormat="false" ht="15" hidden="false" customHeight="false" outlineLevel="0" collapsed="false">
      <c r="B287" s="65" t="s">
        <v>90</v>
      </c>
      <c r="C287" s="66" t="n">
        <f aca="false">I287+T287+X287+Y287+Z287</f>
        <v>81811.424475</v>
      </c>
      <c r="D287" s="125" t="n">
        <f aca="false">$D$60</f>
        <v>14728.15</v>
      </c>
      <c r="E287" s="125" t="n">
        <f aca="false">$E$60</f>
        <v>1681.9</v>
      </c>
      <c r="F287" s="125" t="n">
        <f aca="false">$F$60</f>
        <v>1025.47</v>
      </c>
      <c r="G287" s="125" t="n">
        <f aca="false">$G$60</f>
        <v>429.55</v>
      </c>
      <c r="H287" s="125" t="n">
        <f aca="false">$H$60</f>
        <v>140.07</v>
      </c>
      <c r="I287" s="68" t="n">
        <f aca="false">SUM(D287:H287)</f>
        <v>18005.14</v>
      </c>
      <c r="J287" s="125" t="n">
        <f aca="false">$J$60</f>
        <v>7707.2</v>
      </c>
      <c r="K287" s="125" t="n">
        <f aca="false">$K$60</f>
        <v>2017.68</v>
      </c>
      <c r="L287" s="125" t="n">
        <f aca="false">$L$60</f>
        <v>8089.84</v>
      </c>
      <c r="M287" s="125" t="n">
        <f aca="false">$M$60</f>
        <v>1557.88</v>
      </c>
      <c r="N287" s="125" t="n">
        <f aca="false">$N$60</f>
        <v>1315.88</v>
      </c>
      <c r="O287" s="125" t="n">
        <f aca="false">$O$60</f>
        <v>916.58</v>
      </c>
      <c r="P287" s="125" t="n">
        <f aca="false">$P$60</f>
        <v>765.33</v>
      </c>
      <c r="Q287" s="125" t="n">
        <f aca="false">$Q$60</f>
        <v>2338.33</v>
      </c>
      <c r="R287" s="125" t="n">
        <f aca="false">$R$60</f>
        <v>10103.51</v>
      </c>
      <c r="S287" s="125" t="n">
        <f aca="false">$S$60</f>
        <v>329.12</v>
      </c>
      <c r="T287" s="68" t="n">
        <f aca="false">SUM(J287:S287)</f>
        <v>35141.35</v>
      </c>
      <c r="U287" s="125" t="n">
        <f aca="false">$U$60</f>
        <v>1203.95</v>
      </c>
      <c r="V287" s="125" t="n">
        <f aca="false">$V$60</f>
        <v>1757.53</v>
      </c>
      <c r="W287" s="125" t="n">
        <f aca="false">$W$60</f>
        <v>2740.05</v>
      </c>
      <c r="X287" s="68" t="n">
        <f aca="false">SUM(U287:W287)</f>
        <v>5701.53</v>
      </c>
      <c r="Y287" s="125" t="n">
        <f aca="false">$Y$60</f>
        <v>1585.81</v>
      </c>
      <c r="Z287" s="126" t="n">
        <f aca="false">$Z$60</f>
        <v>21377.594475</v>
      </c>
    </row>
    <row r="288" customFormat="false" ht="15" hidden="false" customHeight="false" outlineLevel="0" collapsed="false">
      <c r="B288" s="65" t="s">
        <v>206</v>
      </c>
      <c r="C288" s="17"/>
      <c r="D288" s="127" t="n">
        <v>8582.48</v>
      </c>
      <c r="E288" s="127" t="n">
        <v>7124.68</v>
      </c>
      <c r="F288" s="127" t="n">
        <v>6164.98</v>
      </c>
      <c r="G288" s="127" t="n">
        <v>6164.59</v>
      </c>
      <c r="H288" s="127" t="n">
        <v>5297.35</v>
      </c>
      <c r="I288" s="17"/>
      <c r="J288" s="127" t="n">
        <v>8859.12</v>
      </c>
      <c r="K288" s="127" t="n">
        <v>7142.36</v>
      </c>
      <c r="L288" s="127" t="n">
        <v>9659.15</v>
      </c>
      <c r="M288" s="127" t="n">
        <v>6603.2</v>
      </c>
      <c r="N288" s="127" t="n">
        <v>6560.63</v>
      </c>
      <c r="O288" s="127" t="n">
        <v>7142.86</v>
      </c>
      <c r="P288" s="127" t="n">
        <v>6602.38</v>
      </c>
      <c r="Q288" s="127" t="n">
        <v>6384.47</v>
      </c>
      <c r="R288" s="127" t="n">
        <v>7800.36</v>
      </c>
      <c r="S288" s="127" t="n">
        <v>5314.17</v>
      </c>
      <c r="T288" s="17"/>
      <c r="U288" s="127" t="n">
        <v>6855.77</v>
      </c>
      <c r="V288" s="127" t="n">
        <v>5836.6</v>
      </c>
      <c r="W288" s="127" t="n">
        <v>6384.56</v>
      </c>
      <c r="X288" s="17"/>
      <c r="Y288" s="127" t="n">
        <v>3246.92</v>
      </c>
      <c r="Z288" s="128" t="n">
        <v>5648.2</v>
      </c>
    </row>
    <row r="289" customFormat="false" ht="15" hidden="false" customHeight="false" outlineLevel="0" collapsed="false">
      <c r="B289" s="65" t="s">
        <v>208</v>
      </c>
      <c r="C289" s="17"/>
      <c r="D289" s="127" t="n">
        <v>4523.18</v>
      </c>
      <c r="E289" s="127" t="n">
        <v>1199.83</v>
      </c>
      <c r="F289" s="127" t="n">
        <v>1200.43</v>
      </c>
      <c r="G289" s="127" t="n">
        <v>1198.93</v>
      </c>
      <c r="H289" s="127" t="n">
        <v>0</v>
      </c>
      <c r="I289" s="17"/>
      <c r="J289" s="127" t="n">
        <v>10177.5</v>
      </c>
      <c r="K289" s="127" t="n">
        <v>8726.36</v>
      </c>
      <c r="L289" s="127" t="n">
        <v>10177.21</v>
      </c>
      <c r="M289" s="127" t="n">
        <v>4800.11</v>
      </c>
      <c r="N289" s="127" t="n">
        <v>8726.48</v>
      </c>
      <c r="O289" s="127" t="n">
        <v>8999.76</v>
      </c>
      <c r="P289" s="127" t="n">
        <v>5000.46</v>
      </c>
      <c r="Q289" s="127" t="n">
        <v>0</v>
      </c>
      <c r="R289" s="127" t="n">
        <v>1199.98</v>
      </c>
      <c r="S289" s="127" t="n">
        <v>0</v>
      </c>
      <c r="T289" s="17"/>
      <c r="U289" s="127" t="n">
        <v>1200.22</v>
      </c>
      <c r="V289" s="127" t="n">
        <v>6712.83</v>
      </c>
      <c r="W289" s="127" t="n">
        <v>3599.93</v>
      </c>
      <c r="X289" s="17"/>
      <c r="Y289" s="127" t="n">
        <v>0</v>
      </c>
      <c r="Z289" s="128" t="n">
        <v>0</v>
      </c>
    </row>
    <row r="290" customFormat="false" ht="15" hidden="false" customHeight="false" outlineLevel="0" collapsed="false">
      <c r="B290" s="29" t="s">
        <v>209</v>
      </c>
      <c r="C290" s="17"/>
      <c r="D290" s="127" t="n">
        <v>565.38</v>
      </c>
      <c r="E290" s="127" t="n">
        <v>0</v>
      </c>
      <c r="F290" s="127" t="n">
        <v>0</v>
      </c>
      <c r="G290" s="127" t="n">
        <v>0</v>
      </c>
      <c r="H290" s="127" t="n">
        <v>0</v>
      </c>
      <c r="I290" s="17"/>
      <c r="J290" s="127" t="n">
        <v>565.45</v>
      </c>
      <c r="K290" s="127" t="n">
        <v>565.5</v>
      </c>
      <c r="L290" s="129" t="n">
        <v>100</v>
      </c>
      <c r="M290" s="127" t="n">
        <v>0</v>
      </c>
      <c r="N290" s="127" t="n">
        <v>0</v>
      </c>
      <c r="O290" s="127" t="n">
        <v>0</v>
      </c>
      <c r="P290" s="127" t="n">
        <v>0</v>
      </c>
      <c r="Q290" s="127" t="n">
        <v>0</v>
      </c>
      <c r="R290" s="127" t="n">
        <v>0</v>
      </c>
      <c r="S290" s="127" t="n">
        <v>0</v>
      </c>
      <c r="T290" s="17"/>
      <c r="U290" s="127" t="n">
        <v>0</v>
      </c>
      <c r="V290" s="127" t="n">
        <v>0</v>
      </c>
      <c r="W290" s="127" t="n">
        <v>0</v>
      </c>
      <c r="X290" s="17"/>
      <c r="Y290" s="127" t="n">
        <v>0</v>
      </c>
      <c r="Z290" s="128" t="n">
        <v>0</v>
      </c>
    </row>
    <row r="291" customFormat="false" ht="15" hidden="false" customHeight="false" outlineLevel="0" collapsed="false">
      <c r="B291" s="65" t="s">
        <v>207</v>
      </c>
      <c r="C291" s="17"/>
      <c r="D291" s="130" t="n">
        <f aca="false">$L$352</f>
        <v>421.4</v>
      </c>
      <c r="E291" s="130" t="n">
        <f aca="false">$L$352</f>
        <v>421.4</v>
      </c>
      <c r="F291" s="130" t="n">
        <f aca="false">$L$352</f>
        <v>421.4</v>
      </c>
      <c r="G291" s="130" t="n">
        <f aca="false">$L$352</f>
        <v>421.4</v>
      </c>
      <c r="H291" s="130" t="n">
        <f aca="false">$L$352</f>
        <v>421.4</v>
      </c>
      <c r="I291" s="17"/>
      <c r="J291" s="130" t="n">
        <f aca="false">$L$352</f>
        <v>421.4</v>
      </c>
      <c r="K291" s="130" t="n">
        <f aca="false">$L$352</f>
        <v>421.4</v>
      </c>
      <c r="L291" s="130" t="n">
        <f aca="false">$L$352</f>
        <v>421.4</v>
      </c>
      <c r="M291" s="130" t="n">
        <f aca="false">$L$352</f>
        <v>421.4</v>
      </c>
      <c r="N291" s="130" t="n">
        <f aca="false">$L$352</f>
        <v>421.4</v>
      </c>
      <c r="O291" s="130" t="n">
        <f aca="false">$L$352</f>
        <v>421.4</v>
      </c>
      <c r="P291" s="130" t="n">
        <f aca="false">$L$352</f>
        <v>421.4</v>
      </c>
      <c r="Q291" s="130" t="n">
        <f aca="false">$L$352</f>
        <v>421.4</v>
      </c>
      <c r="R291" s="130" t="n">
        <f aca="false">$L$352</f>
        <v>421.4</v>
      </c>
      <c r="S291" s="130" t="n">
        <f aca="false">$L$352</f>
        <v>421.4</v>
      </c>
      <c r="T291" s="17"/>
      <c r="U291" s="130" t="n">
        <f aca="false">$L$352</f>
        <v>421.4</v>
      </c>
      <c r="V291" s="130" t="n">
        <f aca="false">$L$352</f>
        <v>421.4</v>
      </c>
      <c r="W291" s="130" t="n">
        <f aca="false">$L$352</f>
        <v>421.4</v>
      </c>
      <c r="X291" s="17"/>
      <c r="Y291" s="130" t="n">
        <f aca="false">$L$352</f>
        <v>421.4</v>
      </c>
      <c r="Z291" s="131" t="n">
        <f aca="false">$L$352</f>
        <v>421.4</v>
      </c>
    </row>
    <row r="292" customFormat="false" ht="15" hidden="false" customHeight="false" outlineLevel="0" collapsed="false">
      <c r="B292" s="65" t="s">
        <v>210</v>
      </c>
      <c r="C292" s="17"/>
      <c r="D292" s="130" t="n">
        <f aca="false">$L$358</f>
        <v>90</v>
      </c>
      <c r="E292" s="130" t="n">
        <f aca="false">$L$358</f>
        <v>90</v>
      </c>
      <c r="F292" s="130" t="n">
        <f aca="false">$L$358</f>
        <v>90</v>
      </c>
      <c r="G292" s="130" t="n">
        <f aca="false">$L$358</f>
        <v>90</v>
      </c>
      <c r="H292" s="130" t="n">
        <f aca="false">$L$358</f>
        <v>90</v>
      </c>
      <c r="I292" s="17"/>
      <c r="J292" s="130" t="n">
        <f aca="false">$L$358</f>
        <v>90</v>
      </c>
      <c r="K292" s="130" t="n">
        <f aca="false">$L$358</f>
        <v>90</v>
      </c>
      <c r="L292" s="130" t="n">
        <f aca="false">$L$358</f>
        <v>90</v>
      </c>
      <c r="M292" s="130" t="n">
        <f aca="false">$L$358</f>
        <v>90</v>
      </c>
      <c r="N292" s="130" t="n">
        <f aca="false">$L$358</f>
        <v>90</v>
      </c>
      <c r="O292" s="130" t="n">
        <f aca="false">$L$358</f>
        <v>90</v>
      </c>
      <c r="P292" s="130" t="n">
        <f aca="false">$L$358</f>
        <v>90</v>
      </c>
      <c r="Q292" s="130" t="n">
        <f aca="false">$L$358</f>
        <v>90</v>
      </c>
      <c r="R292" s="130" t="n">
        <f aca="false">$L$358</f>
        <v>90</v>
      </c>
      <c r="S292" s="130" t="n">
        <f aca="false">$L$358</f>
        <v>90</v>
      </c>
      <c r="T292" s="17"/>
      <c r="U292" s="130" t="n">
        <f aca="false">$L$358</f>
        <v>90</v>
      </c>
      <c r="V292" s="130" t="n">
        <f aca="false">$L$358</f>
        <v>90</v>
      </c>
      <c r="W292" s="130" t="n">
        <f aca="false">$L$358</f>
        <v>90</v>
      </c>
      <c r="X292" s="17"/>
      <c r="Y292" s="130" t="n">
        <f aca="false">$L$358</f>
        <v>90</v>
      </c>
      <c r="Z292" s="131" t="n">
        <f aca="false">$L$358</f>
        <v>90</v>
      </c>
    </row>
    <row r="293" customFormat="false" ht="15" hidden="false" customHeight="false" outlineLevel="0" collapsed="false">
      <c r="B293" s="65" t="s">
        <v>211</v>
      </c>
      <c r="C293" s="17"/>
      <c r="D293" s="115" t="n">
        <v>0.0237</v>
      </c>
      <c r="E293" s="115" t="n">
        <v>0.0237</v>
      </c>
      <c r="F293" s="115" t="n">
        <v>0.0316</v>
      </c>
      <c r="G293" s="115" t="n">
        <v>0.0316</v>
      </c>
      <c r="H293" s="115" t="n">
        <v>0.0237</v>
      </c>
      <c r="I293" s="17"/>
      <c r="J293" s="115" t="n">
        <v>0.0316</v>
      </c>
      <c r="K293" s="115" t="n">
        <v>0.0316</v>
      </c>
      <c r="L293" s="115" t="n">
        <v>0.0316</v>
      </c>
      <c r="M293" s="115" t="n">
        <v>0.0316</v>
      </c>
      <c r="N293" s="115" t="n">
        <v>0.0316</v>
      </c>
      <c r="O293" s="115" t="n">
        <v>0.0316</v>
      </c>
      <c r="P293" s="115" t="n">
        <v>0.0316</v>
      </c>
      <c r="Q293" s="115" t="n">
        <v>0.0316</v>
      </c>
      <c r="R293" s="115" t="n">
        <v>0.0316</v>
      </c>
      <c r="S293" s="115" t="n">
        <v>0.0316</v>
      </c>
      <c r="T293" s="17"/>
      <c r="U293" s="115" t="n">
        <v>0.0316</v>
      </c>
      <c r="V293" s="115" t="n">
        <v>0.0316</v>
      </c>
      <c r="W293" s="115" t="n">
        <v>0.0316</v>
      </c>
      <c r="X293" s="17"/>
      <c r="Y293" s="115" t="n">
        <v>0.0316</v>
      </c>
      <c r="Z293" s="132" t="n">
        <v>0.0316</v>
      </c>
    </row>
    <row r="294" customFormat="false" ht="15" hidden="false" customHeight="false" outlineLevel="0" collapsed="false">
      <c r="B294" s="65" t="s">
        <v>213</v>
      </c>
      <c r="C294" s="17"/>
      <c r="D294" s="133" t="s">
        <v>218</v>
      </c>
      <c r="E294" s="133" t="s">
        <v>218</v>
      </c>
      <c r="F294" s="133" t="s">
        <v>218</v>
      </c>
      <c r="G294" s="133" t="s">
        <v>218</v>
      </c>
      <c r="H294" s="133" t="s">
        <v>218</v>
      </c>
      <c r="I294" s="17"/>
      <c r="J294" s="133" t="s">
        <v>218</v>
      </c>
      <c r="K294" s="133" t="s">
        <v>218</v>
      </c>
      <c r="L294" s="133" t="s">
        <v>218</v>
      </c>
      <c r="M294" s="133" t="s">
        <v>218</v>
      </c>
      <c r="N294" s="133" t="s">
        <v>218</v>
      </c>
      <c r="O294" s="133" t="s">
        <v>218</v>
      </c>
      <c r="P294" s="133" t="s">
        <v>218</v>
      </c>
      <c r="Q294" s="133" t="s">
        <v>218</v>
      </c>
      <c r="R294" s="133" t="s">
        <v>218</v>
      </c>
      <c r="S294" s="133" t="s">
        <v>218</v>
      </c>
      <c r="T294" s="17"/>
      <c r="U294" s="133" t="s">
        <v>218</v>
      </c>
      <c r="V294" s="133" t="s">
        <v>218</v>
      </c>
      <c r="W294" s="133" t="s">
        <v>218</v>
      </c>
      <c r="X294" s="17"/>
      <c r="Y294" s="133" t="s">
        <v>218</v>
      </c>
      <c r="Z294" s="134" t="s">
        <v>218</v>
      </c>
    </row>
    <row r="295" customFormat="false" ht="15" hidden="false" customHeight="false" outlineLevel="0" collapsed="false">
      <c r="B295" s="65" t="s">
        <v>219</v>
      </c>
      <c r="C295" s="119" t="n">
        <f aca="false">C285</f>
        <v>1223674.39330824</v>
      </c>
      <c r="D295" s="122" t="n">
        <f aca="false">D285</f>
        <v>257488.368609641</v>
      </c>
      <c r="E295" s="122" t="n">
        <f aca="false">E285</f>
        <v>18180.8399082462</v>
      </c>
      <c r="F295" s="122" t="n">
        <f aca="false">F285</f>
        <v>10062.1678679513</v>
      </c>
      <c r="G295" s="122" t="n">
        <f aca="false">G285</f>
        <v>4213.94352578928</v>
      </c>
      <c r="H295" s="122" t="n">
        <f aca="false">H285</f>
        <v>1043.3058390678</v>
      </c>
      <c r="I295" s="121" t="n">
        <f aca="false">I285</f>
        <v>290988.625750696</v>
      </c>
      <c r="J295" s="122" t="n">
        <f aca="false">J285</f>
        <v>191998.30481397</v>
      </c>
      <c r="K295" s="122" t="n">
        <f aca="false">K285</f>
        <v>40272.1240047518</v>
      </c>
      <c r="L295" s="122" t="n">
        <f aca="false">L285</f>
        <v>231869.263459549</v>
      </c>
      <c r="M295" s="122" t="n">
        <f aca="false">M285</f>
        <v>22325.0120434049</v>
      </c>
      <c r="N295" s="122" t="n">
        <f aca="false">N285</f>
        <v>24575.4834117433</v>
      </c>
      <c r="O295" s="122" t="n">
        <f aca="false">O285</f>
        <v>17995.5256816591</v>
      </c>
      <c r="P295" s="122" t="n">
        <f aca="false">P285</f>
        <v>11138.3373006971</v>
      </c>
      <c r="Q295" s="122" t="n">
        <f aca="false">Q285</f>
        <v>20377.7183476303</v>
      </c>
      <c r="R295" s="122" t="n">
        <f aca="false">R285</f>
        <v>117621.255269593</v>
      </c>
      <c r="S295" s="122" t="n">
        <f aca="false">S285</f>
        <v>2474.01302282892</v>
      </c>
      <c r="T295" s="121" t="n">
        <f aca="false">T285</f>
        <v>680647.037355829</v>
      </c>
      <c r="U295" s="122" t="n">
        <f aca="false">U285</f>
        <v>12743.7637534314</v>
      </c>
      <c r="V295" s="122" t="n">
        <f aca="false">V285</f>
        <v>27439.9793680288</v>
      </c>
      <c r="W295" s="122" t="n">
        <f aca="false">W285</f>
        <v>34915.9602320262</v>
      </c>
      <c r="X295" s="121" t="n">
        <f aca="false">X285</f>
        <v>75099.7033534864</v>
      </c>
      <c r="Y295" s="122" t="n">
        <f aca="false">Y285</f>
        <v>8252.46855211593</v>
      </c>
      <c r="Z295" s="123" t="n">
        <f aca="false">Z285</f>
        <v>168686.558296117</v>
      </c>
    </row>
    <row r="296" customFormat="false" ht="15" hidden="false" customHeight="false" outlineLevel="0" collapsed="false">
      <c r="B296" s="77" t="s">
        <v>220</v>
      </c>
      <c r="C296" s="135" t="n">
        <f aca="false">C295/C295</f>
        <v>1</v>
      </c>
      <c r="D296" s="136" t="n">
        <f aca="false">D295/$C$295</f>
        <v>0.210422290453846</v>
      </c>
      <c r="E296" s="136" t="n">
        <f aca="false">E295/$C$295</f>
        <v>0.0148575797676813</v>
      </c>
      <c r="F296" s="136" t="n">
        <f aca="false">F295/$C$295</f>
        <v>0.00822291282957052</v>
      </c>
      <c r="G296" s="136" t="n">
        <f aca="false">G295/$C$295</f>
        <v>0.00344368040128449</v>
      </c>
      <c r="H296" s="136" t="n">
        <f aca="false">H295/$C$295</f>
        <v>0.000852600859160896</v>
      </c>
      <c r="I296" s="137" t="n">
        <f aca="false">I295/$C$295</f>
        <v>0.237799064311543</v>
      </c>
      <c r="J296" s="136" t="n">
        <f aca="false">J295/$C$295</f>
        <v>0.156903099275369</v>
      </c>
      <c r="K296" s="136" t="n">
        <f aca="false">K295/$C$295</f>
        <v>0.0329108169828371</v>
      </c>
      <c r="L296" s="136" t="n">
        <f aca="false">L295/$C$295</f>
        <v>0.189486079571121</v>
      </c>
      <c r="M296" s="136" t="n">
        <f aca="false">M295/$C$295</f>
        <v>0.0182442422310142</v>
      </c>
      <c r="N296" s="136" t="n">
        <f aca="false">N295/$C$295</f>
        <v>0.020083351867242</v>
      </c>
      <c r="O296" s="136" t="n">
        <f aca="false">O295/$C$295</f>
        <v>0.0147061389697038</v>
      </c>
      <c r="P296" s="136" t="n">
        <f aca="false">P295/$C$295</f>
        <v>0.00910237017429468</v>
      </c>
      <c r="Q296" s="136" t="n">
        <f aca="false">Q295/$C$295</f>
        <v>0.0166528926804936</v>
      </c>
      <c r="R296" s="136" t="n">
        <f aca="false">R295/$C$295</f>
        <v>0.0961213668544624</v>
      </c>
      <c r="S296" s="136" t="n">
        <f aca="false">S295/$C$295</f>
        <v>0.00202179030333416</v>
      </c>
      <c r="T296" s="137" t="n">
        <f aca="false">T295/$C$295</f>
        <v>0.556232148909872</v>
      </c>
      <c r="U296" s="136" t="n">
        <f aca="false">U295/$C$295</f>
        <v>0.0104143421020507</v>
      </c>
      <c r="V296" s="136" t="n">
        <f aca="false">V295/$C$295</f>
        <v>0.0224242490633836</v>
      </c>
      <c r="W296" s="136" t="n">
        <f aca="false">W295/$C$295</f>
        <v>0.028533701794339</v>
      </c>
      <c r="X296" s="137" t="n">
        <f aca="false">X295/$C$295</f>
        <v>0.0613722929597733</v>
      </c>
      <c r="Y296" s="136" t="n">
        <f aca="false">Y295/$C$295</f>
        <v>0.00674400690023848</v>
      </c>
      <c r="Z296" s="138" t="n">
        <f aca="false">Z295/$C$295</f>
        <v>0.137852486918573</v>
      </c>
    </row>
    <row r="298" customFormat="false" ht="15" hidden="false" customHeight="false" outlineLevel="0" collapsed="false">
      <c r="B298" s="139" t="s">
        <v>221</v>
      </c>
    </row>
    <row r="299" customFormat="false" ht="15" hidden="false" customHeight="false" outlineLevel="0" collapsed="false">
      <c r="C299" s="140" t="s">
        <v>222</v>
      </c>
      <c r="D299" s="140"/>
      <c r="E299" s="140"/>
      <c r="F299" s="140"/>
      <c r="G299" s="140"/>
      <c r="H299" s="140"/>
      <c r="I299" s="140" t="s">
        <v>223</v>
      </c>
      <c r="J299" s="140"/>
      <c r="K299" s="140"/>
      <c r="L299" s="140"/>
      <c r="M299" s="140"/>
      <c r="N299" s="140"/>
      <c r="O299" s="140" t="s">
        <v>224</v>
      </c>
      <c r="P299" s="140"/>
      <c r="Q299" s="140"/>
      <c r="R299" s="140"/>
      <c r="S299" s="140"/>
      <c r="T299" s="140"/>
    </row>
    <row r="300" customFormat="false" ht="15" hidden="false" customHeight="false" outlineLevel="0" collapsed="false">
      <c r="B300" s="118" t="s">
        <v>205</v>
      </c>
      <c r="C300" s="63" t="s">
        <v>64</v>
      </c>
      <c r="D300" s="141" t="s">
        <v>57</v>
      </c>
      <c r="E300" s="142" t="s">
        <v>58</v>
      </c>
      <c r="F300" s="143" t="s">
        <v>59</v>
      </c>
      <c r="G300" s="144" t="s">
        <v>60</v>
      </c>
      <c r="H300" s="145" t="s">
        <v>61</v>
      </c>
      <c r="I300" s="63" t="s">
        <v>64</v>
      </c>
      <c r="J300" s="141" t="s">
        <v>57</v>
      </c>
      <c r="K300" s="142" t="s">
        <v>58</v>
      </c>
      <c r="L300" s="143" t="s">
        <v>59</v>
      </c>
      <c r="M300" s="144" t="s">
        <v>60</v>
      </c>
      <c r="N300" s="145" t="s">
        <v>61</v>
      </c>
      <c r="O300" s="63" t="s">
        <v>64</v>
      </c>
      <c r="P300" s="141" t="s">
        <v>57</v>
      </c>
      <c r="Q300" s="142" t="s">
        <v>58</v>
      </c>
      <c r="R300" s="143" t="s">
        <v>59</v>
      </c>
      <c r="S300" s="144" t="s">
        <v>60</v>
      </c>
      <c r="T300" s="146" t="s">
        <v>61</v>
      </c>
    </row>
    <row r="301" customFormat="false" ht="15" hidden="false" customHeight="false" outlineLevel="0" collapsed="false">
      <c r="B301" s="65" t="s">
        <v>52</v>
      </c>
      <c r="C301" s="147" t="n">
        <f aca="false">SUM(D301:H301)</f>
        <v>81811.424475</v>
      </c>
      <c r="D301" s="67" t="n">
        <f aca="false">$E$46</f>
        <v>23008.1742</v>
      </c>
      <c r="E301" s="67" t="n">
        <f aca="false">$E$47</f>
        <v>13519.907775</v>
      </c>
      <c r="F301" s="67" t="n">
        <f aca="false">$E$48</f>
        <v>21288.22575</v>
      </c>
      <c r="G301" s="67" t="n">
        <f aca="false">$E$49</f>
        <v>14046.003675</v>
      </c>
      <c r="H301" s="67" t="n">
        <f aca="false">$E$50</f>
        <v>9949.113075</v>
      </c>
      <c r="I301" s="147" t="n">
        <f aca="false">SUM(J301:N301)</f>
        <v>81811.424475</v>
      </c>
      <c r="J301" s="67" t="n">
        <f aca="false">$E$46</f>
        <v>23008.1742</v>
      </c>
      <c r="K301" s="67" t="n">
        <f aca="false">$E$47</f>
        <v>13519.907775</v>
      </c>
      <c r="L301" s="67" t="n">
        <f aca="false">$E$48</f>
        <v>21288.22575</v>
      </c>
      <c r="M301" s="67" t="n">
        <f aca="false">$E$49</f>
        <v>14046.003675</v>
      </c>
      <c r="N301" s="67" t="n">
        <f aca="false">$E$50</f>
        <v>9949.113075</v>
      </c>
      <c r="O301" s="147" t="n">
        <f aca="false">SUM(P301:T301)</f>
        <v>81811.424475</v>
      </c>
      <c r="P301" s="67" t="n">
        <f aca="false">$E$46</f>
        <v>23008.1742</v>
      </c>
      <c r="Q301" s="67" t="n">
        <f aca="false">$E$47</f>
        <v>13519.907775</v>
      </c>
      <c r="R301" s="67" t="n">
        <f aca="false">$E$48</f>
        <v>21288.22575</v>
      </c>
      <c r="S301" s="67" t="n">
        <f aca="false">$E$49</f>
        <v>14046.003675</v>
      </c>
      <c r="T301" s="44" t="n">
        <f aca="false">$E$50</f>
        <v>9949.113075</v>
      </c>
    </row>
    <row r="302" customFormat="false" ht="15" hidden="false" customHeight="false" outlineLevel="0" collapsed="false">
      <c r="B302" s="65" t="s">
        <v>206</v>
      </c>
      <c r="C302" s="122" t="n">
        <f aca="false">SUM(D302:H302)</f>
        <v>470945.0654896</v>
      </c>
      <c r="D302" s="120" t="n">
        <f aca="false">SUMIF($D$53:$W$53,"시니어 레지던스",$D$274:$W$274)</f>
        <v>139129.0519185</v>
      </c>
      <c r="E302" s="120" t="n">
        <f aca="false">SUMIF($D$53:$W$53,"레지던스",$D$274:$W$274)</f>
        <v>82690.0065888</v>
      </c>
      <c r="F302" s="120" t="n">
        <f aca="false">SUMIF($D$53:$W$53,"호텔",$D$274:$W$274)</f>
        <v>125338.9725261</v>
      </c>
      <c r="G302" s="120" t="n">
        <f aca="false">SUMIF($D$53:$W$53,"오피스",$D$274:$W$274)</f>
        <v>78811.0152636</v>
      </c>
      <c r="H302" s="120" t="n">
        <f aca="false">SUMIF($D$53:$W$53,"부대시설",$D$274:$W$274)</f>
        <v>44976.0191926</v>
      </c>
      <c r="I302" s="122" t="n">
        <f aca="false">$Y$274+$Z$274</f>
        <v>125893.927318895</v>
      </c>
      <c r="J302" s="120" t="n">
        <f aca="false">$I302*D$301/$C$301</f>
        <v>35405.6836079222</v>
      </c>
      <c r="K302" s="120" t="n">
        <f aca="false">$I302*E$301/$C$301</f>
        <v>20804.848439036</v>
      </c>
      <c r="L302" s="120" t="n">
        <f aca="false">$I302*F$301/$C$301</f>
        <v>32758.9742204978</v>
      </c>
      <c r="M302" s="120" t="n">
        <f aca="false">$I302*G$301/$C$301</f>
        <v>21614.420933616</v>
      </c>
      <c r="N302" s="120" t="n">
        <f aca="false">$I302*H$301/$C$301</f>
        <v>15310.000117823</v>
      </c>
      <c r="O302" s="122" t="n">
        <f aca="false">SUM(P302:T302)</f>
        <v>596838.992808495</v>
      </c>
      <c r="P302" s="120" t="n">
        <f aca="false">D302+J302</f>
        <v>174534.735526422</v>
      </c>
      <c r="Q302" s="120" t="n">
        <f aca="false">E302+K302</f>
        <v>103494.855027836</v>
      </c>
      <c r="R302" s="120" t="n">
        <f aca="false">F302+L302</f>
        <v>158097.946746598</v>
      </c>
      <c r="S302" s="120" t="n">
        <f aca="false">G302+M302</f>
        <v>100425.436197216</v>
      </c>
      <c r="T302" s="93" t="n">
        <f aca="false">H302+N302</f>
        <v>60286.019310423</v>
      </c>
    </row>
    <row r="303" customFormat="false" ht="15" hidden="false" customHeight="false" outlineLevel="0" collapsed="false">
      <c r="B303" s="65" t="s">
        <v>207</v>
      </c>
      <c r="C303" s="122" t="n">
        <f aca="false">SUM(D303:H303)</f>
        <v>24798.555628</v>
      </c>
      <c r="D303" s="120" t="n">
        <f aca="false">SUMIF($D$53:$W$53,"시니어 레지던스",$D$275:$W$275)</f>
        <v>6974.220568</v>
      </c>
      <c r="E303" s="120" t="n">
        <f aca="false">SUMIF($D$53:$W$53,"레지던스",$D$275:$W$275)</f>
        <v>4098.064432</v>
      </c>
      <c r="F303" s="120" t="n">
        <f aca="false">SUMIF($D$53:$W$53,"호텔",$D$275:$W$275)</f>
        <v>6452.881344</v>
      </c>
      <c r="G303" s="120" t="n">
        <f aca="false">SUMIF($D$53:$W$53,"오피스",$D$275:$W$275)</f>
        <v>4257.619114</v>
      </c>
      <c r="H303" s="120" t="n">
        <f aca="false">SUMIF($D$53:$W$53,"부대시설",$D$275:$W$275)</f>
        <v>3015.77017</v>
      </c>
      <c r="I303" s="122" t="n">
        <f aca="false">$Y$275+$Z$275</f>
        <v>9676.778645765</v>
      </c>
      <c r="J303" s="120" t="n">
        <f aca="false">$I303*D$301/$C$301</f>
        <v>2721.44153711243</v>
      </c>
      <c r="K303" s="120" t="n">
        <f aca="false">$I303*E$301/$C$301</f>
        <v>1599.15507753824</v>
      </c>
      <c r="L303" s="120" t="n">
        <f aca="false">$I303*F$301/$C$301</f>
        <v>2518.00344103255</v>
      </c>
      <c r="M303" s="120" t="n">
        <f aca="false">$I303*G$301/$C$301</f>
        <v>1661.38249386076</v>
      </c>
      <c r="N303" s="120" t="n">
        <f aca="false">$I303*H$301/$C$301</f>
        <v>1176.79609622103</v>
      </c>
      <c r="O303" s="122" t="n">
        <f aca="false">SUM(P303:T303)</f>
        <v>34475.334273765</v>
      </c>
      <c r="P303" s="120" t="n">
        <f aca="false">D303+J303</f>
        <v>9695.66210511243</v>
      </c>
      <c r="Q303" s="120" t="n">
        <f aca="false">E303+K303</f>
        <v>5697.21950953824</v>
      </c>
      <c r="R303" s="120" t="n">
        <f aca="false">F303+L303</f>
        <v>8970.88478503255</v>
      </c>
      <c r="S303" s="120" t="n">
        <f aca="false">G303+M303</f>
        <v>5919.00160786076</v>
      </c>
      <c r="T303" s="93" t="n">
        <f aca="false">H303+N303</f>
        <v>4192.56626622103</v>
      </c>
    </row>
    <row r="304" customFormat="false" ht="15" hidden="false" customHeight="false" outlineLevel="0" collapsed="false">
      <c r="B304" s="65" t="s">
        <v>208</v>
      </c>
      <c r="C304" s="122" t="n">
        <f aca="false">SUM(D304:H304)</f>
        <v>315029.1045658</v>
      </c>
      <c r="D304" s="120" t="n">
        <f aca="false">SUMIF($D$53:$W$53,"시니어 레지던스",$D$276:$W$276)</f>
        <v>68636.067594</v>
      </c>
      <c r="E304" s="120" t="n">
        <f aca="false">SUMIF($D$53:$W$53,"레지던스",$D$276:$W$276)</f>
        <v>96047.0300448</v>
      </c>
      <c r="F304" s="120" t="n">
        <f aca="false">SUMIF($D$53:$W$53,"호텔",$D$276:$W$276)</f>
        <v>113368.9984882</v>
      </c>
      <c r="G304" s="120" t="n">
        <f aca="false">SUMIF($D$53:$W$53,"오피스",$D$276:$W$276)</f>
        <v>12124.0099298</v>
      </c>
      <c r="H304" s="120" t="n">
        <f aca="false">SUMIF($D$53:$W$53,"부대시설",$D$276:$W$276)</f>
        <v>24852.998509</v>
      </c>
      <c r="I304" s="122" t="n">
        <f aca="false">$Y$276+$Z$276</f>
        <v>0</v>
      </c>
      <c r="J304" s="120" t="n">
        <f aca="false">$I304*D$301/$C$301</f>
        <v>0</v>
      </c>
      <c r="K304" s="120" t="n">
        <f aca="false">$I304*E$301/$C$301</f>
        <v>0</v>
      </c>
      <c r="L304" s="120" t="n">
        <f aca="false">$I304*F$301/$C$301</f>
        <v>0</v>
      </c>
      <c r="M304" s="120" t="n">
        <f aca="false">$I304*G$301/$C$301</f>
        <v>0</v>
      </c>
      <c r="N304" s="120" t="n">
        <f aca="false">$I304*H$301/$C$301</f>
        <v>0</v>
      </c>
      <c r="O304" s="122" t="n">
        <f aca="false">SUM(P304:T304)</f>
        <v>315029.1045658</v>
      </c>
      <c r="P304" s="120" t="n">
        <f aca="false">D304+J304</f>
        <v>68636.067594</v>
      </c>
      <c r="Q304" s="120" t="n">
        <f aca="false">E304+K304</f>
        <v>96047.0300448</v>
      </c>
      <c r="R304" s="120" t="n">
        <f aca="false">F304+L304</f>
        <v>113368.9984882</v>
      </c>
      <c r="S304" s="120" t="n">
        <f aca="false">G304+M304</f>
        <v>12124.0099298</v>
      </c>
      <c r="T304" s="93" t="n">
        <f aca="false">H304+N304</f>
        <v>24852.998509</v>
      </c>
    </row>
    <row r="305" customFormat="false" ht="15" hidden="false" customHeight="false" outlineLevel="0" collapsed="false">
      <c r="B305" s="29" t="s">
        <v>209</v>
      </c>
      <c r="C305" s="122" t="n">
        <f aca="false">SUM(D305:H305)</f>
        <v>39526.035727</v>
      </c>
      <c r="D305" s="120" t="n">
        <f aca="false">SUMIF($D$53:$W$53,"시니어 레지던스",$D$277:$W$277)</f>
        <v>8327.001447</v>
      </c>
      <c r="E305" s="120" t="n">
        <f aca="false">SUMIF($D$53:$W$53,"레지던스",$D$277:$W$277)</f>
        <v>5499.03428</v>
      </c>
      <c r="F305" s="120" t="n">
        <f aca="false">SUMIF($D$53:$W$53,"호텔",$D$277:$W$277)</f>
        <v>25700</v>
      </c>
      <c r="G305" s="120" t="n">
        <f aca="false">SUMIF($D$53:$W$53,"오피스",$D$277:$W$277)</f>
        <v>0</v>
      </c>
      <c r="H305" s="120" t="n">
        <f aca="false">SUMIF($D$53:$W$53,"부대시설",$D$277:$W$277)</f>
        <v>0</v>
      </c>
      <c r="I305" s="122" t="n">
        <f aca="false">$Y$277+$Z$277</f>
        <v>0</v>
      </c>
      <c r="J305" s="120" t="n">
        <f aca="false">$I305*D$301/$C$301</f>
        <v>0</v>
      </c>
      <c r="K305" s="120" t="n">
        <f aca="false">$I305*E$301/$C$301</f>
        <v>0</v>
      </c>
      <c r="L305" s="120" t="n">
        <f aca="false">$I305*F$301/$C$301</f>
        <v>0</v>
      </c>
      <c r="M305" s="120" t="n">
        <f aca="false">$I305*G$301/$C$301</f>
        <v>0</v>
      </c>
      <c r="N305" s="120" t="n">
        <f aca="false">$I305*H$301/$C$301</f>
        <v>0</v>
      </c>
      <c r="O305" s="122" t="n">
        <f aca="false">SUM(P305:T305)</f>
        <v>39526.035727</v>
      </c>
      <c r="P305" s="120" t="n">
        <f aca="false">D305+J305</f>
        <v>8327.001447</v>
      </c>
      <c r="Q305" s="120" t="n">
        <f aca="false">E305+K305</f>
        <v>5499.03428</v>
      </c>
      <c r="R305" s="120" t="n">
        <f aca="false">F305+L305</f>
        <v>25700</v>
      </c>
      <c r="S305" s="120" t="n">
        <f aca="false">G305+M305</f>
        <v>0</v>
      </c>
      <c r="T305" s="93" t="n">
        <f aca="false">H305+N305</f>
        <v>0</v>
      </c>
    </row>
    <row r="306" customFormat="false" ht="15" hidden="false" customHeight="false" outlineLevel="0" collapsed="false">
      <c r="B306" s="65" t="s">
        <v>210</v>
      </c>
      <c r="C306" s="122" t="n">
        <f aca="false">SUM(D306:H306)</f>
        <v>5296.3218</v>
      </c>
      <c r="D306" s="120" t="n">
        <f aca="false">SUMIF($D$53:$W$53,"시니어 레지던스",$D$278:$W$278)</f>
        <v>1489.5108</v>
      </c>
      <c r="E306" s="120" t="n">
        <f aca="false">SUMIF($D$53:$W$53,"레지던스",$D$278:$W$278)</f>
        <v>875.2392</v>
      </c>
      <c r="F306" s="120" t="n">
        <f aca="false">SUMIF($D$53:$W$53,"호텔",$D$278:$W$278)</f>
        <v>1378.1664</v>
      </c>
      <c r="G306" s="120" t="n">
        <f aca="false">SUMIF($D$53:$W$53,"오피스",$D$278:$W$278)</f>
        <v>909.3159</v>
      </c>
      <c r="H306" s="120" t="n">
        <f aca="false">SUMIF($D$53:$W$53,"부대시설",$D$278:$W$278)</f>
        <v>644.0895</v>
      </c>
      <c r="I306" s="122" t="n">
        <f aca="false">$Y$278+$Z$278</f>
        <v>2066.70640275</v>
      </c>
      <c r="J306" s="120" t="n">
        <f aca="false">$I306*D$301/$C$301</f>
        <v>581.228614950447</v>
      </c>
      <c r="K306" s="120" t="n">
        <f aca="false">$I306*E$301/$C$301</f>
        <v>341.537629279642</v>
      </c>
      <c r="L306" s="120" t="n">
        <f aca="false">$I306*F$301/$C$301</f>
        <v>537.779567377621</v>
      </c>
      <c r="M306" s="120" t="n">
        <f aca="false">$I306*G$301/$C$301</f>
        <v>354.82777514824</v>
      </c>
      <c r="N306" s="120" t="n">
        <f aca="false">$I306*H$301/$C$301</f>
        <v>251.332815994049</v>
      </c>
      <c r="O306" s="122" t="n">
        <f aca="false">SUM(P306:T306)</f>
        <v>7363.02820275</v>
      </c>
      <c r="P306" s="120" t="n">
        <f aca="false">D306+J306</f>
        <v>2070.73941495045</v>
      </c>
      <c r="Q306" s="120" t="n">
        <f aca="false">E306+K306</f>
        <v>1216.77682927964</v>
      </c>
      <c r="R306" s="120" t="n">
        <f aca="false">F306+L306</f>
        <v>1915.94596737762</v>
      </c>
      <c r="S306" s="120" t="n">
        <f aca="false">G306+M306</f>
        <v>1264.14367514824</v>
      </c>
      <c r="T306" s="93" t="n">
        <f aca="false">H306+N306</f>
        <v>895.422315994049</v>
      </c>
    </row>
    <row r="307" customFormat="false" ht="15" hidden="false" customHeight="false" outlineLevel="0" collapsed="false">
      <c r="B307" s="65" t="s">
        <v>211</v>
      </c>
      <c r="C307" s="122" t="n">
        <f aca="false">SUM(D307:H307)</f>
        <v>25262.8133960614</v>
      </c>
      <c r="D307" s="120" t="n">
        <f aca="false">SUMIF($D$53:$W$53,"시니어 레지던스",$D$279:$W$279)</f>
        <v>5321.97370016175</v>
      </c>
      <c r="E307" s="120" t="n">
        <f aca="false">SUMIF($D$53:$W$53,"레지던스",$D$279:$W$279)</f>
        <v>5979.01623564096</v>
      </c>
      <c r="F307" s="120" t="n">
        <f aca="false">SUMIF($D$53:$W$53,"호텔",$D$279:$W$279)</f>
        <v>8602.75299276228</v>
      </c>
      <c r="G307" s="120" t="n">
        <f aca="false">SUMIF($D$53:$W$53,"오피스",$D$279:$W$279)</f>
        <v>3036.82194255384</v>
      </c>
      <c r="H307" s="120" t="n">
        <f aca="false">SUMIF($D$53:$W$53,"부대시설",$D$279:$W$279)</f>
        <v>2322.24852494256</v>
      </c>
      <c r="I307" s="122" t="n">
        <f aca="false">$Y$279+$Z$279</f>
        <v>4349.34223081015</v>
      </c>
      <c r="J307" s="120" t="n">
        <f aca="false">$I307*D$301/$C$301</f>
        <v>1223.18397881553</v>
      </c>
      <c r="K307" s="120" t="n">
        <f aca="false">$I307*E$301/$C$301</f>
        <v>718.759100208981</v>
      </c>
      <c r="L307" s="120" t="n">
        <f aca="false">$I307*F$301/$C$301</f>
        <v>1131.74632843349</v>
      </c>
      <c r="M307" s="120" t="n">
        <f aca="false">$I307*G$301/$C$301</f>
        <v>746.727946002949</v>
      </c>
      <c r="N307" s="120" t="n">
        <f aca="false">$I307*H$301/$C$301</f>
        <v>528.924877349203</v>
      </c>
      <c r="O307" s="122" t="n">
        <f aca="false">SUM(P307:T307)</f>
        <v>29612.1556268715</v>
      </c>
      <c r="P307" s="120" t="n">
        <f aca="false">D307+J307</f>
        <v>6545.15767897728</v>
      </c>
      <c r="Q307" s="120" t="n">
        <f aca="false">E307+K307</f>
        <v>6697.77533584994</v>
      </c>
      <c r="R307" s="120" t="n">
        <f aca="false">F307+L307</f>
        <v>9734.49932119577</v>
      </c>
      <c r="S307" s="120" t="n">
        <f aca="false">G307+M307</f>
        <v>3783.54988855679</v>
      </c>
      <c r="T307" s="93" t="n">
        <f aca="false">H307+N307</f>
        <v>2851.17340229176</v>
      </c>
    </row>
    <row r="308" customFormat="false" ht="15" hidden="false" customHeight="false" outlineLevel="0" collapsed="false">
      <c r="B308" s="65" t="s">
        <v>212</v>
      </c>
      <c r="C308" s="122" t="n">
        <f aca="false">SUM(D308:H308)</f>
        <v>81695.8955295859</v>
      </c>
      <c r="D308" s="120" t="n">
        <f aca="false">SUMIF($D$53:$W$53,"시니어 레지던스",$D$280:$W$280)</f>
        <v>21596.9359486608</v>
      </c>
      <c r="E308" s="120" t="n">
        <f aca="false">SUMIF($D$53:$W$53,"레지던스",$D$280:$W$280)</f>
        <v>18128.3075889185</v>
      </c>
      <c r="F308" s="120" t="n">
        <f aca="false">SUMIF($D$53:$W$53,"호텔",$D$280:$W$280)</f>
        <v>25814.8866009739</v>
      </c>
      <c r="G308" s="120" t="n">
        <f aca="false">SUMIF($D$53:$W$53,"오피스",$D$280:$W$280)</f>
        <v>9180.13672840829</v>
      </c>
      <c r="H308" s="120" t="n">
        <f aca="false">SUMIF($D$53:$W$53,"부대시설",$D$280:$W$280)</f>
        <v>6975.62866262437</v>
      </c>
      <c r="I308" s="122" t="n">
        <f aca="false">$Y$280+$Z$280</f>
        <v>13809.7868054142</v>
      </c>
      <c r="J308" s="120" t="n">
        <f aca="false">$I308*D$301/$C$301</f>
        <v>3883.78496674294</v>
      </c>
      <c r="K308" s="120" t="n">
        <f aca="false">$I308*E$301/$C$301</f>
        <v>2282.16346555199</v>
      </c>
      <c r="L308" s="120" t="n">
        <f aca="false">$I308*F$301/$C$301</f>
        <v>3593.45728252005</v>
      </c>
      <c r="M308" s="120" t="n">
        <f aca="false">$I308*G$301/$C$301</f>
        <v>2370.9685714993</v>
      </c>
      <c r="N308" s="120" t="n">
        <f aca="false">$I308*H$301/$C$301</f>
        <v>1679.41251909987</v>
      </c>
      <c r="O308" s="122" t="n">
        <f aca="false">SUM(P308:T308)</f>
        <v>95505.682335</v>
      </c>
      <c r="P308" s="120" t="n">
        <f aca="false">D308+J308</f>
        <v>25480.7209154037</v>
      </c>
      <c r="Q308" s="120" t="n">
        <f aca="false">E308+K308</f>
        <v>20410.4710544705</v>
      </c>
      <c r="R308" s="120" t="n">
        <f aca="false">F308+L308</f>
        <v>29408.3438834939</v>
      </c>
      <c r="S308" s="120" t="n">
        <f aca="false">G308+M308</f>
        <v>11551.1052999076</v>
      </c>
      <c r="T308" s="93" t="n">
        <f aca="false">H308+N308</f>
        <v>8655.04118172424</v>
      </c>
    </row>
    <row r="309" customFormat="false" ht="15" hidden="false" customHeight="false" outlineLevel="0" collapsed="false">
      <c r="B309" s="65" t="s">
        <v>213</v>
      </c>
      <c r="C309" s="122" t="n">
        <f aca="false">SUM(D309:H309)</f>
        <v>30000</v>
      </c>
      <c r="D309" s="120" t="n">
        <f aca="false">SUMIF($D$53:$W$53,"시니어 레지던스",$D$281:$W$281)</f>
        <v>10000</v>
      </c>
      <c r="E309" s="120" t="n">
        <f aca="false">SUMIF($D$53:$W$53,"레지던스",$D$281:$W$281)</f>
        <v>10000</v>
      </c>
      <c r="F309" s="120" t="n">
        <f aca="false">SUMIF($D$53:$W$53,"호텔",$D$281:$W$281)</f>
        <v>10000</v>
      </c>
      <c r="G309" s="120" t="n">
        <f aca="false">SUMIF($D$53:$W$53,"오피스",$D$281:$W$281)</f>
        <v>0</v>
      </c>
      <c r="H309" s="120" t="n">
        <f aca="false">SUMIF($D$53:$W$53,"부대시설",$D$281:$W$281)</f>
        <v>0</v>
      </c>
      <c r="I309" s="122" t="n">
        <f aca="false">$Y$281+$Z$281</f>
        <v>0</v>
      </c>
      <c r="J309" s="120" t="n">
        <f aca="false">$I309*D$301/$C$301</f>
        <v>0</v>
      </c>
      <c r="K309" s="120" t="n">
        <f aca="false">$I309*E$301/$C$301</f>
        <v>0</v>
      </c>
      <c r="L309" s="120" t="n">
        <f aca="false">$I309*F$301/$C$301</f>
        <v>0</v>
      </c>
      <c r="M309" s="120" t="n">
        <f aca="false">$I309*G$301/$C$301</f>
        <v>0</v>
      </c>
      <c r="N309" s="120" t="n">
        <f aca="false">$I309*H$301/$C$301</f>
        <v>0</v>
      </c>
      <c r="O309" s="122" t="n">
        <f aca="false">SUM(P309:T309)</f>
        <v>30000</v>
      </c>
      <c r="P309" s="120" t="n">
        <f aca="false">D309+J309</f>
        <v>10000</v>
      </c>
      <c r="Q309" s="120" t="n">
        <f aca="false">E309+K309</f>
        <v>10000</v>
      </c>
      <c r="R309" s="120" t="n">
        <f aca="false">F309+L309</f>
        <v>10000</v>
      </c>
      <c r="S309" s="120" t="n">
        <f aca="false">G309+M309</f>
        <v>0</v>
      </c>
      <c r="T309" s="93" t="n">
        <f aca="false">H309+N309</f>
        <v>0</v>
      </c>
    </row>
    <row r="310" customFormat="false" ht="15" hidden="false" customHeight="false" outlineLevel="0" collapsed="false">
      <c r="B310" s="65" t="s">
        <v>214</v>
      </c>
      <c r="C310" s="122" t="n">
        <f aca="false">SUM(D310:H310)</f>
        <v>3829.62233564018</v>
      </c>
      <c r="D310" s="120" t="n">
        <f aca="false">SUMIF($D$53:$W$53,"시니어 레지던스",$D$282:$W$282)</f>
        <v>1077.0236485361</v>
      </c>
      <c r="E310" s="120" t="n">
        <f aca="false">SUMIF($D$53:$W$53,"레지던스",$D$282:$W$282)</f>
        <v>632.861014855224</v>
      </c>
      <c r="F310" s="120" t="n">
        <f aca="false">SUMIF($D$53:$W$53,"호텔",$D$282:$W$282)</f>
        <v>996.513623411029</v>
      </c>
      <c r="G310" s="120" t="n">
        <f aca="false">SUMIF($D$53:$W$53,"오피스",$D$282:$W$282)</f>
        <v>657.500924659215</v>
      </c>
      <c r="H310" s="120" t="n">
        <f aca="false">SUMIF($D$53:$W$53,"부대시설",$D$282:$W$282)</f>
        <v>465.723124178617</v>
      </c>
      <c r="I310" s="122" t="n">
        <f aca="false">$Y$282+$Z$282</f>
        <v>1494.37766435982</v>
      </c>
      <c r="J310" s="120" t="n">
        <f aca="false">$I310*D$301/$C$301</f>
        <v>420.270174279712</v>
      </c>
      <c r="K310" s="120" t="n">
        <f aca="false">$I310*E$301/$C$301</f>
        <v>246.956318543733</v>
      </c>
      <c r="L310" s="120" t="n">
        <f aca="false">$I310*F$301/$C$301</f>
        <v>388.853381771525</v>
      </c>
      <c r="M310" s="120" t="n">
        <f aca="false">$I310*G$301/$C$301</f>
        <v>256.566051748067</v>
      </c>
      <c r="N310" s="120" t="n">
        <f aca="false">$I310*H$301/$C$301</f>
        <v>181.731738016779</v>
      </c>
      <c r="O310" s="122" t="n">
        <f aca="false">SUM(P310:T310)</f>
        <v>5324</v>
      </c>
      <c r="P310" s="120" t="n">
        <f aca="false">D310+J310</f>
        <v>1497.29382281581</v>
      </c>
      <c r="Q310" s="120" t="n">
        <f aca="false">E310+K310</f>
        <v>879.817333398956</v>
      </c>
      <c r="R310" s="120" t="n">
        <f aca="false">F310+L310</f>
        <v>1385.36700518255</v>
      </c>
      <c r="S310" s="120" t="n">
        <f aca="false">G310+M310</f>
        <v>914.066976407281</v>
      </c>
      <c r="T310" s="93" t="n">
        <f aca="false">H310+N310</f>
        <v>647.454862195397</v>
      </c>
    </row>
    <row r="311" customFormat="false" ht="15" hidden="false" customHeight="false" outlineLevel="0" collapsed="false">
      <c r="B311" s="65" t="s">
        <v>215</v>
      </c>
      <c r="C311" s="122" t="n">
        <f aca="false">SUM(D311:H311)</f>
        <v>21579.3895697231</v>
      </c>
      <c r="D311" s="120" t="n">
        <f aca="false">SUMIF($D$53:$W$53,"시니어 레지던스",$D$283:$W$283)</f>
        <v>6068.87856049643</v>
      </c>
      <c r="E311" s="120" t="n">
        <f aca="false">SUMIF($D$53:$W$53,"레지던스",$D$283:$W$283)</f>
        <v>3566.08385530742</v>
      </c>
      <c r="F311" s="120" t="n">
        <f aca="false">SUMIF($D$53:$W$53,"호텔",$D$283:$W$283)</f>
        <v>5615.21575926575</v>
      </c>
      <c r="G311" s="120" t="n">
        <f aca="false">SUMIF($D$53:$W$53,"오피스",$D$283:$W$283)</f>
        <v>3704.92632227206</v>
      </c>
      <c r="H311" s="120" t="n">
        <f aca="false">SUMIF($D$53:$W$53,"부대시설",$D$283:$W$283)</f>
        <v>2624.28507238139</v>
      </c>
      <c r="I311" s="122" t="n">
        <f aca="false">$Y$283+$Z$283</f>
        <v>8420.61043027695</v>
      </c>
      <c r="J311" s="120" t="n">
        <f aca="false">$I311*D$301/$C$301</f>
        <v>2368.16401735375</v>
      </c>
      <c r="K311" s="120" t="n">
        <f aca="false">$I311*E$301/$C$301</f>
        <v>1391.56452973553</v>
      </c>
      <c r="L311" s="120" t="n">
        <f aca="false">$I311*F$301/$C$301</f>
        <v>2191.13475829184</v>
      </c>
      <c r="M311" s="120" t="n">
        <f aca="false">$I311*G$301/$C$301</f>
        <v>1445.71404065402</v>
      </c>
      <c r="N311" s="120" t="n">
        <f aca="false">$I311*H$301/$C$301</f>
        <v>1024.03308424181</v>
      </c>
      <c r="O311" s="122" t="n">
        <f aca="false">SUM(P311:T311)</f>
        <v>30000</v>
      </c>
      <c r="P311" s="120" t="n">
        <f aca="false">D311+J311</f>
        <v>8437.04257785018</v>
      </c>
      <c r="Q311" s="120" t="n">
        <f aca="false">E311+K311</f>
        <v>4957.64838504296</v>
      </c>
      <c r="R311" s="120" t="n">
        <f aca="false">F311+L311</f>
        <v>7806.3505175576</v>
      </c>
      <c r="S311" s="120" t="n">
        <f aca="false">G311+M311</f>
        <v>5150.64036292608</v>
      </c>
      <c r="T311" s="93" t="n">
        <f aca="false">H311+N311</f>
        <v>3648.3181566232</v>
      </c>
    </row>
    <row r="312" customFormat="false" ht="15" hidden="false" customHeight="false" outlineLevel="0" collapsed="false">
      <c r="B312" s="29" t="s">
        <v>216</v>
      </c>
      <c r="C312" s="122" t="n">
        <f aca="false">SUM(D312:H312)</f>
        <v>28772.5624186</v>
      </c>
      <c r="D312" s="120" t="n">
        <f aca="false">SUMIF($D$53:$W$53,"시니어 레지던스",$D$284:$W$284)</f>
        <v>8091.8501716</v>
      </c>
      <c r="E312" s="120" t="n">
        <f aca="false">SUMIF($D$53:$W$53,"레지던스",$D$284:$W$284)</f>
        <v>4754.7855784</v>
      </c>
      <c r="F312" s="120" t="n">
        <f aca="false">SUMIF($D$53:$W$53,"호텔",$D$284:$W$284)</f>
        <v>7486.9655328</v>
      </c>
      <c r="G312" s="120" t="n">
        <f aca="false">SUMIF($D$53:$W$53,"오피스",$D$284:$W$284)</f>
        <v>4939.9091443</v>
      </c>
      <c r="H312" s="120" t="n">
        <f aca="false">SUMIF($D$53:$W$53,"부대시설",$D$284:$W$284)</f>
        <v>3499.0519915</v>
      </c>
      <c r="I312" s="122" t="n">
        <f aca="false">$Y$284+$Z$284</f>
        <v>11227.4973499617</v>
      </c>
      <c r="J312" s="120" t="n">
        <f aca="false">$I312*D$301/$C$301</f>
        <v>3157.55674119691</v>
      </c>
      <c r="K312" s="120" t="n">
        <f aca="false">$I312*E$301/$C$301</f>
        <v>1855.42214537439</v>
      </c>
      <c r="L312" s="120" t="n">
        <f aca="false">$I312*F$301/$C$301</f>
        <v>2921.51737642156</v>
      </c>
      <c r="M312" s="120" t="n">
        <f aca="false">$I312*G$301/$C$301</f>
        <v>1927.62160114699</v>
      </c>
      <c r="N312" s="120" t="n">
        <f aca="false">$I312*H$301/$C$301</f>
        <v>1365.37948582189</v>
      </c>
      <c r="O312" s="122" t="n">
        <f aca="false">SUM(P312:T312)</f>
        <v>40000.0597685618</v>
      </c>
      <c r="P312" s="120" t="n">
        <f aca="false">D312+J312</f>
        <v>11249.4069127969</v>
      </c>
      <c r="Q312" s="120" t="n">
        <f aca="false">E312+K312</f>
        <v>6610.20772377439</v>
      </c>
      <c r="R312" s="120" t="n">
        <f aca="false">F312+L312</f>
        <v>10408.4829092216</v>
      </c>
      <c r="S312" s="120" t="n">
        <f aca="false">G312+M312</f>
        <v>6867.53074544699</v>
      </c>
      <c r="T312" s="93" t="n">
        <f aca="false">H312+N312</f>
        <v>4864.43147732189</v>
      </c>
    </row>
    <row r="313" customFormat="false" ht="15" hidden="false" customHeight="false" outlineLevel="0" collapsed="false">
      <c r="B313" s="77" t="s">
        <v>62</v>
      </c>
      <c r="C313" s="116" t="n">
        <f aca="false">SUM(C302:C312)</f>
        <v>1046735.36646001</v>
      </c>
      <c r="D313" s="116" t="n">
        <f aca="false">SUM(D302:D312)</f>
        <v>276712.514356955</v>
      </c>
      <c r="E313" s="116" t="n">
        <f aca="false">SUM(E302:E312)</f>
        <v>232270.428818722</v>
      </c>
      <c r="F313" s="116" t="n">
        <f aca="false">SUM(F302:F312)</f>
        <v>330755.353267513</v>
      </c>
      <c r="G313" s="116" t="n">
        <f aca="false">SUM(G302:G312)</f>
        <v>117621.255269593</v>
      </c>
      <c r="H313" s="116" t="n">
        <f aca="false">SUM(H302:H312)</f>
        <v>89375.814747227</v>
      </c>
      <c r="I313" s="116" t="n">
        <f aca="false">SUM(I302:I312)</f>
        <v>176939.026848233</v>
      </c>
      <c r="J313" s="116" t="n">
        <f aca="false">SUM(J302:J312)</f>
        <v>49761.3136383739</v>
      </c>
      <c r="K313" s="116" t="n">
        <f aca="false">SUM(K302:K312)</f>
        <v>29240.4067052685</v>
      </c>
      <c r="L313" s="116" t="n">
        <f aca="false">SUM(L302:L312)</f>
        <v>46041.4663563464</v>
      </c>
      <c r="M313" s="116" t="n">
        <f aca="false">SUM(M302:M312)</f>
        <v>30378.2294136763</v>
      </c>
      <c r="N313" s="116" t="n">
        <f aca="false">SUM(N302:N312)</f>
        <v>21517.6107345676</v>
      </c>
      <c r="O313" s="116" t="n">
        <f aca="false">SUM(O302:O312)</f>
        <v>1223674.39330824</v>
      </c>
      <c r="P313" s="116" t="n">
        <f aca="false">SUM(P302:P312)</f>
        <v>326473.827995329</v>
      </c>
      <c r="Q313" s="116" t="n">
        <f aca="false">SUM(Q302:Q312)</f>
        <v>261510.835523991</v>
      </c>
      <c r="R313" s="116" t="n">
        <f aca="false">SUM(R302:R312)</f>
        <v>376796.819623859</v>
      </c>
      <c r="S313" s="116" t="n">
        <f aca="false">SUM(S302:S312)</f>
        <v>147999.48468327</v>
      </c>
      <c r="T313" s="117" t="n">
        <f aca="false">SUM(T302:T312)</f>
        <v>110893.425481795</v>
      </c>
    </row>
    <row r="314" customFormat="false" ht="15" hidden="false" customHeight="false" outlineLevel="0" collapsed="false">
      <c r="O314" s="49" t="b">
        <f aca="false">ABS(O313-$C$285)&lt;1</f>
        <v>1</v>
      </c>
    </row>
    <row r="316" customFormat="false" ht="15" hidden="false" customHeight="false" outlineLevel="0" collapsed="false">
      <c r="B316" s="33" t="s">
        <v>225</v>
      </c>
    </row>
    <row r="317" customFormat="false" ht="15" hidden="false" customHeight="false" outlineLevel="0" collapsed="false">
      <c r="C317" s="140" t="s">
        <v>226</v>
      </c>
      <c r="D317" s="140"/>
      <c r="E317" s="140"/>
      <c r="F317" s="140"/>
      <c r="G317" s="140"/>
      <c r="H317" s="140"/>
      <c r="K317" s="140" t="s">
        <v>227</v>
      </c>
      <c r="L317" s="140"/>
      <c r="M317" s="140"/>
      <c r="N317" s="140"/>
      <c r="O317" s="140"/>
      <c r="P317" s="140"/>
    </row>
    <row r="318" customFormat="false" ht="15" hidden="false" customHeight="false" outlineLevel="0" collapsed="false">
      <c r="B318" s="118" t="s">
        <v>205</v>
      </c>
      <c r="C318" s="63" t="s">
        <v>64</v>
      </c>
      <c r="D318" s="141" t="s">
        <v>57</v>
      </c>
      <c r="E318" s="142" t="s">
        <v>58</v>
      </c>
      <c r="F318" s="143" t="s">
        <v>59</v>
      </c>
      <c r="G318" s="144" t="s">
        <v>60</v>
      </c>
      <c r="H318" s="146" t="s">
        <v>61</v>
      </c>
      <c r="J318" s="118" t="s">
        <v>205</v>
      </c>
      <c r="K318" s="63" t="s">
        <v>64</v>
      </c>
      <c r="L318" s="141" t="s">
        <v>57</v>
      </c>
      <c r="M318" s="142" t="s">
        <v>58</v>
      </c>
      <c r="N318" s="143" t="s">
        <v>59</v>
      </c>
      <c r="O318" s="144" t="s">
        <v>60</v>
      </c>
      <c r="P318" s="146" t="s">
        <v>61</v>
      </c>
    </row>
    <row r="319" customFormat="false" ht="15" hidden="false" customHeight="false" outlineLevel="0" collapsed="false">
      <c r="B319" s="65" t="s">
        <v>52</v>
      </c>
      <c r="C319" s="68" t="n">
        <f aca="false">SUM(D319:H319)</f>
        <v>81811.424475</v>
      </c>
      <c r="D319" s="67" t="n">
        <f aca="false">$E$46</f>
        <v>23008.1742</v>
      </c>
      <c r="E319" s="67" t="n">
        <f aca="false">$E$47</f>
        <v>13519.907775</v>
      </c>
      <c r="F319" s="67" t="n">
        <f aca="false">$E$48</f>
        <v>21288.22575</v>
      </c>
      <c r="G319" s="67" t="n">
        <f aca="false">$E$49</f>
        <v>14046.003675</v>
      </c>
      <c r="H319" s="44" t="n">
        <f aca="false">$E$50</f>
        <v>9949.113075</v>
      </c>
      <c r="J319" s="65" t="s">
        <v>52</v>
      </c>
      <c r="K319" s="68" t="n">
        <f aca="false">SUM(L319:P319)</f>
        <v>81811.424475</v>
      </c>
      <c r="L319" s="67" t="n">
        <f aca="false">$E$46</f>
        <v>23008.1742</v>
      </c>
      <c r="M319" s="67" t="n">
        <f aca="false">$E$47</f>
        <v>13519.907775</v>
      </c>
      <c r="N319" s="67" t="n">
        <f aca="false">$E$48</f>
        <v>21288.22575</v>
      </c>
      <c r="O319" s="67" t="n">
        <f aca="false">$E$49</f>
        <v>14046.003675</v>
      </c>
      <c r="P319" s="44" t="n">
        <f aca="false">$E$50</f>
        <v>9949.113075</v>
      </c>
    </row>
    <row r="320" customFormat="false" ht="15" hidden="false" customHeight="false" outlineLevel="0" collapsed="false">
      <c r="B320" s="65" t="s">
        <v>228</v>
      </c>
      <c r="C320" s="121" t="n">
        <f aca="false">SUM(D320:H320)</f>
        <v>237644</v>
      </c>
      <c r="D320" s="120" t="n">
        <f aca="false">$R$347*$C$71</f>
        <v>66833.6309344625</v>
      </c>
      <c r="E320" s="120" t="n">
        <f aca="false">$R$347*$C$72</f>
        <v>39272.3263761763</v>
      </c>
      <c r="F320" s="120" t="n">
        <f aca="false">$R$347*$C$73</f>
        <v>61837.5630616105</v>
      </c>
      <c r="G320" s="120" t="n">
        <f aca="false">$R$347*$C$74</f>
        <v>40800.5180054249</v>
      </c>
      <c r="H320" s="93" t="n">
        <f aca="false">$R$347*$C$75</f>
        <v>28899.9616223257</v>
      </c>
      <c r="J320" s="65" t="s">
        <v>228</v>
      </c>
      <c r="K320" s="121" t="n">
        <f aca="false">SUM(L320:P320)</f>
        <v>237644</v>
      </c>
      <c r="L320" s="120" t="n">
        <f aca="false">$R$347*$C$71</f>
        <v>66833.6309344625</v>
      </c>
      <c r="M320" s="120" t="n">
        <f aca="false">$R$347*$C$72</f>
        <v>39272.3263761763</v>
      </c>
      <c r="N320" s="120" t="n">
        <f aca="false">$R$347*$C$73</f>
        <v>61837.5630616105</v>
      </c>
      <c r="O320" s="120" t="n">
        <f aca="false">$R$347*$C$74</f>
        <v>40800.5180054249</v>
      </c>
      <c r="P320" s="93" t="n">
        <f aca="false">$R$347*$C$75</f>
        <v>28899.9616223257</v>
      </c>
    </row>
    <row r="321" customFormat="false" ht="15" hidden="false" customHeight="false" outlineLevel="0" collapsed="false">
      <c r="B321" s="65" t="s">
        <v>206</v>
      </c>
      <c r="C321" s="121" t="n">
        <f aca="false">SUM(D321:H321)</f>
        <v>614293.139731204</v>
      </c>
      <c r="D321" s="120" t="n">
        <f aca="false">$R$349</f>
        <v>191988.189361247</v>
      </c>
      <c r="E321" s="120" t="n">
        <f aca="false">$R$350*$E$47/$I$350</f>
        <v>97095.3808714065</v>
      </c>
      <c r="F321" s="120" t="n">
        <f aca="false">$R$350*$E$48/$I$350</f>
        <v>152884.799339745</v>
      </c>
      <c r="G321" s="120" t="n">
        <f aca="false">$R$350*$E$49/$I$350</f>
        <v>100873.622752601</v>
      </c>
      <c r="H321" s="93" t="n">
        <f aca="false">$R$350*$E$50/$I$350</f>
        <v>71451.1474062045</v>
      </c>
      <c r="J321" s="65" t="s">
        <v>206</v>
      </c>
      <c r="K321" s="121" t="n">
        <f aca="false">SUM(L321:P321)</f>
        <v>614293.139731204</v>
      </c>
      <c r="L321" s="120" t="n">
        <f aca="false">$R$349</f>
        <v>191988.189361247</v>
      </c>
      <c r="M321" s="120" t="n">
        <f aca="false">$R$350*$E$47/$I$350</f>
        <v>97095.3808714065</v>
      </c>
      <c r="N321" s="120" t="n">
        <f aca="false">$R$350*$E$48/$I$350</f>
        <v>152884.799339745</v>
      </c>
      <c r="O321" s="120" t="n">
        <f aca="false">$R$350*$E$49/$I$350</f>
        <v>100873.622752601</v>
      </c>
      <c r="P321" s="93" t="n">
        <f aca="false">$R$350*$E$50/$I$350</f>
        <v>71451.1474062045</v>
      </c>
    </row>
    <row r="322" customFormat="false" ht="15" hidden="false" customHeight="false" outlineLevel="0" collapsed="false">
      <c r="B322" s="65" t="s">
        <v>229</v>
      </c>
      <c r="C322" s="121" t="n">
        <f aca="false">SUM(D322:H322)</f>
        <v>476391.087008823</v>
      </c>
      <c r="D322" s="120" t="n">
        <f aca="false">SUM(D323:D328)</f>
        <v>118414.719537528</v>
      </c>
      <c r="E322" s="120" t="n">
        <f aca="false">SUM(E323:E328)</f>
        <v>82305.1013542197</v>
      </c>
      <c r="F322" s="120" t="n">
        <f aca="false">SUM(F323:F328)</f>
        <v>129596.267013386</v>
      </c>
      <c r="G322" s="120" t="n">
        <f aca="false">SUM(G323:G328)</f>
        <v>85507.8137611495</v>
      </c>
      <c r="H322" s="93" t="n">
        <f aca="false">SUM(H323:H328)</f>
        <v>60567.1853425396</v>
      </c>
      <c r="J322" s="65" t="s">
        <v>229</v>
      </c>
      <c r="K322" s="121" t="n">
        <f aca="false">SUM(L322:P322)</f>
        <v>476391.087008823</v>
      </c>
      <c r="L322" s="120" t="n">
        <f aca="false">SUM(L323:L328)</f>
        <v>118414.719537528</v>
      </c>
      <c r="M322" s="120" t="n">
        <f aca="false">SUM(M323:M328)</f>
        <v>82305.1013542197</v>
      </c>
      <c r="N322" s="120" t="n">
        <f aca="false">SUM(N323:N328)</f>
        <v>129596.267013386</v>
      </c>
      <c r="O322" s="120" t="n">
        <f aca="false">SUM(O323:O328)</f>
        <v>85507.8137611495</v>
      </c>
      <c r="P322" s="93" t="n">
        <f aca="false">SUM(P323:P328)</f>
        <v>60567.1853425396</v>
      </c>
    </row>
    <row r="323" customFormat="false" ht="15" hidden="false" customHeight="false" outlineLevel="0" collapsed="false">
      <c r="B323" s="16" t="s">
        <v>230</v>
      </c>
      <c r="C323" s="121" t="n">
        <f aca="false">SUM(D323:H323)</f>
        <v>35444.898734553</v>
      </c>
      <c r="D323" s="120" t="n">
        <f aca="false">$R$352</f>
        <v>10665.209068668</v>
      </c>
      <c r="E323" s="120" t="n">
        <f aca="false">$R$353*$E$47/$I$350</f>
        <v>5697.289136385</v>
      </c>
      <c r="F323" s="120" t="n">
        <f aca="false">$R$353*$E$48/$I$350</f>
        <v>8970.85833105</v>
      </c>
      <c r="G323" s="120" t="n">
        <f aca="false">$R$353*$E$49/$I$350</f>
        <v>5918.985948645</v>
      </c>
      <c r="H323" s="93" t="n">
        <f aca="false">$R$353*$E$50/$I$350</f>
        <v>4192.556249805</v>
      </c>
      <c r="J323" s="16" t="s">
        <v>230</v>
      </c>
      <c r="K323" s="121" t="n">
        <f aca="false">SUM(L323:P323)</f>
        <v>35444.898734553</v>
      </c>
      <c r="L323" s="120" t="n">
        <f aca="false">$R$352</f>
        <v>10665.209068668</v>
      </c>
      <c r="M323" s="120" t="n">
        <f aca="false">$R$353*$E$47/$I$350</f>
        <v>5697.289136385</v>
      </c>
      <c r="N323" s="120" t="n">
        <f aca="false">$R$353*$E$48/$I$350</f>
        <v>8970.85833105</v>
      </c>
      <c r="O323" s="120" t="n">
        <f aca="false">$R$353*$E$49/$I$350</f>
        <v>5918.985948645</v>
      </c>
      <c r="P323" s="93" t="n">
        <f aca="false">$R$353*$E$50/$I$350</f>
        <v>4192.556249805</v>
      </c>
    </row>
    <row r="324" customFormat="false" ht="15" hidden="false" customHeight="false" outlineLevel="0" collapsed="false">
      <c r="B324" s="16" t="s">
        <v>231</v>
      </c>
      <c r="C324" s="121" t="n">
        <f aca="false">SUM(D324:H324)</f>
        <v>321892.352271067</v>
      </c>
      <c r="D324" s="120" t="n">
        <f aca="false">$R$354</f>
        <v>75500.2652612868</v>
      </c>
      <c r="E324" s="120" t="n">
        <f aca="false">$R$355*$E$47/$I$350</f>
        <v>56649.9007671052</v>
      </c>
      <c r="F324" s="120" t="n">
        <f aca="false">$R$355*$E$48/$I$350</f>
        <v>89200.0075973325</v>
      </c>
      <c r="G324" s="120" t="n">
        <f aca="false">$R$355*$E$49/$I$350</f>
        <v>58854.3004586542</v>
      </c>
      <c r="H324" s="93" t="n">
        <f aca="false">$R$355*$E$50/$I$350</f>
        <v>41687.8781866882</v>
      </c>
      <c r="J324" s="16" t="s">
        <v>231</v>
      </c>
      <c r="K324" s="121" t="n">
        <f aca="false">SUM(L324:P324)</f>
        <v>321892.352271067</v>
      </c>
      <c r="L324" s="120" t="n">
        <f aca="false">$R$354</f>
        <v>75500.2652612868</v>
      </c>
      <c r="M324" s="120" t="n">
        <f aca="false">$R$355*$E$47/$I$350</f>
        <v>56649.9007671052</v>
      </c>
      <c r="N324" s="120" t="n">
        <f aca="false">$R$355*$E$48/$I$350</f>
        <v>89200.0075973325</v>
      </c>
      <c r="O324" s="120" t="n">
        <f aca="false">$R$355*$E$49/$I$350</f>
        <v>58854.3004586542</v>
      </c>
      <c r="P324" s="93" t="n">
        <f aca="false">$R$355*$E$50/$I$350</f>
        <v>41687.8781866882</v>
      </c>
    </row>
    <row r="325" customFormat="false" ht="15" hidden="false" customHeight="false" outlineLevel="0" collapsed="false">
      <c r="B325" s="102" t="s">
        <v>232</v>
      </c>
      <c r="C325" s="121" t="n">
        <f aca="false">SUM(D325:H325)</f>
        <v>40358.7358029306</v>
      </c>
      <c r="D325" s="120" t="n">
        <f aca="false">$R$356</f>
        <v>9160.0833370266</v>
      </c>
      <c r="E325" s="120" t="n">
        <f aca="false">$R$357*$E$47/$I$350</f>
        <v>7173.122269104</v>
      </c>
      <c r="F325" s="120" t="n">
        <f aca="false">$R$357*$E$48/$I$350</f>
        <v>11294.68105392</v>
      </c>
      <c r="G325" s="120" t="n">
        <f aca="false">$R$357*$E$49/$I$350</f>
        <v>7452.247709808</v>
      </c>
      <c r="H325" s="93" t="n">
        <f aca="false">$R$357*$E$50/$I$350</f>
        <v>5278.601433072</v>
      </c>
      <c r="J325" s="102" t="s">
        <v>232</v>
      </c>
      <c r="K325" s="121" t="n">
        <f aca="false">SUM(L325:P325)</f>
        <v>40358.7358029306</v>
      </c>
      <c r="L325" s="120" t="n">
        <f aca="false">$R$356</f>
        <v>9160.0833370266</v>
      </c>
      <c r="M325" s="120" t="n">
        <f aca="false">$R$357*$E$47/$I$350</f>
        <v>7173.122269104</v>
      </c>
      <c r="N325" s="120" t="n">
        <f aca="false">$R$357*$E$48/$I$350</f>
        <v>11294.68105392</v>
      </c>
      <c r="O325" s="120" t="n">
        <f aca="false">$R$357*$E$49/$I$350</f>
        <v>7452.247709808</v>
      </c>
      <c r="P325" s="93" t="n">
        <f aca="false">$R$357*$E$50/$I$350</f>
        <v>5278.601433072</v>
      </c>
    </row>
    <row r="326" customFormat="false" ht="15" hidden="false" customHeight="false" outlineLevel="0" collapsed="false">
      <c r="B326" s="16" t="s">
        <v>233</v>
      </c>
      <c r="C326" s="121" t="n">
        <f aca="false">SUM(D326:H326)</f>
        <v>7570.10177055</v>
      </c>
      <c r="D326" s="120" t="n">
        <f aca="false">$R$358</f>
        <v>2277.8092458</v>
      </c>
      <c r="E326" s="120" t="n">
        <f aca="false">$R$359*$E$47/$I$350</f>
        <v>1216.79169975</v>
      </c>
      <c r="F326" s="120" t="n">
        <f aca="false">$R$359*$E$48/$I$350</f>
        <v>1915.9403175</v>
      </c>
      <c r="G326" s="120" t="n">
        <f aca="false">$R$359*$E$49/$I$350</f>
        <v>1264.14033075</v>
      </c>
      <c r="H326" s="93" t="n">
        <f aca="false">$R$359*$E$50/$I$350</f>
        <v>895.42017675</v>
      </c>
      <c r="J326" s="16" t="s">
        <v>233</v>
      </c>
      <c r="K326" s="121" t="n">
        <f aca="false">SUM(L326:P326)</f>
        <v>7570.10177055</v>
      </c>
      <c r="L326" s="120" t="n">
        <f aca="false">$R$358</f>
        <v>2277.8092458</v>
      </c>
      <c r="M326" s="120" t="n">
        <f aca="false">$R$359*$E$47/$I$350</f>
        <v>1216.79169975</v>
      </c>
      <c r="N326" s="120" t="n">
        <f aca="false">$R$359*$E$48/$I$350</f>
        <v>1915.9403175</v>
      </c>
      <c r="O326" s="120" t="n">
        <f aca="false">$R$359*$E$49/$I$350</f>
        <v>1264.14033075</v>
      </c>
      <c r="P326" s="93" t="n">
        <f aca="false">$R$359*$E$50/$I$350</f>
        <v>895.42017675</v>
      </c>
    </row>
    <row r="327" customFormat="false" ht="15" hidden="false" customHeight="false" outlineLevel="0" collapsed="false">
      <c r="B327" s="102" t="s">
        <v>234</v>
      </c>
      <c r="C327" s="121" t="n">
        <f aca="false">SUM(D327:H327)</f>
        <v>41124.9984297223</v>
      </c>
      <c r="D327" s="120" t="n">
        <f aca="false">$R$362</f>
        <v>12374.3252727666</v>
      </c>
      <c r="E327" s="120" t="n">
        <f aca="false">$R$363*$E$47/$I$350</f>
        <v>6610.28850843075</v>
      </c>
      <c r="F327" s="120" t="n">
        <f aca="false">$R$363*$E$48/$I$350</f>
        <v>10408.4522159475</v>
      </c>
      <c r="G327" s="120" t="n">
        <f aca="false">$R$363*$E$49/$I$350</f>
        <v>6867.51257681775</v>
      </c>
      <c r="H327" s="93" t="n">
        <f aca="false">$R$363*$E$50/$I$350</f>
        <v>4864.41985575975</v>
      </c>
      <c r="J327" s="102" t="s">
        <v>234</v>
      </c>
      <c r="K327" s="121" t="n">
        <f aca="false">SUM(L327:P327)</f>
        <v>41124.9984297223</v>
      </c>
      <c r="L327" s="120" t="n">
        <f aca="false">$R$362</f>
        <v>12374.3252727666</v>
      </c>
      <c r="M327" s="120" t="n">
        <f aca="false">$R$363*$E$47/$I$350</f>
        <v>6610.28850843075</v>
      </c>
      <c r="N327" s="120" t="n">
        <f aca="false">$R$363*$E$48/$I$350</f>
        <v>10408.4522159475</v>
      </c>
      <c r="O327" s="120" t="n">
        <f aca="false">$R$363*$E$49/$I$350</f>
        <v>6867.51257681775</v>
      </c>
      <c r="P327" s="93" t="n">
        <f aca="false">$R$363*$E$50/$I$350</f>
        <v>4864.41985575975</v>
      </c>
    </row>
    <row r="328" customFormat="false" ht="15" hidden="false" customHeight="false" outlineLevel="0" collapsed="false">
      <c r="B328" s="16" t="s">
        <v>235</v>
      </c>
      <c r="C328" s="121" t="n">
        <f aca="false">SUM(D328:H328)</f>
        <v>30000</v>
      </c>
      <c r="D328" s="120" t="n">
        <f aca="false">$R$364*$C$71</f>
        <v>8437.02735197974</v>
      </c>
      <c r="E328" s="120" t="n">
        <f aca="false">$R$364*$C$72</f>
        <v>4957.70897344469</v>
      </c>
      <c r="F328" s="120" t="n">
        <f aca="false">$R$364*$C$73</f>
        <v>7806.32749763645</v>
      </c>
      <c r="G328" s="120" t="n">
        <f aca="false">$R$364*$C$74</f>
        <v>5150.62673647451</v>
      </c>
      <c r="H328" s="93" t="n">
        <f aca="false">$R$364*$C$75</f>
        <v>3648.30944046461</v>
      </c>
      <c r="J328" s="16" t="s">
        <v>235</v>
      </c>
      <c r="K328" s="121" t="n">
        <f aca="false">SUM(L328:P328)</f>
        <v>30000</v>
      </c>
      <c r="L328" s="120" t="n">
        <f aca="false">$R$364*$C$71</f>
        <v>8437.02735197974</v>
      </c>
      <c r="M328" s="120" t="n">
        <f aca="false">$R$364*$C$72</f>
        <v>4957.70897344469</v>
      </c>
      <c r="N328" s="120" t="n">
        <f aca="false">$R$364*$C$73</f>
        <v>7806.32749763645</v>
      </c>
      <c r="O328" s="120" t="n">
        <f aca="false">$R$364*$C$74</f>
        <v>5150.62673647451</v>
      </c>
      <c r="P328" s="93" t="n">
        <f aca="false">$R$364*$C$75</f>
        <v>3648.30944046461</v>
      </c>
    </row>
    <row r="329" customFormat="false" ht="15" hidden="false" customHeight="false" outlineLevel="0" collapsed="false">
      <c r="B329" s="65" t="s">
        <v>236</v>
      </c>
      <c r="C329" s="121" t="n">
        <f aca="false">SUM(D329:H329)</f>
        <v>30843.702735198</v>
      </c>
      <c r="D329" s="120" t="n">
        <f aca="false">$R$370*$C$71</f>
        <v>8674.30545377326</v>
      </c>
      <c r="E329" s="120" t="n">
        <f aca="false">$R$370*$C$72</f>
        <v>5097.13672748505</v>
      </c>
      <c r="F329" s="120" t="n">
        <f aca="false">$R$370*$C$73</f>
        <v>8025.86815969002</v>
      </c>
      <c r="G329" s="120" t="n">
        <f aca="false">$R$370*$C$74</f>
        <v>5295.47999865942</v>
      </c>
      <c r="H329" s="93" t="n">
        <f aca="false">$R$370*$C$75</f>
        <v>3750.91239559023</v>
      </c>
      <c r="J329" s="65" t="s">
        <v>236</v>
      </c>
      <c r="K329" s="121" t="n">
        <f aca="false">SUM(L329:P329)</f>
        <v>30843.702735198</v>
      </c>
      <c r="L329" s="120" t="n">
        <f aca="false">$R$370*$C$71</f>
        <v>8674.30545377326</v>
      </c>
      <c r="M329" s="120" t="n">
        <f aca="false">$R$370*$C$72</f>
        <v>5097.13672748505</v>
      </c>
      <c r="N329" s="120" t="n">
        <f aca="false">$R$370*$C$73</f>
        <v>8025.86815969002</v>
      </c>
      <c r="O329" s="120" t="n">
        <f aca="false">$R$370*$C$74</f>
        <v>5295.47999865942</v>
      </c>
      <c r="P329" s="93" t="n">
        <f aca="false">$R$370*$C$75</f>
        <v>3750.91239559023</v>
      </c>
    </row>
    <row r="330" customFormat="false" ht="15" hidden="false" customHeight="false" outlineLevel="0" collapsed="false">
      <c r="B330" s="65" t="s">
        <v>237</v>
      </c>
      <c r="C330" s="121" t="n">
        <f aca="false">SUM(D330:H330)</f>
        <v>29598.3136</v>
      </c>
      <c r="D330" s="120" t="n">
        <f aca="false">$R$373*$C$71</f>
        <v>8324.05938052247</v>
      </c>
      <c r="E330" s="120" t="n">
        <f aca="false">$R$373*$C$72</f>
        <v>4891.327497785</v>
      </c>
      <c r="F330" s="120" t="n">
        <f aca="false">$R$373*$C$73</f>
        <v>7701.80431131156</v>
      </c>
      <c r="G330" s="120" t="n">
        <f aca="false">$R$373*$C$74</f>
        <v>5081.6621794239</v>
      </c>
      <c r="H330" s="93" t="n">
        <f aca="false">$R$373*$C$75</f>
        <v>3599.46023095707</v>
      </c>
      <c r="J330" s="65" t="s">
        <v>237</v>
      </c>
      <c r="K330" s="121" t="n">
        <f aca="false">SUM(L330:P330)</f>
        <v>29598.3136</v>
      </c>
      <c r="L330" s="120" t="n">
        <f aca="false">$R$373*$C$71</f>
        <v>8324.05938052247</v>
      </c>
      <c r="M330" s="120" t="n">
        <f aca="false">$R$373*$C$72</f>
        <v>4891.327497785</v>
      </c>
      <c r="N330" s="120" t="n">
        <f aca="false">$R$373*$C$73</f>
        <v>7701.80431131156</v>
      </c>
      <c r="O330" s="120" t="n">
        <f aca="false">$R$373*$C$74</f>
        <v>5081.6621794239</v>
      </c>
      <c r="P330" s="93" t="n">
        <f aca="false">$R$373*$C$75</f>
        <v>3599.46023095707</v>
      </c>
    </row>
    <row r="331" customFormat="false" ht="15" hidden="false" customHeight="false" outlineLevel="0" collapsed="false">
      <c r="B331" s="65" t="s">
        <v>212</v>
      </c>
      <c r="C331" s="121" t="n">
        <f aca="false">SUM(D331:H331)</f>
        <v>95505.682335</v>
      </c>
      <c r="D331" s="120" t="n">
        <f aca="false">$P$308</f>
        <v>25480.7209154037</v>
      </c>
      <c r="E331" s="120" t="n">
        <f aca="false">$Q$308</f>
        <v>20410.4710544705</v>
      </c>
      <c r="F331" s="120" t="n">
        <f aca="false">$R$308</f>
        <v>29408.3438834939</v>
      </c>
      <c r="G331" s="120" t="n">
        <f aca="false">$S$308</f>
        <v>11551.1052999076</v>
      </c>
      <c r="H331" s="93" t="n">
        <f aca="false">$T$308</f>
        <v>8655.04118172424</v>
      </c>
      <c r="J331" s="65" t="s">
        <v>212</v>
      </c>
      <c r="K331" s="121" t="n">
        <f aca="false">SUM(L331:P331)</f>
        <v>95505.682335</v>
      </c>
      <c r="L331" s="120" t="n">
        <f aca="false">$R$385*D336</f>
        <v>0</v>
      </c>
      <c r="M331" s="120" t="n">
        <f aca="false">$R$385*E336</f>
        <v>0</v>
      </c>
      <c r="N331" s="120" t="n">
        <f aca="false">$R$385*F336</f>
        <v>45604.9574236996</v>
      </c>
      <c r="O331" s="120" t="n">
        <f aca="false">$R$385*G336</f>
        <v>29178.183727117</v>
      </c>
      <c r="P331" s="93" t="n">
        <f aca="false">$R$385*H336</f>
        <v>20722.5411841834</v>
      </c>
    </row>
    <row r="332" customFormat="false" ht="15" hidden="false" customHeight="false" outlineLevel="0" collapsed="false">
      <c r="B332" s="65" t="s">
        <v>238</v>
      </c>
      <c r="C332" s="121" t="n">
        <f aca="false">SUM(D332:H332)</f>
        <v>12299.9712147627</v>
      </c>
      <c r="D332" s="120" t="n">
        <f aca="false">$R$396*$C$71</f>
        <v>3459.17311891723</v>
      </c>
      <c r="E332" s="120" t="n">
        <f aca="false">$R$396*$C$72</f>
        <v>2032.65592215135</v>
      </c>
      <c r="F332" s="120" t="n">
        <f aca="false">$R$396*$C$73</f>
        <v>3200.58678379797</v>
      </c>
      <c r="G332" s="120" t="n">
        <f aca="false">$R$396*$C$74</f>
        <v>2111.75201988746</v>
      </c>
      <c r="H332" s="93" t="n">
        <f aca="false">$R$396*$C$75</f>
        <v>1495.80337000873</v>
      </c>
      <c r="J332" s="65" t="s">
        <v>238</v>
      </c>
      <c r="K332" s="121" t="n">
        <f aca="false">SUM(L332:P332)</f>
        <v>12299.9712147627</v>
      </c>
      <c r="L332" s="120" t="n">
        <f aca="false">$R$396*$C$71</f>
        <v>3459.17311891723</v>
      </c>
      <c r="M332" s="120" t="n">
        <f aca="false">$R$396*$C$72</f>
        <v>2032.65592215135</v>
      </c>
      <c r="N332" s="120" t="n">
        <f aca="false">$R$396*$C$73</f>
        <v>3200.58678379797</v>
      </c>
      <c r="O332" s="120" t="n">
        <f aca="false">$R$396*$C$74</f>
        <v>2111.75201988746</v>
      </c>
      <c r="P332" s="93" t="n">
        <f aca="false">$R$396*$C$75</f>
        <v>1495.80337000873</v>
      </c>
    </row>
    <row r="333" customFormat="false" ht="15" hidden="false" customHeight="false" outlineLevel="0" collapsed="false">
      <c r="B333" s="65" t="s">
        <v>62</v>
      </c>
      <c r="C333" s="121" t="n">
        <f aca="false">SUM(D333:H333)</f>
        <v>1496575.89662499</v>
      </c>
      <c r="D333" s="122" t="n">
        <f aca="false">SUM(D320:D322)+SUM(D329:D332)</f>
        <v>423174.798701854</v>
      </c>
      <c r="E333" s="122" t="n">
        <f aca="false">SUM(E320:E322)+SUM(E329:E332)</f>
        <v>251104.399803694</v>
      </c>
      <c r="F333" s="122" t="n">
        <f aca="false">SUM(F320:F322)+SUM(F329:F332)</f>
        <v>392655.232553036</v>
      </c>
      <c r="G333" s="122" t="n">
        <f aca="false">SUM(G320:G322)+SUM(G329:G332)</f>
        <v>251221.954017053</v>
      </c>
      <c r="H333" s="123" t="n">
        <f aca="false">SUM(H320:H322)+SUM(H329:H332)</f>
        <v>178419.51154935</v>
      </c>
      <c r="J333" s="77" t="s">
        <v>62</v>
      </c>
      <c r="K333" s="148" t="n">
        <f aca="false">SUM(L333:P333)</f>
        <v>1496575.89662499</v>
      </c>
      <c r="L333" s="116" t="n">
        <f aca="false">SUM(L320:L322)+SUM(L329:L332)</f>
        <v>397694.077786451</v>
      </c>
      <c r="M333" s="116" t="n">
        <f aca="false">SUM(M320:M322)+SUM(M329:M332)</f>
        <v>230693.928749224</v>
      </c>
      <c r="N333" s="116" t="n">
        <f aca="false">SUM(N320:N322)+SUM(N329:N332)</f>
        <v>408851.846093241</v>
      </c>
      <c r="O333" s="116" t="n">
        <f aca="false">SUM(O320:O322)+SUM(O329:O332)</f>
        <v>268849.032444263</v>
      </c>
      <c r="P333" s="117" t="n">
        <f aca="false">SUM(P320:P322)+SUM(P329:P332)</f>
        <v>190487.011551809</v>
      </c>
    </row>
    <row r="334" customFormat="false" ht="15" hidden="false" customHeight="false" outlineLevel="0" collapsed="false">
      <c r="B334" s="65" t="s">
        <v>239</v>
      </c>
      <c r="C334" s="121" t="n">
        <f aca="false">SUM(D334:H334)</f>
        <v>867767.04</v>
      </c>
      <c r="D334" s="120" t="n">
        <f aca="false">$E$84*(1+$E$87)</f>
        <v>550800</v>
      </c>
      <c r="E334" s="120" t="n">
        <f aca="false">$E$115*(1+$E$116)</f>
        <v>316967.04</v>
      </c>
      <c r="F334" s="120" t="n">
        <v>0</v>
      </c>
      <c r="G334" s="120" t="n">
        <v>0</v>
      </c>
      <c r="H334" s="93" t="n">
        <v>0</v>
      </c>
    </row>
    <row r="335" customFormat="false" ht="15" hidden="false" customHeight="false" outlineLevel="0" collapsed="false">
      <c r="B335" s="65" t="s">
        <v>240</v>
      </c>
      <c r="C335" s="122" t="n">
        <f aca="false">C333-C334</f>
        <v>628808.856624988</v>
      </c>
      <c r="D335" s="120" t="n">
        <f aca="false">D333-D334</f>
        <v>-127625.201298146</v>
      </c>
      <c r="E335" s="120" t="n">
        <f aca="false">E333-E334</f>
        <v>-65862.6401963056</v>
      </c>
      <c r="F335" s="120" t="n">
        <f aca="false">F333-F334</f>
        <v>392655.232553036</v>
      </c>
      <c r="G335" s="120" t="n">
        <f aca="false">G333-G334</f>
        <v>251221.954017053</v>
      </c>
      <c r="H335" s="93" t="n">
        <f aca="false">H333-H334</f>
        <v>178419.51154935</v>
      </c>
    </row>
    <row r="336" customFormat="false" ht="15" hidden="false" customHeight="false" outlineLevel="0" collapsed="false">
      <c r="B336" s="77" t="s">
        <v>111</v>
      </c>
      <c r="C336" s="97" t="n">
        <f aca="false">SUM(D336:H336)</f>
        <v>1</v>
      </c>
      <c r="D336" s="136" t="n">
        <f aca="false">MAX(0,D335)/SUMIF($D$335:$H$335,"&gt;0")</f>
        <v>0</v>
      </c>
      <c r="E336" s="136" t="n">
        <f aca="false">MAX(0,E335)/SUMIF($D$335:$H$335,"&gt;0")</f>
        <v>0</v>
      </c>
      <c r="F336" s="136" t="n">
        <f aca="false">MAX(0,F335)/SUMIF($D$335:$H$335,"&gt;0")</f>
        <v>0.477510408896233</v>
      </c>
      <c r="G336" s="136" t="n">
        <f aca="false">MAX(0,G335)/SUMIF($D$335:$H$335,"&gt;0")</f>
        <v>0.305512541387541</v>
      </c>
      <c r="H336" s="138" t="n">
        <f aca="false">MAX(0,H335)/SUMIF($D$335:$H$335,"&gt;0")</f>
        <v>0.216977049716226</v>
      </c>
    </row>
    <row r="338" customFormat="false" ht="15" hidden="false" customHeight="false" outlineLevel="0" collapsed="false">
      <c r="A338" s="26" t="s">
        <v>241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15" hidden="false" customHeight="false" outlineLevel="0" collapsed="false">
      <c r="D339" s="149" t="s">
        <v>242</v>
      </c>
      <c r="E339" s="149" t="s">
        <v>243</v>
      </c>
      <c r="J339" s="112" t="s">
        <v>244</v>
      </c>
      <c r="N339" s="150" t="n">
        <f aca="false">$I$350/$C$55</f>
        <v>0.718765754934009</v>
      </c>
    </row>
    <row r="340" customFormat="false" ht="15" hidden="false" customHeight="false" outlineLevel="0" collapsed="false">
      <c r="B340" s="151" t="s">
        <v>63</v>
      </c>
      <c r="C340" s="151" t="s">
        <v>245</v>
      </c>
      <c r="D340" s="9" t="s">
        <v>246</v>
      </c>
      <c r="E340" s="9" t="s">
        <v>247</v>
      </c>
      <c r="F340" s="151" t="s">
        <v>248</v>
      </c>
      <c r="G340" s="151" t="s">
        <v>249</v>
      </c>
      <c r="H340" s="151" t="s">
        <v>250</v>
      </c>
      <c r="I340" s="151" t="s">
        <v>251</v>
      </c>
      <c r="J340" s="9"/>
      <c r="K340" s="151" t="s">
        <v>250</v>
      </c>
      <c r="L340" s="151" t="s">
        <v>252</v>
      </c>
      <c r="M340" s="151" t="s">
        <v>253</v>
      </c>
      <c r="N340" s="9" t="s">
        <v>254</v>
      </c>
      <c r="O340" s="151" t="s">
        <v>255</v>
      </c>
      <c r="P340" s="9" t="s">
        <v>256</v>
      </c>
      <c r="Q340" s="9" t="s">
        <v>257</v>
      </c>
      <c r="R340" s="151" t="s">
        <v>258</v>
      </c>
      <c r="S340" s="151" t="s">
        <v>259</v>
      </c>
    </row>
    <row r="341" customFormat="false" ht="15" hidden="false" customHeight="false" outlineLevel="0" collapsed="false">
      <c r="B341" s="110" t="s">
        <v>228</v>
      </c>
    </row>
    <row r="342" customFormat="false" ht="15" hidden="false" customHeight="false" outlineLevel="0" collapsed="false">
      <c r="B342" s="139" t="s">
        <v>228</v>
      </c>
      <c r="C342" s="35" t="s">
        <v>260</v>
      </c>
      <c r="D342" s="152" t="n">
        <v>0</v>
      </c>
      <c r="E342" s="153" t="n">
        <v>1</v>
      </c>
      <c r="H342" s="154" t="s">
        <v>261</v>
      </c>
      <c r="I342" s="81" t="n">
        <f aca="false">$E$68</f>
        <v>4995.7875</v>
      </c>
      <c r="J342" s="155" t="s">
        <v>262</v>
      </c>
      <c r="K342" s="35" t="s">
        <v>263</v>
      </c>
      <c r="L342" s="156" t="n">
        <f aca="false">M342/I342*1000</f>
        <v>44037.1012578097</v>
      </c>
      <c r="M342" s="157" t="n">
        <v>220000</v>
      </c>
      <c r="N342" s="158" t="n">
        <f aca="false">IF(D342=1,M342*$D$539,0)</f>
        <v>0</v>
      </c>
      <c r="O342" s="158" t="n">
        <f aca="false">M342+N342</f>
        <v>220000</v>
      </c>
      <c r="P342" s="150" t="n">
        <f aca="false">CHOOSE(E342,0,1,$N$339)</f>
        <v>0</v>
      </c>
      <c r="Q342" s="158" t="n">
        <f aca="false">N342*P342</f>
        <v>0</v>
      </c>
      <c r="R342" s="158" t="n">
        <f aca="false">O342-Q342</f>
        <v>220000</v>
      </c>
      <c r="S342" s="159" t="s">
        <v>264</v>
      </c>
    </row>
    <row r="343" customFormat="false" ht="15" hidden="false" customHeight="false" outlineLevel="0" collapsed="false">
      <c r="C343" s="35" t="s">
        <v>265</v>
      </c>
      <c r="D343" s="152" t="n">
        <v>0</v>
      </c>
      <c r="E343" s="153" t="n">
        <v>1</v>
      </c>
      <c r="H343" s="154" t="s">
        <v>266</v>
      </c>
      <c r="I343" s="158" t="n">
        <f aca="false">$M$342</f>
        <v>220000</v>
      </c>
      <c r="J343" s="155" t="s">
        <v>262</v>
      </c>
      <c r="K343" s="35" t="s">
        <v>267</v>
      </c>
      <c r="L343" s="160" t="n">
        <v>0.056</v>
      </c>
      <c r="M343" s="158" t="n">
        <f aca="false">I343*L343</f>
        <v>12320</v>
      </c>
      <c r="N343" s="158" t="n">
        <f aca="false">IF(D343=1,M343*$D$539,0)</f>
        <v>0</v>
      </c>
      <c r="O343" s="158" t="n">
        <f aca="false">M343+N343</f>
        <v>12320</v>
      </c>
      <c r="P343" s="150" t="n">
        <f aca="false">CHOOSE(E343,0,1,$N$339)</f>
        <v>0</v>
      </c>
      <c r="Q343" s="158" t="n">
        <f aca="false">N343*P343</f>
        <v>0</v>
      </c>
      <c r="R343" s="158" t="n">
        <f aca="false">O343-Q343</f>
        <v>12320</v>
      </c>
      <c r="S343" s="159" t="s">
        <v>23</v>
      </c>
    </row>
    <row r="344" customFormat="false" ht="15" hidden="false" customHeight="false" outlineLevel="0" collapsed="false">
      <c r="C344" s="35" t="s">
        <v>268</v>
      </c>
      <c r="D344" s="152" t="n">
        <v>0</v>
      </c>
      <c r="E344" s="153" t="n">
        <v>1</v>
      </c>
      <c r="F344" s="35" t="s">
        <v>269</v>
      </c>
      <c r="G344" s="157" t="n">
        <v>250000</v>
      </c>
      <c r="H344" s="161" t="s">
        <v>270</v>
      </c>
      <c r="I344" s="160" t="n">
        <v>0</v>
      </c>
      <c r="J344" s="155" t="s">
        <v>262</v>
      </c>
      <c r="K344" s="35" t="s">
        <v>271</v>
      </c>
      <c r="L344" s="162" t="n">
        <v>10.17</v>
      </c>
      <c r="M344" s="158" t="n">
        <f aca="false">G344*I344*L344</f>
        <v>0</v>
      </c>
      <c r="N344" s="158" t="n">
        <f aca="false">IF(D344=1,M344*$D$539,0)</f>
        <v>0</v>
      </c>
      <c r="O344" s="158" t="n">
        <f aca="false">M344+N344</f>
        <v>0</v>
      </c>
      <c r="P344" s="150" t="n">
        <f aca="false">CHOOSE(E344,0,1,$N$339)</f>
        <v>0</v>
      </c>
      <c r="Q344" s="158" t="n">
        <f aca="false">N344*P344</f>
        <v>0</v>
      </c>
      <c r="R344" s="158" t="n">
        <f aca="false">O344-Q344</f>
        <v>0</v>
      </c>
      <c r="S344" s="159" t="s">
        <v>23</v>
      </c>
    </row>
    <row r="345" customFormat="false" ht="15" hidden="false" customHeight="false" outlineLevel="0" collapsed="false">
      <c r="C345" s="35" t="s">
        <v>272</v>
      </c>
      <c r="D345" s="152" t="n">
        <v>0</v>
      </c>
      <c r="E345" s="153" t="n">
        <v>1</v>
      </c>
      <c r="H345" s="154" t="s">
        <v>218</v>
      </c>
      <c r="I345" s="157" t="n">
        <v>0</v>
      </c>
      <c r="M345" s="158" t="n">
        <f aca="false">I345</f>
        <v>0</v>
      </c>
      <c r="N345" s="158" t="n">
        <f aca="false">IF(D345=1,M345*$D$539,0)</f>
        <v>0</v>
      </c>
      <c r="O345" s="158" t="n">
        <f aca="false">M345+N345</f>
        <v>0</v>
      </c>
      <c r="P345" s="150" t="n">
        <f aca="false">CHOOSE(E345,0,1,$N$339)</f>
        <v>0</v>
      </c>
      <c r="Q345" s="158" t="n">
        <f aca="false">N345*P345</f>
        <v>0</v>
      </c>
      <c r="R345" s="158" t="n">
        <f aca="false">O345-Q345</f>
        <v>0</v>
      </c>
      <c r="S345" s="159" t="s">
        <v>23</v>
      </c>
    </row>
    <row r="346" customFormat="false" ht="15" hidden="false" customHeight="false" outlineLevel="0" collapsed="false">
      <c r="C346" s="35" t="s">
        <v>273</v>
      </c>
      <c r="D346" s="152" t="n">
        <v>0</v>
      </c>
      <c r="E346" s="153" t="n">
        <v>1</v>
      </c>
      <c r="H346" s="154" t="s">
        <v>274</v>
      </c>
      <c r="I346" s="157" t="n">
        <v>5324</v>
      </c>
      <c r="M346" s="158" t="n">
        <f aca="false">I346</f>
        <v>5324</v>
      </c>
      <c r="N346" s="158" t="n">
        <f aca="false">IF(D346=1,M346*$D$539,0)</f>
        <v>0</v>
      </c>
      <c r="O346" s="158" t="n">
        <f aca="false">M346+N346</f>
        <v>5324</v>
      </c>
      <c r="P346" s="150" t="n">
        <f aca="false">CHOOSE(E346,0,1,$N$339)</f>
        <v>0</v>
      </c>
      <c r="Q346" s="158" t="n">
        <f aca="false">N346*P346</f>
        <v>0</v>
      </c>
      <c r="R346" s="158" t="n">
        <f aca="false">O346-Q346</f>
        <v>5324</v>
      </c>
      <c r="S346" s="159" t="s">
        <v>275</v>
      </c>
    </row>
    <row r="347" customFormat="false" ht="15" hidden="false" customHeight="false" outlineLevel="0" collapsed="false">
      <c r="B347" s="163" t="s">
        <v>276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64" t="n">
        <f aca="false">SUM(M342:M346)</f>
        <v>237644</v>
      </c>
      <c r="N347" s="164" t="n">
        <f aca="false">SUM(N342:N346)</f>
        <v>0</v>
      </c>
      <c r="O347" s="164" t="n">
        <f aca="false">SUM(O342:O346)</f>
        <v>237644</v>
      </c>
      <c r="P347" s="165" t="n">
        <f aca="false">SUM(P342:P346)</f>
        <v>0</v>
      </c>
      <c r="Q347" s="164" t="n">
        <f aca="false">SUM(Q342:Q346)</f>
        <v>0</v>
      </c>
      <c r="R347" s="164" t="n">
        <f aca="false">SUM(R342:R346)</f>
        <v>237644</v>
      </c>
      <c r="S347" s="1"/>
    </row>
    <row r="348" customFormat="false" ht="15" hidden="false" customHeight="false" outlineLevel="0" collapsed="false">
      <c r="B348" s="110" t="s">
        <v>277</v>
      </c>
    </row>
    <row r="349" customFormat="false" ht="15" hidden="false" customHeight="false" outlineLevel="0" collapsed="false">
      <c r="B349" s="139" t="s">
        <v>206</v>
      </c>
      <c r="C349" s="35" t="s">
        <v>278</v>
      </c>
      <c r="D349" s="152" t="n">
        <v>1</v>
      </c>
      <c r="E349" s="153" t="n">
        <v>1</v>
      </c>
      <c r="H349" s="154" t="s">
        <v>279</v>
      </c>
      <c r="I349" s="81" t="n">
        <f aca="false">$E$46</f>
        <v>23008.1742</v>
      </c>
      <c r="J349" s="155" t="s">
        <v>262</v>
      </c>
      <c r="K349" s="35" t="s">
        <v>280</v>
      </c>
      <c r="L349" s="166" t="n">
        <v>7585.77</v>
      </c>
      <c r="M349" s="158" t="n">
        <f aca="false">I349*L349/1000</f>
        <v>174534.717601134</v>
      </c>
      <c r="N349" s="158" t="n">
        <f aca="false">IF(D349=1,M349*$D$539,0)</f>
        <v>17453.4717601134</v>
      </c>
      <c r="O349" s="158" t="n">
        <f aca="false">M349+N349</f>
        <v>191988.189361247</v>
      </c>
      <c r="P349" s="150" t="n">
        <f aca="false">CHOOSE(E349,0,1,$N$339)</f>
        <v>0</v>
      </c>
      <c r="Q349" s="158" t="n">
        <f aca="false">N349*P349</f>
        <v>0</v>
      </c>
      <c r="R349" s="158" t="n">
        <f aca="false">O349-Q349</f>
        <v>191988.189361247</v>
      </c>
      <c r="S349" s="167" t="s">
        <v>281</v>
      </c>
    </row>
    <row r="350" customFormat="false" ht="15" hidden="false" customHeight="false" outlineLevel="0" collapsed="false">
      <c r="C350" s="35" t="s">
        <v>282</v>
      </c>
      <c r="D350" s="152" t="n">
        <v>1</v>
      </c>
      <c r="E350" s="153" t="n">
        <v>2</v>
      </c>
      <c r="H350" s="154" t="s">
        <v>279</v>
      </c>
      <c r="I350" s="81" t="n">
        <f aca="false">$C$55-$E$46</f>
        <v>58803.250275</v>
      </c>
      <c r="J350" s="155" t="s">
        <v>262</v>
      </c>
      <c r="K350" s="35" t="s">
        <v>280</v>
      </c>
      <c r="L350" s="166" t="n">
        <v>7181.66</v>
      </c>
      <c r="M350" s="158" t="n">
        <f aca="false">I350*L350/1000</f>
        <v>422304.950369957</v>
      </c>
      <c r="N350" s="158" t="n">
        <f aca="false">IF(D350=1,M350*$D$539,0)</f>
        <v>42230.4950369957</v>
      </c>
      <c r="O350" s="158" t="n">
        <f aca="false">M350+N350</f>
        <v>464535.445406952</v>
      </c>
      <c r="P350" s="150" t="n">
        <f aca="false">CHOOSE(E350,0,1,$N$339)</f>
        <v>1</v>
      </c>
      <c r="Q350" s="158" t="n">
        <f aca="false">N350*P350</f>
        <v>42230.4950369957</v>
      </c>
      <c r="R350" s="158" t="n">
        <f aca="false">O350-Q350</f>
        <v>422304.950369957</v>
      </c>
      <c r="S350" s="167" t="s">
        <v>281</v>
      </c>
    </row>
    <row r="351" customFormat="false" ht="15" hidden="false" customHeight="false" outlineLevel="0" collapsed="false">
      <c r="B351" s="168" t="s">
        <v>283</v>
      </c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70" t="n">
        <f aca="false">SUM(M349:M350)</f>
        <v>596839.667971091</v>
      </c>
      <c r="N351" s="170" t="n">
        <f aca="false">SUM(N349:N350)</f>
        <v>59683.9667971091</v>
      </c>
      <c r="O351" s="170" t="n">
        <f aca="false">SUM(O349:O350)</f>
        <v>656523.6347682</v>
      </c>
      <c r="P351" s="171" t="n">
        <f aca="false">SUM(P349:P350)</f>
        <v>1</v>
      </c>
      <c r="Q351" s="170" t="n">
        <f aca="false">SUM(Q349:Q350)</f>
        <v>42230.4950369957</v>
      </c>
      <c r="R351" s="170" t="n">
        <f aca="false">SUM(R349:R350)</f>
        <v>614293.139731204</v>
      </c>
      <c r="S351" s="169"/>
    </row>
    <row r="352" customFormat="false" ht="15" hidden="false" customHeight="false" outlineLevel="0" collapsed="false">
      <c r="B352" s="139" t="s">
        <v>229</v>
      </c>
      <c r="C352" s="35" t="s">
        <v>284</v>
      </c>
      <c r="D352" s="152" t="n">
        <v>1</v>
      </c>
      <c r="E352" s="153" t="n">
        <v>1</v>
      </c>
      <c r="H352" s="154" t="s">
        <v>279</v>
      </c>
      <c r="I352" s="81" t="n">
        <f aca="false">$E$46</f>
        <v>23008.1742</v>
      </c>
      <c r="J352" s="155" t="s">
        <v>262</v>
      </c>
      <c r="K352" s="35" t="s">
        <v>285</v>
      </c>
      <c r="L352" s="166" t="n">
        <v>421.4</v>
      </c>
      <c r="M352" s="158" t="n">
        <f aca="false">I352*L352/1000</f>
        <v>9695.64460788</v>
      </c>
      <c r="N352" s="158" t="n">
        <f aca="false">IF(D352=1,M352*$D$539,0)</f>
        <v>969.564460788</v>
      </c>
      <c r="O352" s="158" t="n">
        <f aca="false">M352+N352</f>
        <v>10665.209068668</v>
      </c>
      <c r="P352" s="150" t="n">
        <f aca="false">CHOOSE(E352,0,1,$N$339)</f>
        <v>0</v>
      </c>
      <c r="Q352" s="158" t="n">
        <f aca="false">N352*P352</f>
        <v>0</v>
      </c>
      <c r="R352" s="158" t="n">
        <f aca="false">O352-Q352</f>
        <v>10665.209068668</v>
      </c>
      <c r="S352" s="167" t="s">
        <v>286</v>
      </c>
    </row>
    <row r="353" customFormat="false" ht="15" hidden="false" customHeight="false" outlineLevel="0" collapsed="false">
      <c r="C353" s="35" t="s">
        <v>287</v>
      </c>
      <c r="D353" s="152" t="n">
        <v>1</v>
      </c>
      <c r="E353" s="153" t="n">
        <v>2</v>
      </c>
      <c r="H353" s="154" t="s">
        <v>279</v>
      </c>
      <c r="I353" s="81" t="n">
        <f aca="false">$I$350</f>
        <v>58803.250275</v>
      </c>
      <c r="J353" s="155" t="s">
        <v>262</v>
      </c>
      <c r="K353" s="35" t="s">
        <v>285</v>
      </c>
      <c r="L353" s="166" t="n">
        <v>421.4</v>
      </c>
      <c r="M353" s="158" t="n">
        <f aca="false">I353*L353/1000</f>
        <v>24779.689665885</v>
      </c>
      <c r="N353" s="158" t="n">
        <f aca="false">IF(D353=1,M353*$D$539,0)</f>
        <v>2477.9689665885</v>
      </c>
      <c r="O353" s="158" t="n">
        <f aca="false">M353+N353</f>
        <v>27257.6586324735</v>
      </c>
      <c r="P353" s="150" t="n">
        <f aca="false">CHOOSE(E353,0,1,$N$339)</f>
        <v>1</v>
      </c>
      <c r="Q353" s="158" t="n">
        <f aca="false">N353*P353</f>
        <v>2477.9689665885</v>
      </c>
      <c r="R353" s="158" t="n">
        <f aca="false">O353-Q353</f>
        <v>24779.689665885</v>
      </c>
      <c r="S353" s="167" t="s">
        <v>286</v>
      </c>
    </row>
    <row r="354" customFormat="false" ht="15" hidden="false" customHeight="false" outlineLevel="0" collapsed="false">
      <c r="C354" s="35" t="s">
        <v>288</v>
      </c>
      <c r="D354" s="152" t="n">
        <v>1</v>
      </c>
      <c r="E354" s="153" t="n">
        <v>1</v>
      </c>
      <c r="H354" s="154" t="s">
        <v>279</v>
      </c>
      <c r="I354" s="81" t="n">
        <f aca="false">$E$46</f>
        <v>23008.1742</v>
      </c>
      <c r="J354" s="155" t="s">
        <v>262</v>
      </c>
      <c r="K354" s="35" t="s">
        <v>285</v>
      </c>
      <c r="L354" s="166" t="n">
        <v>2983.14</v>
      </c>
      <c r="M354" s="158" t="n">
        <f aca="false">I354*L354/1000</f>
        <v>68636.604782988</v>
      </c>
      <c r="N354" s="158" t="n">
        <f aca="false">IF(D354=1,M354*$D$539,0)</f>
        <v>6863.6604782988</v>
      </c>
      <c r="O354" s="158" t="n">
        <f aca="false">M354+N354</f>
        <v>75500.2652612868</v>
      </c>
      <c r="P354" s="150" t="n">
        <f aca="false">CHOOSE(E354,0,1,$N$339)</f>
        <v>0</v>
      </c>
      <c r="Q354" s="158" t="n">
        <f aca="false">N354*P354</f>
        <v>0</v>
      </c>
      <c r="R354" s="158" t="n">
        <f aca="false">O354-Q354</f>
        <v>75500.2652612868</v>
      </c>
      <c r="S354" s="167" t="s">
        <v>286</v>
      </c>
    </row>
    <row r="355" customFormat="false" ht="15" hidden="false" customHeight="false" outlineLevel="0" collapsed="false">
      <c r="C355" s="35" t="s">
        <v>289</v>
      </c>
      <c r="D355" s="152" t="n">
        <v>1</v>
      </c>
      <c r="E355" s="153" t="n">
        <v>2</v>
      </c>
      <c r="H355" s="154" t="s">
        <v>279</v>
      </c>
      <c r="I355" s="81" t="n">
        <f aca="false">$I$350</f>
        <v>58803.250275</v>
      </c>
      <c r="J355" s="155" t="s">
        <v>262</v>
      </c>
      <c r="K355" s="35" t="s">
        <v>285</v>
      </c>
      <c r="L355" s="166" t="n">
        <v>4190.11</v>
      </c>
      <c r="M355" s="158" t="n">
        <f aca="false">I355*L355/1000</f>
        <v>246392.08700978</v>
      </c>
      <c r="N355" s="158" t="n">
        <f aca="false">IF(D355=1,M355*$D$539,0)</f>
        <v>24639.208700978</v>
      </c>
      <c r="O355" s="158" t="n">
        <f aca="false">M355+N355</f>
        <v>271031.295710758</v>
      </c>
      <c r="P355" s="150" t="n">
        <f aca="false">CHOOSE(E355,0,1,$N$339)</f>
        <v>1</v>
      </c>
      <c r="Q355" s="158" t="n">
        <f aca="false">N355*P355</f>
        <v>24639.208700978</v>
      </c>
      <c r="R355" s="158" t="n">
        <f aca="false">O355-Q355</f>
        <v>246392.08700978</v>
      </c>
      <c r="S355" s="167" t="s">
        <v>286</v>
      </c>
    </row>
    <row r="356" customFormat="false" ht="15" hidden="false" customHeight="false" outlineLevel="0" collapsed="false">
      <c r="C356" s="112" t="s">
        <v>290</v>
      </c>
      <c r="D356" s="152" t="n">
        <v>1</v>
      </c>
      <c r="E356" s="153" t="n">
        <v>1</v>
      </c>
      <c r="H356" s="154" t="s">
        <v>279</v>
      </c>
      <c r="I356" s="81" t="n">
        <f aca="false">$E$46</f>
        <v>23008.1742</v>
      </c>
      <c r="J356" s="155" t="s">
        <v>262</v>
      </c>
      <c r="K356" s="35" t="s">
        <v>285</v>
      </c>
      <c r="L356" s="166" t="n">
        <v>361.93</v>
      </c>
      <c r="M356" s="158" t="n">
        <f aca="false">I356*L356/1000</f>
        <v>8327.348488206</v>
      </c>
      <c r="N356" s="158" t="n">
        <f aca="false">IF(D356=1,M356*$D$539,0)</f>
        <v>832.7348488206</v>
      </c>
      <c r="O356" s="158" t="n">
        <f aca="false">M356+N356</f>
        <v>9160.0833370266</v>
      </c>
      <c r="P356" s="150" t="n">
        <f aca="false">CHOOSE(E356,0,1,$N$339)</f>
        <v>0</v>
      </c>
      <c r="Q356" s="158" t="n">
        <f aca="false">N356*P356</f>
        <v>0</v>
      </c>
      <c r="R356" s="158" t="n">
        <f aca="false">O356-Q356</f>
        <v>9160.0833370266</v>
      </c>
      <c r="S356" s="167" t="s">
        <v>286</v>
      </c>
    </row>
    <row r="357" customFormat="false" ht="15" hidden="false" customHeight="false" outlineLevel="0" collapsed="false">
      <c r="C357" s="112" t="s">
        <v>291</v>
      </c>
      <c r="D357" s="152" t="n">
        <v>1</v>
      </c>
      <c r="E357" s="153" t="n">
        <v>2</v>
      </c>
      <c r="H357" s="154" t="s">
        <v>279</v>
      </c>
      <c r="I357" s="81" t="n">
        <f aca="false">$I$350</f>
        <v>58803.250275</v>
      </c>
      <c r="J357" s="155" t="s">
        <v>262</v>
      </c>
      <c r="K357" s="35" t="s">
        <v>285</v>
      </c>
      <c r="L357" s="166" t="n">
        <v>530.56</v>
      </c>
      <c r="M357" s="158" t="n">
        <f aca="false">I357*L357/1000</f>
        <v>31198.652465904</v>
      </c>
      <c r="N357" s="158" t="n">
        <f aca="false">IF(D357=1,M357*$D$539,0)</f>
        <v>3119.8652465904</v>
      </c>
      <c r="O357" s="158" t="n">
        <f aca="false">M357+N357</f>
        <v>34318.5177124944</v>
      </c>
      <c r="P357" s="150" t="n">
        <f aca="false">CHOOSE(E357,0,1,$N$339)</f>
        <v>1</v>
      </c>
      <c r="Q357" s="158" t="n">
        <f aca="false">N357*P357</f>
        <v>3119.8652465904</v>
      </c>
      <c r="R357" s="158" t="n">
        <f aca="false">O357-Q357</f>
        <v>31198.652465904</v>
      </c>
      <c r="S357" s="167" t="s">
        <v>286</v>
      </c>
    </row>
    <row r="358" customFormat="false" ht="15" hidden="false" customHeight="false" outlineLevel="0" collapsed="false">
      <c r="C358" s="35" t="s">
        <v>292</v>
      </c>
      <c r="D358" s="152" t="n">
        <v>1</v>
      </c>
      <c r="E358" s="153" t="n">
        <v>1</v>
      </c>
      <c r="H358" s="154" t="s">
        <v>279</v>
      </c>
      <c r="I358" s="81" t="n">
        <f aca="false">$E$46</f>
        <v>23008.1742</v>
      </c>
      <c r="J358" s="155" t="s">
        <v>262</v>
      </c>
      <c r="K358" s="35" t="s">
        <v>285</v>
      </c>
      <c r="L358" s="166" t="n">
        <v>90</v>
      </c>
      <c r="M358" s="158" t="n">
        <f aca="false">I358*L358/1000</f>
        <v>2070.735678</v>
      </c>
      <c r="N358" s="158" t="n">
        <f aca="false">IF(D358=1,M358*$D$539,0)</f>
        <v>207.0735678</v>
      </c>
      <c r="O358" s="158" t="n">
        <f aca="false">M358+N358</f>
        <v>2277.8092458</v>
      </c>
      <c r="P358" s="150" t="n">
        <f aca="false">CHOOSE(E358,0,1,$N$339)</f>
        <v>0</v>
      </c>
      <c r="Q358" s="158" t="n">
        <f aca="false">N358*P358</f>
        <v>0</v>
      </c>
      <c r="R358" s="158" t="n">
        <f aca="false">O358-Q358</f>
        <v>2277.8092458</v>
      </c>
      <c r="S358" s="167" t="s">
        <v>286</v>
      </c>
    </row>
    <row r="359" customFormat="false" ht="15" hidden="false" customHeight="false" outlineLevel="0" collapsed="false">
      <c r="C359" s="35" t="s">
        <v>293</v>
      </c>
      <c r="D359" s="152" t="n">
        <v>1</v>
      </c>
      <c r="E359" s="153" t="n">
        <v>2</v>
      </c>
      <c r="H359" s="154" t="s">
        <v>279</v>
      </c>
      <c r="I359" s="81" t="n">
        <f aca="false">$I$350</f>
        <v>58803.250275</v>
      </c>
      <c r="J359" s="155" t="s">
        <v>262</v>
      </c>
      <c r="K359" s="35" t="s">
        <v>285</v>
      </c>
      <c r="L359" s="166" t="n">
        <v>90</v>
      </c>
      <c r="M359" s="158" t="n">
        <f aca="false">I359*L359/1000</f>
        <v>5292.29252475</v>
      </c>
      <c r="N359" s="158" t="n">
        <f aca="false">IF(D359=1,M359*$D$539,0)</f>
        <v>529.229252475</v>
      </c>
      <c r="O359" s="158" t="n">
        <f aca="false">M359+N359</f>
        <v>5821.521777225</v>
      </c>
      <c r="P359" s="150" t="n">
        <f aca="false">CHOOSE(E359,0,1,$N$339)</f>
        <v>1</v>
      </c>
      <c r="Q359" s="158" t="n">
        <f aca="false">N359*P359</f>
        <v>529.229252475</v>
      </c>
      <c r="R359" s="158" t="n">
        <f aca="false">O359-Q359</f>
        <v>5292.29252475</v>
      </c>
      <c r="S359" s="167" t="s">
        <v>286</v>
      </c>
    </row>
    <row r="360" customFormat="false" ht="15" hidden="false" customHeight="false" outlineLevel="0" collapsed="false">
      <c r="C360" s="35" t="s">
        <v>294</v>
      </c>
      <c r="D360" s="152" t="n">
        <v>1</v>
      </c>
      <c r="E360" s="153" t="n">
        <v>1</v>
      </c>
      <c r="H360" s="154" t="s">
        <v>279</v>
      </c>
      <c r="I360" s="81" t="n">
        <f aca="false">$C$55</f>
        <v>81811.424475</v>
      </c>
      <c r="J360" s="155" t="s">
        <v>262</v>
      </c>
      <c r="K360" s="35" t="s">
        <v>295</v>
      </c>
      <c r="L360" s="166" t="n">
        <v>0</v>
      </c>
      <c r="M360" s="158" t="n">
        <f aca="false">I360*L360/1000</f>
        <v>0</v>
      </c>
      <c r="N360" s="158" t="n">
        <f aca="false">IF(D360=1,M360*$D$539,0)</f>
        <v>0</v>
      </c>
      <c r="O360" s="158" t="n">
        <f aca="false">M360+N360</f>
        <v>0</v>
      </c>
      <c r="P360" s="150" t="n">
        <f aca="false">CHOOSE(E360,0,1,$N$339)</f>
        <v>0</v>
      </c>
      <c r="Q360" s="158" t="n">
        <f aca="false">N360*P360</f>
        <v>0</v>
      </c>
      <c r="R360" s="158" t="n">
        <f aca="false">O360-Q360</f>
        <v>0</v>
      </c>
      <c r="S360" s="167" t="s">
        <v>286</v>
      </c>
    </row>
    <row r="361" customFormat="false" ht="15" hidden="false" customHeight="false" outlineLevel="0" collapsed="false">
      <c r="C361" s="35" t="s">
        <v>296</v>
      </c>
      <c r="D361" s="152" t="n">
        <v>1</v>
      </c>
      <c r="E361" s="153" t="n">
        <v>1</v>
      </c>
      <c r="H361" s="154" t="s">
        <v>218</v>
      </c>
      <c r="I361" s="157" t="n">
        <v>0</v>
      </c>
      <c r="M361" s="158" t="n">
        <f aca="false">I361</f>
        <v>0</v>
      </c>
      <c r="N361" s="158" t="n">
        <f aca="false">IF(D361=1,M361*$D$539,0)</f>
        <v>0</v>
      </c>
      <c r="O361" s="158" t="n">
        <f aca="false">M361+N361</f>
        <v>0</v>
      </c>
      <c r="P361" s="150" t="n">
        <f aca="false">CHOOSE(E361,0,1,$N$339)</f>
        <v>0</v>
      </c>
      <c r="Q361" s="158" t="n">
        <f aca="false">N361*P361</f>
        <v>0</v>
      </c>
      <c r="R361" s="158" t="n">
        <f aca="false">O361-Q361</f>
        <v>0</v>
      </c>
      <c r="S361" s="167" t="s">
        <v>286</v>
      </c>
    </row>
    <row r="362" customFormat="false" ht="15" hidden="false" customHeight="false" outlineLevel="0" collapsed="false">
      <c r="C362" s="112" t="s">
        <v>297</v>
      </c>
      <c r="D362" s="152" t="n">
        <v>1</v>
      </c>
      <c r="E362" s="153" t="n">
        <v>1</v>
      </c>
      <c r="H362" s="154" t="s">
        <v>279</v>
      </c>
      <c r="I362" s="81" t="n">
        <f aca="false">$E$46</f>
        <v>23008.1742</v>
      </c>
      <c r="J362" s="155" t="s">
        <v>262</v>
      </c>
      <c r="K362" s="35" t="s">
        <v>285</v>
      </c>
      <c r="L362" s="166" t="n">
        <v>488.93</v>
      </c>
      <c r="M362" s="158" t="n">
        <f aca="false">I362*L362/1000</f>
        <v>11249.386611606</v>
      </c>
      <c r="N362" s="158" t="n">
        <f aca="false">IF(D362=1,M362*$D$539,0)</f>
        <v>1124.9386611606</v>
      </c>
      <c r="O362" s="158" t="n">
        <f aca="false">M362+N362</f>
        <v>12374.3252727666</v>
      </c>
      <c r="P362" s="150" t="n">
        <f aca="false">CHOOSE(E362,0,1,$N$339)</f>
        <v>0</v>
      </c>
      <c r="Q362" s="158" t="n">
        <f aca="false">N362*P362</f>
        <v>0</v>
      </c>
      <c r="R362" s="158" t="n">
        <f aca="false">O362-Q362</f>
        <v>12374.3252727666</v>
      </c>
      <c r="S362" s="167" t="s">
        <v>286</v>
      </c>
    </row>
    <row r="363" customFormat="false" ht="15" hidden="false" customHeight="false" outlineLevel="0" collapsed="false">
      <c r="C363" s="112" t="s">
        <v>298</v>
      </c>
      <c r="D363" s="152" t="n">
        <v>1</v>
      </c>
      <c r="E363" s="153" t="n">
        <v>2</v>
      </c>
      <c r="H363" s="154" t="s">
        <v>279</v>
      </c>
      <c r="I363" s="81" t="n">
        <f aca="false">$I$350</f>
        <v>58803.250275</v>
      </c>
      <c r="J363" s="155" t="s">
        <v>262</v>
      </c>
      <c r="K363" s="35" t="s">
        <v>285</v>
      </c>
      <c r="L363" s="166" t="n">
        <v>488.93</v>
      </c>
      <c r="M363" s="158" t="n">
        <f aca="false">I363*L363/1000</f>
        <v>28750.6731569558</v>
      </c>
      <c r="N363" s="158" t="n">
        <f aca="false">IF(D363=1,M363*$D$539,0)</f>
        <v>2875.06731569558</v>
      </c>
      <c r="O363" s="158" t="n">
        <f aca="false">M363+N363</f>
        <v>31625.7404726513</v>
      </c>
      <c r="P363" s="150" t="n">
        <f aca="false">CHOOSE(E363,0,1,$N$339)</f>
        <v>1</v>
      </c>
      <c r="Q363" s="158" t="n">
        <f aca="false">N363*P363</f>
        <v>2875.06731569558</v>
      </c>
      <c r="R363" s="158" t="n">
        <f aca="false">O363-Q363</f>
        <v>28750.6731569558</v>
      </c>
      <c r="S363" s="167" t="s">
        <v>286</v>
      </c>
    </row>
    <row r="364" customFormat="false" ht="15" hidden="false" customHeight="false" outlineLevel="0" collapsed="false">
      <c r="C364" s="35" t="s">
        <v>215</v>
      </c>
      <c r="D364" s="152" t="n">
        <v>0</v>
      </c>
      <c r="E364" s="153" t="n">
        <v>1</v>
      </c>
      <c r="H364" s="154" t="s">
        <v>218</v>
      </c>
      <c r="I364" s="157" t="n">
        <v>30000</v>
      </c>
      <c r="M364" s="158" t="n">
        <f aca="false">I364</f>
        <v>30000</v>
      </c>
      <c r="N364" s="158" t="n">
        <f aca="false">IF(D364=1,M364*$D$539,0)</f>
        <v>0</v>
      </c>
      <c r="O364" s="158" t="n">
        <f aca="false">M364+N364</f>
        <v>30000</v>
      </c>
      <c r="P364" s="150" t="n">
        <f aca="false">CHOOSE(E364,0,1,$N$339)</f>
        <v>0</v>
      </c>
      <c r="Q364" s="158" t="n">
        <f aca="false">N364*P364</f>
        <v>0</v>
      </c>
      <c r="R364" s="158" t="n">
        <f aca="false">O364-Q364</f>
        <v>30000</v>
      </c>
      <c r="S364" s="167" t="s">
        <v>286</v>
      </c>
    </row>
    <row r="365" customFormat="false" ht="15" hidden="false" customHeight="false" outlineLevel="0" collapsed="false">
      <c r="B365" s="168" t="s">
        <v>299</v>
      </c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70" t="n">
        <f aca="false">SUM(M352:M364)</f>
        <v>466393.114991955</v>
      </c>
      <c r="N365" s="170" t="n">
        <f aca="false">SUM(N352:N364)</f>
        <v>43639.3114991955</v>
      </c>
      <c r="O365" s="170" t="n">
        <f aca="false">SUM(O352:O364)</f>
        <v>510032.42649115</v>
      </c>
      <c r="P365" s="171" t="n">
        <f aca="false">SUM(P352:P364)</f>
        <v>5</v>
      </c>
      <c r="Q365" s="170" t="n">
        <f aca="false">SUM(Q352:Q364)</f>
        <v>33641.3394823275</v>
      </c>
      <c r="R365" s="170" t="n">
        <f aca="false">SUM(R352:R364)</f>
        <v>476391.087008823</v>
      </c>
      <c r="S365" s="169"/>
    </row>
    <row r="366" customFormat="false" ht="15" hidden="false" customHeight="false" outlineLevel="0" collapsed="false">
      <c r="B366" s="139" t="s">
        <v>300</v>
      </c>
      <c r="C366" s="112" t="s">
        <v>301</v>
      </c>
      <c r="D366" s="152" t="n">
        <v>1</v>
      </c>
      <c r="E366" s="153" t="n">
        <v>1</v>
      </c>
      <c r="H366" s="154" t="s">
        <v>218</v>
      </c>
      <c r="I366" s="157" t="n">
        <v>0</v>
      </c>
      <c r="M366" s="158" t="n">
        <f aca="false">I366</f>
        <v>0</v>
      </c>
      <c r="N366" s="158" t="n">
        <f aca="false">IF(D366=1,M366*$D$539,0)</f>
        <v>0</v>
      </c>
      <c r="O366" s="158" t="n">
        <f aca="false">M366+N366</f>
        <v>0</v>
      </c>
      <c r="P366" s="150" t="n">
        <f aca="false">CHOOSE(E366,0,1,$N$339)</f>
        <v>0</v>
      </c>
      <c r="Q366" s="158" t="n">
        <f aca="false">N366*P366</f>
        <v>0</v>
      </c>
      <c r="R366" s="158" t="n">
        <f aca="false">O366-Q366</f>
        <v>0</v>
      </c>
      <c r="S366" s="159" t="s">
        <v>275</v>
      </c>
    </row>
    <row r="367" customFormat="false" ht="15" hidden="false" customHeight="false" outlineLevel="0" collapsed="false">
      <c r="C367" s="112" t="s">
        <v>302</v>
      </c>
      <c r="D367" s="152" t="n">
        <v>1</v>
      </c>
      <c r="E367" s="153" t="n">
        <v>1</v>
      </c>
      <c r="H367" s="154" t="s">
        <v>303</v>
      </c>
      <c r="I367" s="157" t="n">
        <v>0</v>
      </c>
      <c r="J367" s="155" t="s">
        <v>262</v>
      </c>
      <c r="K367" s="35" t="s">
        <v>28</v>
      </c>
      <c r="L367" s="157" t="n">
        <v>0</v>
      </c>
      <c r="M367" s="158" t="n">
        <f aca="false">I367*L367</f>
        <v>0</v>
      </c>
      <c r="N367" s="158" t="n">
        <f aca="false">IF(D367=1,M367*$D$539,0)</f>
        <v>0</v>
      </c>
      <c r="O367" s="158" t="n">
        <f aca="false">M367+N367</f>
        <v>0</v>
      </c>
      <c r="P367" s="150" t="n">
        <f aca="false">CHOOSE(E367,0,1,$N$339)</f>
        <v>0</v>
      </c>
      <c r="Q367" s="158" t="n">
        <f aca="false">N367*P367</f>
        <v>0</v>
      </c>
      <c r="R367" s="158" t="n">
        <f aca="false">O367-Q367</f>
        <v>0</v>
      </c>
      <c r="S367" s="159" t="s">
        <v>275</v>
      </c>
    </row>
    <row r="368" customFormat="false" ht="15" hidden="false" customHeight="false" outlineLevel="0" collapsed="false">
      <c r="C368" s="112" t="s">
        <v>304</v>
      </c>
      <c r="D368" s="152" t="n">
        <v>1</v>
      </c>
      <c r="E368" s="153" t="n">
        <v>1</v>
      </c>
      <c r="H368" s="154" t="s">
        <v>305</v>
      </c>
      <c r="I368" s="157" t="n">
        <v>0</v>
      </c>
      <c r="J368" s="155" t="s">
        <v>262</v>
      </c>
      <c r="K368" s="35" t="s">
        <v>28</v>
      </c>
      <c r="L368" s="157" t="n">
        <v>0</v>
      </c>
      <c r="M368" s="158" t="n">
        <f aca="false">I368*L368</f>
        <v>0</v>
      </c>
      <c r="N368" s="158" t="n">
        <f aca="false">IF(D368=1,M368*$D$539,0)</f>
        <v>0</v>
      </c>
      <c r="O368" s="158" t="n">
        <f aca="false">M368+N368</f>
        <v>0</v>
      </c>
      <c r="P368" s="150" t="n">
        <f aca="false">CHOOSE(E368,0,1,$N$339)</f>
        <v>0</v>
      </c>
      <c r="Q368" s="158" t="n">
        <f aca="false">N368*P368</f>
        <v>0</v>
      </c>
      <c r="R368" s="158" t="n">
        <f aca="false">O368-Q368</f>
        <v>0</v>
      </c>
      <c r="S368" s="159" t="s">
        <v>275</v>
      </c>
    </row>
    <row r="369" customFormat="false" ht="15" hidden="false" customHeight="false" outlineLevel="0" collapsed="false">
      <c r="C369" s="35" t="s">
        <v>306</v>
      </c>
      <c r="D369" s="152" t="n">
        <v>1</v>
      </c>
      <c r="E369" s="153" t="n">
        <v>3</v>
      </c>
      <c r="H369" s="154" t="s">
        <v>218</v>
      </c>
      <c r="I369" s="157" t="n">
        <v>30000</v>
      </c>
      <c r="M369" s="158" t="n">
        <f aca="false">I369</f>
        <v>30000</v>
      </c>
      <c r="N369" s="158" t="n">
        <f aca="false">IF(D369=1,M369*$D$539,0)</f>
        <v>3000</v>
      </c>
      <c r="O369" s="158" t="n">
        <f aca="false">M369+N369</f>
        <v>33000</v>
      </c>
      <c r="P369" s="150" t="n">
        <f aca="false">CHOOSE(E369,0,1,$N$339)</f>
        <v>0.718765754934009</v>
      </c>
      <c r="Q369" s="158" t="n">
        <f aca="false">N369*P369</f>
        <v>2156.29726480203</v>
      </c>
      <c r="R369" s="158" t="n">
        <f aca="false">O369-Q369</f>
        <v>30843.702735198</v>
      </c>
      <c r="S369" s="159" t="s">
        <v>275</v>
      </c>
    </row>
    <row r="370" customFormat="false" ht="15" hidden="false" customHeight="false" outlineLevel="0" collapsed="false">
      <c r="B370" s="168" t="s">
        <v>307</v>
      </c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70" t="n">
        <f aca="false">SUM(M366:M369)</f>
        <v>30000</v>
      </c>
      <c r="N370" s="170" t="n">
        <f aca="false">SUM(N366:N369)</f>
        <v>3000</v>
      </c>
      <c r="O370" s="170" t="n">
        <f aca="false">SUM(O366:O369)</f>
        <v>33000</v>
      </c>
      <c r="P370" s="171" t="n">
        <f aca="false">SUM(P366:P369)</f>
        <v>0.718765754934009</v>
      </c>
      <c r="Q370" s="170" t="n">
        <f aca="false">SUM(Q366:Q369)</f>
        <v>2156.29726480203</v>
      </c>
      <c r="R370" s="170" t="n">
        <f aca="false">SUM(R366:R369)</f>
        <v>30843.702735198</v>
      </c>
      <c r="S370" s="169"/>
    </row>
    <row r="371" customFormat="false" ht="15" hidden="false" customHeight="false" outlineLevel="0" collapsed="false">
      <c r="B371" s="139" t="s">
        <v>308</v>
      </c>
      <c r="C371" s="35" t="s">
        <v>309</v>
      </c>
      <c r="D371" s="152" t="n">
        <v>0</v>
      </c>
      <c r="E371" s="153" t="n">
        <v>1</v>
      </c>
      <c r="H371" s="154" t="s">
        <v>310</v>
      </c>
      <c r="I371" s="157" t="n">
        <v>993232</v>
      </c>
      <c r="J371" s="155" t="s">
        <v>262</v>
      </c>
      <c r="K371" s="35" t="s">
        <v>311</v>
      </c>
      <c r="L371" s="172" t="n">
        <v>0.0298</v>
      </c>
      <c r="M371" s="158" t="n">
        <f aca="false">I371*L371</f>
        <v>29598.3136</v>
      </c>
      <c r="N371" s="158" t="n">
        <f aca="false">IF(D371=1,M371*$D$539,0)</f>
        <v>0</v>
      </c>
      <c r="O371" s="158" t="n">
        <f aca="false">M371+N371</f>
        <v>29598.3136</v>
      </c>
      <c r="P371" s="150" t="n">
        <f aca="false">CHOOSE(E371,0,1,$N$339)</f>
        <v>0</v>
      </c>
      <c r="Q371" s="158" t="n">
        <f aca="false">N371*P371</f>
        <v>0</v>
      </c>
      <c r="R371" s="158" t="n">
        <f aca="false">O371-Q371</f>
        <v>29598.3136</v>
      </c>
      <c r="S371" s="159" t="s">
        <v>25</v>
      </c>
    </row>
    <row r="372" customFormat="false" ht="15" hidden="false" customHeight="false" outlineLevel="0" collapsed="false">
      <c r="C372" s="35" t="s">
        <v>312</v>
      </c>
      <c r="D372" s="152" t="n">
        <v>0</v>
      </c>
      <c r="E372" s="153" t="n">
        <v>1</v>
      </c>
      <c r="H372" s="154" t="s">
        <v>218</v>
      </c>
      <c r="I372" s="157" t="n">
        <v>0</v>
      </c>
      <c r="M372" s="158" t="n">
        <f aca="false">I372</f>
        <v>0</v>
      </c>
      <c r="N372" s="158" t="n">
        <f aca="false">IF(D372=1,M372*$D$539,0)</f>
        <v>0</v>
      </c>
      <c r="O372" s="158" t="n">
        <f aca="false">M372+N372</f>
        <v>0</v>
      </c>
      <c r="P372" s="150" t="n">
        <f aca="false">CHOOSE(E372,0,1,$N$339)</f>
        <v>0</v>
      </c>
      <c r="Q372" s="158" t="n">
        <f aca="false">N372*P372</f>
        <v>0</v>
      </c>
      <c r="R372" s="158" t="n">
        <f aca="false">O372-Q372</f>
        <v>0</v>
      </c>
      <c r="S372" s="159" t="s">
        <v>25</v>
      </c>
    </row>
    <row r="373" customFormat="false" ht="15" hidden="false" customHeight="false" outlineLevel="0" collapsed="false">
      <c r="B373" s="168" t="s">
        <v>313</v>
      </c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70" t="n">
        <f aca="false">SUM(M371:M372)</f>
        <v>29598.3136</v>
      </c>
      <c r="N373" s="170" t="n">
        <f aca="false">SUM(N371:N372)</f>
        <v>0</v>
      </c>
      <c r="O373" s="170" t="n">
        <f aca="false">SUM(O371:O372)</f>
        <v>29598.3136</v>
      </c>
      <c r="P373" s="171" t="n">
        <f aca="false">SUM(P371:P372)</f>
        <v>0</v>
      </c>
      <c r="Q373" s="170" t="n">
        <f aca="false">SUM(Q371:Q372)</f>
        <v>0</v>
      </c>
      <c r="R373" s="170" t="n">
        <f aca="false">SUM(R371:R372)</f>
        <v>29598.3136</v>
      </c>
      <c r="S373" s="169"/>
    </row>
    <row r="374" customFormat="false" ht="15" hidden="false" customHeight="false" outlineLevel="0" collapsed="false">
      <c r="B374" s="163" t="s">
        <v>314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64" t="n">
        <f aca="false">M347+M351+M365+M370+M373</f>
        <v>1360475.09656305</v>
      </c>
      <c r="N374" s="164" t="n">
        <f aca="false">N347+N351+N365+N370+N373</f>
        <v>106323.278296305</v>
      </c>
      <c r="O374" s="164" t="n">
        <f aca="false">O347+O351+O365+O370+O373</f>
        <v>1466798.37485935</v>
      </c>
      <c r="P374" s="1"/>
      <c r="Q374" s="164" t="n">
        <f aca="false">Q347+Q351+Q365+Q370+Q373</f>
        <v>78028.1317841252</v>
      </c>
      <c r="R374" s="164" t="n">
        <f aca="false">R347+R351+R365+R370+R373</f>
        <v>1388770.24307522</v>
      </c>
      <c r="S374" s="1"/>
    </row>
    <row r="375" customFormat="false" ht="15" hidden="false" customHeight="false" outlineLevel="0" collapsed="false">
      <c r="B375" s="110" t="s">
        <v>212</v>
      </c>
    </row>
    <row r="376" customFormat="false" ht="15" hidden="false" customHeight="false" outlineLevel="0" collapsed="false">
      <c r="B376" s="139" t="s">
        <v>212</v>
      </c>
      <c r="C376" s="112" t="s">
        <v>315</v>
      </c>
      <c r="D376" s="152" t="n">
        <v>0</v>
      </c>
      <c r="E376" s="153" t="n">
        <v>1</v>
      </c>
      <c r="H376" s="154" t="s">
        <v>218</v>
      </c>
      <c r="I376" s="158" t="n">
        <f aca="false">$E$545</f>
        <v>31542.554397</v>
      </c>
      <c r="K376" s="173" t="s">
        <v>316</v>
      </c>
      <c r="M376" s="158" t="n">
        <f aca="false">I376</f>
        <v>31542.554397</v>
      </c>
      <c r="N376" s="158" t="n">
        <f aca="false">IF(D376=1,M376*$D$539,0)</f>
        <v>0</v>
      </c>
      <c r="O376" s="158" t="n">
        <f aca="false">M376+N376</f>
        <v>31542.554397</v>
      </c>
      <c r="P376" s="150" t="n">
        <f aca="false">CHOOSE(E376,0,1,$N$339)</f>
        <v>0</v>
      </c>
      <c r="Q376" s="158" t="n">
        <f aca="false">N376*P376</f>
        <v>0</v>
      </c>
      <c r="R376" s="158" t="n">
        <f aca="false">O376-Q376</f>
        <v>31542.554397</v>
      </c>
      <c r="S376" s="167" t="s">
        <v>317</v>
      </c>
    </row>
    <row r="377" customFormat="false" ht="15" hidden="false" customHeight="false" outlineLevel="0" collapsed="false">
      <c r="C377" s="112" t="s">
        <v>318</v>
      </c>
      <c r="D377" s="152" t="n">
        <v>0</v>
      </c>
      <c r="E377" s="153" t="n">
        <v>1</v>
      </c>
      <c r="H377" s="154" t="s">
        <v>218</v>
      </c>
      <c r="I377" s="158" t="n">
        <f aca="false">$E$546</f>
        <v>19183.889359</v>
      </c>
      <c r="K377" s="173" t="s">
        <v>316</v>
      </c>
      <c r="M377" s="158" t="n">
        <f aca="false">I377</f>
        <v>19183.889359</v>
      </c>
      <c r="N377" s="158" t="n">
        <f aca="false">IF(D377=1,M377*$D$539,0)</f>
        <v>0</v>
      </c>
      <c r="O377" s="158" t="n">
        <f aca="false">M377+N377</f>
        <v>19183.889359</v>
      </c>
      <c r="P377" s="150" t="n">
        <f aca="false">CHOOSE(E377,0,1,$N$339)</f>
        <v>0</v>
      </c>
      <c r="Q377" s="158" t="n">
        <f aca="false">N377*P377</f>
        <v>0</v>
      </c>
      <c r="R377" s="158" t="n">
        <f aca="false">O377-Q377</f>
        <v>19183.889359</v>
      </c>
      <c r="S377" s="167" t="s">
        <v>317</v>
      </c>
    </row>
    <row r="378" customFormat="false" ht="15" hidden="false" customHeight="false" outlineLevel="0" collapsed="false">
      <c r="C378" s="112" t="s">
        <v>319</v>
      </c>
      <c r="D378" s="152" t="n">
        <v>0</v>
      </c>
      <c r="E378" s="153" t="n">
        <v>1</v>
      </c>
      <c r="H378" s="154" t="s">
        <v>218</v>
      </c>
      <c r="I378" s="158" t="n">
        <f aca="false">$E$547</f>
        <v>17629.919383</v>
      </c>
      <c r="K378" s="173" t="s">
        <v>316</v>
      </c>
      <c r="M378" s="158" t="n">
        <f aca="false">I378</f>
        <v>17629.919383</v>
      </c>
      <c r="N378" s="158" t="n">
        <f aca="false">IF(D378=1,M378*$D$539,0)</f>
        <v>0</v>
      </c>
      <c r="O378" s="158" t="n">
        <f aca="false">M378+N378</f>
        <v>17629.919383</v>
      </c>
      <c r="P378" s="150" t="n">
        <f aca="false">CHOOSE(E378,0,1,$N$339)</f>
        <v>0</v>
      </c>
      <c r="Q378" s="158" t="n">
        <f aca="false">N378*P378</f>
        <v>0</v>
      </c>
      <c r="R378" s="158" t="n">
        <f aca="false">O378-Q378</f>
        <v>17629.919383</v>
      </c>
      <c r="S378" s="167" t="s">
        <v>317</v>
      </c>
    </row>
    <row r="379" customFormat="false" ht="15" hidden="false" customHeight="false" outlineLevel="0" collapsed="false">
      <c r="C379" s="112" t="s">
        <v>320</v>
      </c>
      <c r="D379" s="152" t="n">
        <v>0</v>
      </c>
      <c r="E379" s="153" t="n">
        <v>1</v>
      </c>
      <c r="H379" s="154" t="s">
        <v>218</v>
      </c>
      <c r="I379" s="158" t="n">
        <f aca="false">$E$548</f>
        <v>1080.443755</v>
      </c>
      <c r="K379" s="173" t="s">
        <v>316</v>
      </c>
      <c r="M379" s="158" t="n">
        <f aca="false">I379</f>
        <v>1080.443755</v>
      </c>
      <c r="N379" s="158" t="n">
        <f aca="false">IF(D379=1,M379*$D$539,0)</f>
        <v>0</v>
      </c>
      <c r="O379" s="158" t="n">
        <f aca="false">M379+N379</f>
        <v>1080.443755</v>
      </c>
      <c r="P379" s="150" t="n">
        <f aca="false">CHOOSE(E379,0,1,$N$339)</f>
        <v>0</v>
      </c>
      <c r="Q379" s="158" t="n">
        <f aca="false">N379*P379</f>
        <v>0</v>
      </c>
      <c r="R379" s="158" t="n">
        <f aca="false">O379-Q379</f>
        <v>1080.443755</v>
      </c>
      <c r="S379" s="167" t="s">
        <v>317</v>
      </c>
    </row>
    <row r="380" customFormat="false" ht="15" hidden="false" customHeight="false" outlineLevel="0" collapsed="false">
      <c r="C380" s="112" t="s">
        <v>321</v>
      </c>
      <c r="D380" s="152" t="n">
        <v>0</v>
      </c>
      <c r="E380" s="153" t="n">
        <v>1</v>
      </c>
      <c r="H380" s="154" t="s">
        <v>218</v>
      </c>
      <c r="I380" s="158" t="n">
        <f aca="false">$E$549</f>
        <v>1560.68097</v>
      </c>
      <c r="K380" s="173" t="s">
        <v>316</v>
      </c>
      <c r="M380" s="158" t="n">
        <f aca="false">I380</f>
        <v>1560.68097</v>
      </c>
      <c r="N380" s="158" t="n">
        <f aca="false">IF(D380=1,M380*$D$539,0)</f>
        <v>0</v>
      </c>
      <c r="O380" s="158" t="n">
        <f aca="false">M380+N380</f>
        <v>1560.68097</v>
      </c>
      <c r="P380" s="150" t="n">
        <f aca="false">CHOOSE(E380,0,1,$N$339)</f>
        <v>0</v>
      </c>
      <c r="Q380" s="158" t="n">
        <f aca="false">N380*P380</f>
        <v>0</v>
      </c>
      <c r="R380" s="158" t="n">
        <f aca="false">O380-Q380</f>
        <v>1560.68097</v>
      </c>
      <c r="S380" s="167" t="s">
        <v>317</v>
      </c>
    </row>
    <row r="381" customFormat="false" ht="15" hidden="false" customHeight="false" outlineLevel="0" collapsed="false">
      <c r="C381" s="112" t="s">
        <v>322</v>
      </c>
      <c r="D381" s="152" t="n">
        <v>0</v>
      </c>
      <c r="E381" s="153" t="n">
        <v>1</v>
      </c>
      <c r="H381" s="154" t="s">
        <v>218</v>
      </c>
      <c r="I381" s="158" t="n">
        <f aca="false">$E$550</f>
        <v>13013.059032</v>
      </c>
      <c r="K381" s="173" t="s">
        <v>316</v>
      </c>
      <c r="M381" s="158" t="n">
        <f aca="false">I381</f>
        <v>13013.059032</v>
      </c>
      <c r="N381" s="158" t="n">
        <f aca="false">IF(D381=1,M381*$D$539,0)</f>
        <v>0</v>
      </c>
      <c r="O381" s="158" t="n">
        <f aca="false">M381+N381</f>
        <v>13013.059032</v>
      </c>
      <c r="P381" s="150" t="n">
        <f aca="false">CHOOSE(E381,0,1,$N$339)</f>
        <v>0</v>
      </c>
      <c r="Q381" s="158" t="n">
        <f aca="false">N381*P381</f>
        <v>0</v>
      </c>
      <c r="R381" s="158" t="n">
        <f aca="false">O381-Q381</f>
        <v>13013.059032</v>
      </c>
      <c r="S381" s="167" t="s">
        <v>317</v>
      </c>
    </row>
    <row r="382" customFormat="false" ht="15" hidden="false" customHeight="false" outlineLevel="0" collapsed="false">
      <c r="C382" s="112" t="s">
        <v>323</v>
      </c>
      <c r="D382" s="152" t="n">
        <v>0</v>
      </c>
      <c r="E382" s="153" t="n">
        <v>1</v>
      </c>
      <c r="H382" s="154" t="s">
        <v>218</v>
      </c>
      <c r="I382" s="158" t="n">
        <f aca="false">$E$551</f>
        <v>1641.505341</v>
      </c>
      <c r="K382" s="173" t="s">
        <v>316</v>
      </c>
      <c r="M382" s="158" t="n">
        <f aca="false">I382</f>
        <v>1641.505341</v>
      </c>
      <c r="N382" s="158" t="n">
        <f aca="false">IF(D382=1,M382*$D$539,0)</f>
        <v>0</v>
      </c>
      <c r="O382" s="158" t="n">
        <f aca="false">M382+N382</f>
        <v>1641.505341</v>
      </c>
      <c r="P382" s="150" t="n">
        <f aca="false">CHOOSE(E382,0,1,$N$339)</f>
        <v>0</v>
      </c>
      <c r="Q382" s="158" t="n">
        <f aca="false">N382*P382</f>
        <v>0</v>
      </c>
      <c r="R382" s="158" t="n">
        <f aca="false">O382-Q382</f>
        <v>1641.505341</v>
      </c>
      <c r="S382" s="167" t="s">
        <v>317</v>
      </c>
    </row>
    <row r="383" customFormat="false" ht="15" hidden="false" customHeight="false" outlineLevel="0" collapsed="false">
      <c r="C383" s="112" t="s">
        <v>324</v>
      </c>
      <c r="D383" s="152" t="n">
        <v>0</v>
      </c>
      <c r="E383" s="153" t="n">
        <v>1</v>
      </c>
      <c r="H383" s="154" t="s">
        <v>218</v>
      </c>
      <c r="I383" s="158" t="n">
        <f aca="false">$E$552</f>
        <v>1642.654854</v>
      </c>
      <c r="K383" s="173" t="s">
        <v>316</v>
      </c>
      <c r="M383" s="158" t="n">
        <f aca="false">I383</f>
        <v>1642.654854</v>
      </c>
      <c r="N383" s="158" t="n">
        <f aca="false">IF(D383=1,M383*$D$539,0)</f>
        <v>0</v>
      </c>
      <c r="O383" s="158" t="n">
        <f aca="false">M383+N383</f>
        <v>1642.654854</v>
      </c>
      <c r="P383" s="150" t="n">
        <f aca="false">CHOOSE(E383,0,1,$N$339)</f>
        <v>0</v>
      </c>
      <c r="Q383" s="158" t="n">
        <f aca="false">N383*P383</f>
        <v>0</v>
      </c>
      <c r="R383" s="158" t="n">
        <f aca="false">O383-Q383</f>
        <v>1642.654854</v>
      </c>
      <c r="S383" s="167" t="s">
        <v>317</v>
      </c>
    </row>
    <row r="384" customFormat="false" ht="15" hidden="false" customHeight="false" outlineLevel="0" collapsed="false">
      <c r="C384" s="112" t="s">
        <v>325</v>
      </c>
      <c r="D384" s="152" t="n">
        <v>0</v>
      </c>
      <c r="E384" s="153" t="n">
        <v>1</v>
      </c>
      <c r="H384" s="154" t="s">
        <v>218</v>
      </c>
      <c r="I384" s="158" t="n">
        <f aca="false">$E$553</f>
        <v>8210.975244</v>
      </c>
      <c r="K384" s="173" t="s">
        <v>316</v>
      </c>
      <c r="M384" s="158" t="n">
        <f aca="false">I384</f>
        <v>8210.975244</v>
      </c>
      <c r="N384" s="158" t="n">
        <f aca="false">IF(D384=1,M384*$D$539,0)</f>
        <v>0</v>
      </c>
      <c r="O384" s="158" t="n">
        <f aca="false">M384+N384</f>
        <v>8210.975244</v>
      </c>
      <c r="P384" s="150" t="n">
        <f aca="false">CHOOSE(E384,0,1,$N$339)</f>
        <v>0</v>
      </c>
      <c r="Q384" s="158" t="n">
        <f aca="false">N384*P384</f>
        <v>0</v>
      </c>
      <c r="R384" s="158" t="n">
        <f aca="false">O384-Q384</f>
        <v>8210.975244</v>
      </c>
      <c r="S384" s="167" t="s">
        <v>317</v>
      </c>
    </row>
    <row r="385" customFormat="false" ht="15" hidden="false" customHeight="false" outlineLevel="0" collapsed="false">
      <c r="B385" s="163" t="s">
        <v>326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64" t="n">
        <f aca="false">SUM(M376:M384)</f>
        <v>95505.682335</v>
      </c>
      <c r="N385" s="164" t="n">
        <f aca="false">SUM(N376:N384)</f>
        <v>0</v>
      </c>
      <c r="O385" s="164" t="n">
        <f aca="false">SUM(O376:O384)</f>
        <v>95505.682335</v>
      </c>
      <c r="P385" s="165" t="n">
        <f aca="false">SUM(P376:P384)</f>
        <v>0</v>
      </c>
      <c r="Q385" s="164" t="n">
        <f aca="false">SUM(Q376:Q384)</f>
        <v>0</v>
      </c>
      <c r="R385" s="164" t="n">
        <f aca="false">SUM(R376:R384)</f>
        <v>95505.682335</v>
      </c>
      <c r="S385" s="1"/>
    </row>
    <row r="386" customFormat="false" ht="15" hidden="false" customHeight="false" outlineLevel="0" collapsed="false">
      <c r="B386" s="110" t="s">
        <v>238</v>
      </c>
    </row>
    <row r="387" customFormat="false" ht="15" hidden="false" customHeight="false" outlineLevel="0" collapsed="false">
      <c r="B387" s="139" t="s">
        <v>238</v>
      </c>
      <c r="C387" s="35" t="s">
        <v>327</v>
      </c>
      <c r="D387" s="152" t="n">
        <v>1</v>
      </c>
      <c r="E387" s="153" t="n">
        <v>3</v>
      </c>
      <c r="H387" s="154" t="s">
        <v>328</v>
      </c>
      <c r="I387" s="157" t="n">
        <v>1000</v>
      </c>
      <c r="J387" s="155" t="s">
        <v>262</v>
      </c>
      <c r="K387" s="35" t="s">
        <v>329</v>
      </c>
      <c r="L387" s="174" t="n">
        <f aca="false">$E$25</f>
        <v>5</v>
      </c>
      <c r="M387" s="158" t="n">
        <f aca="false">I387*L387</f>
        <v>5000</v>
      </c>
      <c r="N387" s="158" t="n">
        <f aca="false">IF(D387=1,M387*$D$539,0)</f>
        <v>500</v>
      </c>
      <c r="O387" s="158" t="n">
        <f aca="false">M387+N387</f>
        <v>5500</v>
      </c>
      <c r="P387" s="150" t="n">
        <f aca="false">CHOOSE(E387,0,1,$N$339)</f>
        <v>0.718765754934009</v>
      </c>
      <c r="Q387" s="158" t="n">
        <f aca="false">N387*P387</f>
        <v>359.382877467004</v>
      </c>
      <c r="R387" s="158" t="n">
        <f aca="false">O387-Q387</f>
        <v>5140.617122533</v>
      </c>
      <c r="S387" s="159" t="s">
        <v>330</v>
      </c>
    </row>
    <row r="388" customFormat="false" ht="15" hidden="false" customHeight="false" outlineLevel="0" collapsed="false">
      <c r="C388" s="35" t="s">
        <v>331</v>
      </c>
      <c r="D388" s="152" t="n">
        <v>1</v>
      </c>
      <c r="E388" s="153" t="n">
        <v>3</v>
      </c>
      <c r="H388" s="154" t="s">
        <v>332</v>
      </c>
      <c r="I388" s="158" t="n">
        <f aca="false">$M$342+$M$343</f>
        <v>232320</v>
      </c>
      <c r="J388" s="155" t="s">
        <v>262</v>
      </c>
      <c r="K388" s="35" t="s">
        <v>267</v>
      </c>
      <c r="L388" s="160" t="n">
        <v>0.02</v>
      </c>
      <c r="M388" s="158" t="n">
        <f aca="false">I388*L388</f>
        <v>4646.4</v>
      </c>
      <c r="N388" s="158" t="n">
        <f aca="false">IF(D388=1,M388*$D$539,0)</f>
        <v>464.64</v>
      </c>
      <c r="O388" s="158" t="n">
        <f aca="false">M388+N388</f>
        <v>5111.04</v>
      </c>
      <c r="P388" s="150" t="n">
        <f aca="false">CHOOSE(E388,0,1,$N$339)</f>
        <v>0.718765754934009</v>
      </c>
      <c r="Q388" s="158" t="n">
        <f aca="false">N388*P388</f>
        <v>333.967320372538</v>
      </c>
      <c r="R388" s="158" t="n">
        <f aca="false">O388-Q388</f>
        <v>4777.07267962746</v>
      </c>
      <c r="S388" s="159" t="s">
        <v>23</v>
      </c>
    </row>
    <row r="389" customFormat="false" ht="15" hidden="false" customHeight="false" outlineLevel="0" collapsed="false">
      <c r="C389" s="35" t="s">
        <v>333</v>
      </c>
      <c r="D389" s="152" t="n">
        <v>1</v>
      </c>
      <c r="E389" s="153" t="n">
        <v>3</v>
      </c>
      <c r="H389" s="154" t="s">
        <v>328</v>
      </c>
      <c r="I389" s="157" t="n">
        <v>20</v>
      </c>
      <c r="J389" s="155" t="s">
        <v>262</v>
      </c>
      <c r="K389" s="35" t="s">
        <v>329</v>
      </c>
      <c r="L389" s="174" t="n">
        <f aca="false">$E$25</f>
        <v>5</v>
      </c>
      <c r="M389" s="158" t="n">
        <f aca="false">I389*L389</f>
        <v>100</v>
      </c>
      <c r="N389" s="158" t="n">
        <f aca="false">IF(D389=1,M389*$D$539,0)</f>
        <v>10</v>
      </c>
      <c r="O389" s="158" t="n">
        <f aca="false">M389+N389</f>
        <v>110</v>
      </c>
      <c r="P389" s="150" t="n">
        <f aca="false">CHOOSE(E389,0,1,$N$339)</f>
        <v>0.718765754934009</v>
      </c>
      <c r="Q389" s="158" t="n">
        <f aca="false">N389*P389</f>
        <v>7.18765754934009</v>
      </c>
      <c r="R389" s="158" t="n">
        <f aca="false">O389-Q389</f>
        <v>102.81234245066</v>
      </c>
      <c r="S389" s="159" t="s">
        <v>330</v>
      </c>
    </row>
    <row r="390" customFormat="false" ht="15" hidden="false" customHeight="false" outlineLevel="0" collapsed="false">
      <c r="C390" s="35" t="s">
        <v>334</v>
      </c>
      <c r="D390" s="152" t="n">
        <v>1</v>
      </c>
      <c r="E390" s="153" t="n">
        <v>3</v>
      </c>
      <c r="H390" s="154" t="s">
        <v>328</v>
      </c>
      <c r="I390" s="157" t="n">
        <v>30</v>
      </c>
      <c r="J390" s="155" t="s">
        <v>262</v>
      </c>
      <c r="K390" s="35" t="s">
        <v>329</v>
      </c>
      <c r="L390" s="174" t="n">
        <f aca="false">$E$25</f>
        <v>5</v>
      </c>
      <c r="M390" s="158" t="n">
        <f aca="false">I390*L390</f>
        <v>150</v>
      </c>
      <c r="N390" s="158" t="n">
        <f aca="false">IF(D390=1,M390*$D$539,0)</f>
        <v>15</v>
      </c>
      <c r="O390" s="158" t="n">
        <f aca="false">M390+N390</f>
        <v>165</v>
      </c>
      <c r="P390" s="150" t="n">
        <f aca="false">CHOOSE(E390,0,1,$N$339)</f>
        <v>0.718765754934009</v>
      </c>
      <c r="Q390" s="158" t="n">
        <f aca="false">N390*P390</f>
        <v>10.7814863240101</v>
      </c>
      <c r="R390" s="158" t="n">
        <f aca="false">O390-Q390</f>
        <v>154.21851367599</v>
      </c>
      <c r="S390" s="159" t="s">
        <v>330</v>
      </c>
    </row>
    <row r="391" customFormat="false" ht="15" hidden="false" customHeight="false" outlineLevel="0" collapsed="false">
      <c r="C391" s="35" t="s">
        <v>335</v>
      </c>
      <c r="D391" s="152" t="n">
        <v>1</v>
      </c>
      <c r="E391" s="153" t="n">
        <v>3</v>
      </c>
      <c r="H391" s="154" t="s">
        <v>328</v>
      </c>
      <c r="I391" s="157" t="n">
        <v>30</v>
      </c>
      <c r="J391" s="155" t="s">
        <v>262</v>
      </c>
      <c r="K391" s="35" t="s">
        <v>336</v>
      </c>
      <c r="L391" s="174" t="n">
        <f aca="false">$E$25</f>
        <v>5</v>
      </c>
      <c r="M391" s="158" t="n">
        <f aca="false">I391*L391</f>
        <v>150</v>
      </c>
      <c r="N391" s="158" t="n">
        <f aca="false">IF(D391=1,M391*$D$539,0)</f>
        <v>15</v>
      </c>
      <c r="O391" s="158" t="n">
        <f aca="false">M391+N391</f>
        <v>165</v>
      </c>
      <c r="P391" s="150" t="n">
        <f aca="false">CHOOSE(E391,0,1,$N$339)</f>
        <v>0.718765754934009</v>
      </c>
      <c r="Q391" s="158" t="n">
        <f aca="false">N391*P391</f>
        <v>10.7814863240101</v>
      </c>
      <c r="R391" s="158" t="n">
        <f aca="false">O391-Q391</f>
        <v>154.21851367599</v>
      </c>
      <c r="S391" s="159" t="s">
        <v>330</v>
      </c>
    </row>
    <row r="392" customFormat="false" ht="15" hidden="false" customHeight="false" outlineLevel="0" collapsed="false">
      <c r="C392" s="35" t="s">
        <v>337</v>
      </c>
      <c r="D392" s="152" t="n">
        <v>1</v>
      </c>
      <c r="E392" s="153" t="n">
        <v>3</v>
      </c>
      <c r="H392" s="154" t="s">
        <v>328</v>
      </c>
      <c r="I392" s="157" t="n">
        <v>5</v>
      </c>
      <c r="J392" s="155" t="s">
        <v>262</v>
      </c>
      <c r="K392" s="35" t="s">
        <v>329</v>
      </c>
      <c r="L392" s="174" t="n">
        <f aca="false">$E$25</f>
        <v>5</v>
      </c>
      <c r="M392" s="158" t="n">
        <f aca="false">I392*L392</f>
        <v>25</v>
      </c>
      <c r="N392" s="158" t="n">
        <f aca="false">IF(D392=1,M392*$D$539,0)</f>
        <v>2.5</v>
      </c>
      <c r="O392" s="158" t="n">
        <f aca="false">M392+N392</f>
        <v>27.5</v>
      </c>
      <c r="P392" s="150" t="n">
        <f aca="false">CHOOSE(E392,0,1,$N$339)</f>
        <v>0.718765754934009</v>
      </c>
      <c r="Q392" s="158" t="n">
        <f aca="false">N392*P392</f>
        <v>1.79691438733502</v>
      </c>
      <c r="R392" s="158" t="n">
        <f aca="false">O392-Q392</f>
        <v>25.703085612665</v>
      </c>
      <c r="S392" s="159" t="s">
        <v>330</v>
      </c>
    </row>
    <row r="393" customFormat="false" ht="15" hidden="false" customHeight="false" outlineLevel="0" collapsed="false">
      <c r="C393" s="35" t="s">
        <v>338</v>
      </c>
      <c r="D393" s="152" t="n">
        <v>0</v>
      </c>
      <c r="E393" s="153" t="n">
        <v>1</v>
      </c>
      <c r="H393" s="154" t="s">
        <v>339</v>
      </c>
      <c r="I393" s="158" t="n">
        <f aca="false">$E$544</f>
        <v>287378.385967</v>
      </c>
      <c r="J393" s="155" t="s">
        <v>262</v>
      </c>
      <c r="K393" s="35" t="s">
        <v>267</v>
      </c>
      <c r="L393" s="172" t="n">
        <v>0.005</v>
      </c>
      <c r="M393" s="158" t="n">
        <f aca="false">I393*L393</f>
        <v>1436.891929835</v>
      </c>
      <c r="N393" s="158" t="n">
        <f aca="false">IF(D393=1,M393*$D$539,0)</f>
        <v>0</v>
      </c>
      <c r="O393" s="158" t="n">
        <f aca="false">M393+N393</f>
        <v>1436.891929835</v>
      </c>
      <c r="P393" s="150" t="n">
        <f aca="false">CHOOSE(E393,0,1,$N$339)</f>
        <v>0</v>
      </c>
      <c r="Q393" s="158" t="n">
        <f aca="false">N393*P393</f>
        <v>0</v>
      </c>
      <c r="R393" s="158" t="n">
        <f aca="false">O393-Q393</f>
        <v>1436.891929835</v>
      </c>
      <c r="S393" s="159" t="s">
        <v>340</v>
      </c>
    </row>
    <row r="394" customFormat="false" ht="15" hidden="false" customHeight="false" outlineLevel="0" collapsed="false">
      <c r="C394" s="35" t="s">
        <v>341</v>
      </c>
      <c r="D394" s="152" t="n">
        <v>1</v>
      </c>
      <c r="E394" s="153" t="n">
        <v>3</v>
      </c>
      <c r="H394" s="154" t="s">
        <v>218</v>
      </c>
      <c r="I394" s="157" t="n">
        <v>300</v>
      </c>
      <c r="M394" s="158" t="n">
        <f aca="false">I394</f>
        <v>300</v>
      </c>
      <c r="N394" s="158" t="n">
        <f aca="false">IF(D394=1,M394*$D$539,0)</f>
        <v>30</v>
      </c>
      <c r="O394" s="158" t="n">
        <f aca="false">M394+N394</f>
        <v>330</v>
      </c>
      <c r="P394" s="150" t="n">
        <f aca="false">CHOOSE(E394,0,1,$N$339)</f>
        <v>0.718765754934009</v>
      </c>
      <c r="Q394" s="158" t="n">
        <f aca="false">N394*P394</f>
        <v>21.5629726480203</v>
      </c>
      <c r="R394" s="158" t="n">
        <f aca="false">O394-Q394</f>
        <v>308.43702735198</v>
      </c>
      <c r="S394" s="159" t="s">
        <v>340</v>
      </c>
    </row>
    <row r="395" customFormat="false" ht="15" hidden="false" customHeight="false" outlineLevel="0" collapsed="false">
      <c r="C395" s="35" t="s">
        <v>215</v>
      </c>
      <c r="D395" s="152" t="n">
        <v>0</v>
      </c>
      <c r="E395" s="153" t="n">
        <v>1</v>
      </c>
      <c r="H395" s="154" t="s">
        <v>218</v>
      </c>
      <c r="I395" s="157" t="n">
        <v>200</v>
      </c>
      <c r="M395" s="158" t="n">
        <f aca="false">I395</f>
        <v>200</v>
      </c>
      <c r="N395" s="158" t="n">
        <f aca="false">IF(D395=1,M395*$D$539,0)</f>
        <v>0</v>
      </c>
      <c r="O395" s="158" t="n">
        <f aca="false">M395+N395</f>
        <v>200</v>
      </c>
      <c r="P395" s="150" t="n">
        <f aca="false">CHOOSE(E395,0,1,$N$339)</f>
        <v>0</v>
      </c>
      <c r="Q395" s="158" t="n">
        <f aca="false">N395*P395</f>
        <v>0</v>
      </c>
      <c r="R395" s="158" t="n">
        <f aca="false">O395-Q395</f>
        <v>200</v>
      </c>
      <c r="S395" s="159" t="s">
        <v>340</v>
      </c>
    </row>
    <row r="396" customFormat="false" ht="15" hidden="false" customHeight="false" outlineLevel="0" collapsed="false">
      <c r="B396" s="163" t="s">
        <v>342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64" t="n">
        <f aca="false">SUM(M387:M395)</f>
        <v>12008.291929835</v>
      </c>
      <c r="N396" s="164" t="n">
        <f aca="false">SUM(N387:N395)</f>
        <v>1037.14</v>
      </c>
      <c r="O396" s="164" t="n">
        <f aca="false">SUM(O387:O395)</f>
        <v>13045.431929835</v>
      </c>
      <c r="P396" s="165" t="n">
        <f aca="false">SUM(P387:P395)</f>
        <v>5.03136028453806</v>
      </c>
      <c r="Q396" s="164" t="n">
        <f aca="false">SUM(Q387:Q395)</f>
        <v>745.460715072258</v>
      </c>
      <c r="R396" s="164" t="n">
        <f aca="false">SUM(R387:R395)</f>
        <v>12299.9712147627</v>
      </c>
      <c r="S396" s="1"/>
    </row>
    <row r="397" customFormat="false" ht="15" hidden="false" customHeight="false" outlineLevel="0" collapsed="false">
      <c r="B397" s="163" t="s">
        <v>343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64" t="n">
        <f aca="false">M374+M385+M396</f>
        <v>1467989.07082788</v>
      </c>
      <c r="N397" s="164" t="n">
        <f aca="false">N374+N385+N396</f>
        <v>107360.418296305</v>
      </c>
      <c r="O397" s="164" t="n">
        <f aca="false">O374+O385+O396</f>
        <v>1575349.48912419</v>
      </c>
      <c r="P397" s="1"/>
      <c r="Q397" s="164" t="n">
        <f aca="false">Q374+Q385+Q396</f>
        <v>78773.5924991974</v>
      </c>
      <c r="R397" s="164" t="n">
        <f aca="false">R374+R385+R396</f>
        <v>1496575.89662499</v>
      </c>
      <c r="S397" s="1"/>
    </row>
    <row r="400" customFormat="false" ht="15" hidden="false" customHeight="false" outlineLevel="0" collapsed="false">
      <c r="A400" s="11" t="s">
        <v>344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15" hidden="false" customHeight="false" outlineLevel="0" collapsed="false">
      <c r="D401" s="149" t="s">
        <v>242</v>
      </c>
      <c r="E401" s="149" t="s">
        <v>243</v>
      </c>
    </row>
    <row r="402" customFormat="false" ht="15" hidden="false" customHeight="false" outlineLevel="0" collapsed="false">
      <c r="B402" s="151" t="s">
        <v>63</v>
      </c>
      <c r="C402" s="151" t="s">
        <v>345</v>
      </c>
      <c r="D402" s="9" t="s">
        <v>246</v>
      </c>
      <c r="E402" s="9" t="s">
        <v>247</v>
      </c>
      <c r="F402" s="151" t="s">
        <v>346</v>
      </c>
      <c r="G402" s="151" t="s">
        <v>267</v>
      </c>
      <c r="H402" s="151" t="s">
        <v>250</v>
      </c>
      <c r="I402" s="9"/>
      <c r="J402" s="9"/>
      <c r="K402" s="9"/>
      <c r="L402" s="9"/>
      <c r="M402" s="151" t="s">
        <v>253</v>
      </c>
      <c r="N402" s="9" t="s">
        <v>254</v>
      </c>
      <c r="O402" s="151" t="s">
        <v>255</v>
      </c>
      <c r="P402" s="9" t="s">
        <v>256</v>
      </c>
      <c r="Q402" s="9" t="s">
        <v>257</v>
      </c>
      <c r="R402" s="151" t="s">
        <v>258</v>
      </c>
    </row>
    <row r="403" customFormat="false" ht="15" hidden="false" customHeight="false" outlineLevel="0" collapsed="false">
      <c r="B403" s="139" t="s">
        <v>238</v>
      </c>
      <c r="C403" s="35" t="s">
        <v>327</v>
      </c>
      <c r="D403" s="3" t="n">
        <v>1</v>
      </c>
      <c r="E403" s="3" t="n">
        <v>3</v>
      </c>
      <c r="F403" s="157" t="n">
        <v>1200</v>
      </c>
      <c r="H403" s="35" t="s">
        <v>347</v>
      </c>
      <c r="M403" s="158" t="n">
        <f aca="false">F403*$E$26</f>
        <v>6300</v>
      </c>
      <c r="N403" s="158" t="n">
        <f aca="false">IF(D403=1,M403*$D$539,0)</f>
        <v>630</v>
      </c>
      <c r="O403" s="158" t="n">
        <f aca="false">M403+N403</f>
        <v>6930</v>
      </c>
      <c r="P403" s="150" t="n">
        <f aca="false">CHOOSE(E403,0,1,$N$339)</f>
        <v>0.718765754934009</v>
      </c>
      <c r="Q403" s="158" t="n">
        <f aca="false">N403*P403</f>
        <v>452.822425608425</v>
      </c>
      <c r="R403" s="158" t="n">
        <f aca="false">O403-Q403</f>
        <v>6477.17757439158</v>
      </c>
    </row>
    <row r="404" customFormat="false" ht="15" hidden="false" customHeight="false" outlineLevel="0" collapsed="false">
      <c r="C404" s="35" t="s">
        <v>348</v>
      </c>
      <c r="D404" s="3" t="n">
        <v>1</v>
      </c>
      <c r="E404" s="3" t="n">
        <v>3</v>
      </c>
      <c r="F404" s="175" t="n">
        <f aca="false">$E$268</f>
        <v>1824235.87564974</v>
      </c>
      <c r="G404" s="160" t="n">
        <v>0.005</v>
      </c>
      <c r="H404" s="35" t="s">
        <v>349</v>
      </c>
      <c r="M404" s="158" t="n">
        <f aca="false">F404*G404</f>
        <v>9121.17937824872</v>
      </c>
      <c r="N404" s="158" t="n">
        <f aca="false">IF(D404=1,M404*$D$539,0)</f>
        <v>912.117937824872</v>
      </c>
      <c r="O404" s="158" t="n">
        <f aca="false">M404+N404</f>
        <v>10033.2973160736</v>
      </c>
      <c r="P404" s="150" t="n">
        <f aca="false">CHOOSE(E404,0,1,$N$339)</f>
        <v>0.718765754934009</v>
      </c>
      <c r="Q404" s="158" t="n">
        <f aca="false">N404*P404</f>
        <v>655.599138169545</v>
      </c>
      <c r="R404" s="158" t="n">
        <f aca="false">O404-Q404</f>
        <v>9377.69817790405</v>
      </c>
    </row>
    <row r="405" customFormat="false" ht="15" hidden="false" customHeight="false" outlineLevel="0" collapsed="false">
      <c r="C405" s="35" t="s">
        <v>333</v>
      </c>
      <c r="D405" s="3" t="n">
        <v>1</v>
      </c>
      <c r="E405" s="3" t="n">
        <v>3</v>
      </c>
      <c r="F405" s="157" t="n">
        <v>20</v>
      </c>
      <c r="H405" s="35" t="s">
        <v>347</v>
      </c>
      <c r="M405" s="158" t="n">
        <f aca="false">F405*$E$26</f>
        <v>105</v>
      </c>
      <c r="N405" s="158" t="n">
        <f aca="false">IF(D405=1,M405*$D$539,0)</f>
        <v>10.5</v>
      </c>
      <c r="O405" s="158" t="n">
        <f aca="false">M405+N405</f>
        <v>115.5</v>
      </c>
      <c r="P405" s="150" t="n">
        <f aca="false">CHOOSE(E405,0,1,$N$339)</f>
        <v>0.718765754934009</v>
      </c>
      <c r="Q405" s="158" t="n">
        <f aca="false">N405*P405</f>
        <v>7.54704042680709</v>
      </c>
      <c r="R405" s="158" t="n">
        <f aca="false">O405-Q405</f>
        <v>107.952959573193</v>
      </c>
    </row>
    <row r="406" customFormat="false" ht="15" hidden="false" customHeight="false" outlineLevel="0" collapsed="false">
      <c r="C406" s="35" t="s">
        <v>334</v>
      </c>
      <c r="D406" s="3" t="n">
        <v>1</v>
      </c>
      <c r="E406" s="3" t="n">
        <v>3</v>
      </c>
      <c r="F406" s="157" t="n">
        <v>30</v>
      </c>
      <c r="H406" s="35" t="s">
        <v>347</v>
      </c>
      <c r="M406" s="158" t="n">
        <f aca="false">F406*$E$26</f>
        <v>157.5</v>
      </c>
      <c r="N406" s="158" t="n">
        <f aca="false">IF(D406=1,M406*$D$539,0)</f>
        <v>15.75</v>
      </c>
      <c r="O406" s="158" t="n">
        <f aca="false">M406+N406</f>
        <v>173.25</v>
      </c>
      <c r="P406" s="150" t="n">
        <f aca="false">CHOOSE(E406,0,1,$N$339)</f>
        <v>0.718765754934009</v>
      </c>
      <c r="Q406" s="158" t="n">
        <f aca="false">N406*P406</f>
        <v>11.3205606402106</v>
      </c>
      <c r="R406" s="158" t="n">
        <f aca="false">O406-Q406</f>
        <v>161.929439359789</v>
      </c>
    </row>
    <row r="407" customFormat="false" ht="15" hidden="false" customHeight="false" outlineLevel="0" collapsed="false">
      <c r="C407" s="35" t="s">
        <v>335</v>
      </c>
      <c r="D407" s="3" t="n">
        <v>1</v>
      </c>
      <c r="E407" s="3" t="n">
        <v>3</v>
      </c>
      <c r="F407" s="157" t="n">
        <v>30</v>
      </c>
      <c r="H407" s="35" t="s">
        <v>347</v>
      </c>
      <c r="M407" s="158" t="n">
        <f aca="false">F407*$E$26</f>
        <v>157.5</v>
      </c>
      <c r="N407" s="158" t="n">
        <f aca="false">IF(D407=1,M407*$D$539,0)</f>
        <v>15.75</v>
      </c>
      <c r="O407" s="158" t="n">
        <f aca="false">M407+N407</f>
        <v>173.25</v>
      </c>
      <c r="P407" s="150" t="n">
        <f aca="false">CHOOSE(E407,0,1,$N$339)</f>
        <v>0.718765754934009</v>
      </c>
      <c r="Q407" s="158" t="n">
        <f aca="false">N407*P407</f>
        <v>11.3205606402106</v>
      </c>
      <c r="R407" s="158" t="n">
        <f aca="false">O407-Q407</f>
        <v>161.929439359789</v>
      </c>
    </row>
    <row r="408" customFormat="false" ht="15" hidden="false" customHeight="false" outlineLevel="0" collapsed="false">
      <c r="C408" s="35" t="s">
        <v>337</v>
      </c>
      <c r="D408" s="3" t="n">
        <v>1</v>
      </c>
      <c r="E408" s="3" t="n">
        <v>3</v>
      </c>
      <c r="F408" s="157" t="n">
        <v>5</v>
      </c>
      <c r="H408" s="35" t="s">
        <v>347</v>
      </c>
      <c r="M408" s="158" t="n">
        <f aca="false">F408*$E$26</f>
        <v>26.25</v>
      </c>
      <c r="N408" s="158" t="n">
        <f aca="false">IF(D408=1,M408*$D$539,0)</f>
        <v>2.625</v>
      </c>
      <c r="O408" s="158" t="n">
        <f aca="false">M408+N408</f>
        <v>28.875</v>
      </c>
      <c r="P408" s="150" t="n">
        <f aca="false">CHOOSE(E408,0,1,$N$339)</f>
        <v>0.718765754934009</v>
      </c>
      <c r="Q408" s="158" t="n">
        <f aca="false">N408*P408</f>
        <v>1.88676010670177</v>
      </c>
      <c r="R408" s="158" t="n">
        <f aca="false">O408-Q408</f>
        <v>26.9882398932982</v>
      </c>
    </row>
    <row r="409" customFormat="false" ht="15" hidden="false" customHeight="false" outlineLevel="0" collapsed="false">
      <c r="B409" s="176" t="s">
        <v>350</v>
      </c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177" t="n">
        <f aca="false">SUM(M403:M408)</f>
        <v>15867.4293782487</v>
      </c>
      <c r="N409" s="177" t="n">
        <f aca="false">SUM(N403:N408)</f>
        <v>1586.74293782487</v>
      </c>
      <c r="O409" s="177" t="n">
        <f aca="false">SUM(O403:O408)</f>
        <v>17454.1723160736</v>
      </c>
      <c r="P409" s="86"/>
      <c r="Q409" s="177" t="n">
        <f aca="false">SUM(Q403:Q408)</f>
        <v>1140.4964855919</v>
      </c>
      <c r="R409" s="177" t="n">
        <f aca="false">SUM(R403:R408)</f>
        <v>16313.6758304817</v>
      </c>
    </row>
    <row r="410" customFormat="false" ht="15" hidden="false" customHeight="false" outlineLevel="0" collapsed="false">
      <c r="C410" s="35" t="s">
        <v>351</v>
      </c>
      <c r="D410" s="35" t="s">
        <v>147</v>
      </c>
      <c r="E410" s="178" t="n">
        <f aca="false">($R$403+$R$405+$R$406+$R$407+$R$408)/($E$26*12)</f>
        <v>110.094883374248</v>
      </c>
    </row>
    <row r="413" customFormat="false" ht="15" hidden="false" customHeight="false" outlineLevel="0" collapsed="false">
      <c r="A413" s="11" t="s">
        <v>352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5" customFormat="false" ht="15" hidden="false" customHeight="false" outlineLevel="0" collapsed="false">
      <c r="B415" s="110" t="s">
        <v>353</v>
      </c>
    </row>
    <row r="416" customFormat="false" ht="15" hidden="false" customHeight="false" outlineLevel="0" collapsed="false">
      <c r="B416" s="12" t="s">
        <v>354</v>
      </c>
      <c r="C416" s="13"/>
      <c r="D416" s="13"/>
      <c r="E416" s="179" t="n">
        <f aca="false">$R$397</f>
        <v>1496575.89662499</v>
      </c>
    </row>
    <row r="417" customFormat="false" ht="15" hidden="false" customHeight="false" outlineLevel="0" collapsed="false">
      <c r="B417" s="16" t="s">
        <v>355</v>
      </c>
      <c r="C417" s="120" t="n">
        <f aca="false">$M$351</f>
        <v>596839.667971091</v>
      </c>
      <c r="D417" s="180" t="n">
        <v>0.1</v>
      </c>
      <c r="E417" s="93" t="n">
        <f aca="false">C417*D417</f>
        <v>59683.9667971091</v>
      </c>
    </row>
    <row r="418" customFormat="false" ht="15" hidden="false" customHeight="false" outlineLevel="0" collapsed="false">
      <c r="B418" s="77" t="s">
        <v>356</v>
      </c>
      <c r="C418" s="23"/>
      <c r="D418" s="23"/>
      <c r="E418" s="117" t="n">
        <f aca="false">E416-E417</f>
        <v>1436891.92982788</v>
      </c>
    </row>
    <row r="420" customFormat="false" ht="15" hidden="false" customHeight="false" outlineLevel="0" collapsed="false">
      <c r="B420" s="59" t="s">
        <v>357</v>
      </c>
      <c r="C420" s="61"/>
      <c r="D420" s="60" t="s">
        <v>358</v>
      </c>
      <c r="E420" s="60" t="s">
        <v>359</v>
      </c>
      <c r="F420" s="64" t="s">
        <v>360</v>
      </c>
    </row>
    <row r="421" customFormat="false" ht="15" hidden="false" customHeight="false" outlineLevel="0" collapsed="false">
      <c r="B421" s="65" t="s">
        <v>361</v>
      </c>
      <c r="C421" s="17"/>
      <c r="D421" s="17"/>
      <c r="E421" s="122" t="n">
        <f aca="false">$E$418</f>
        <v>1436891.92982788</v>
      </c>
      <c r="F421" s="181" t="n">
        <f aca="false">E421/$E$418</f>
        <v>1</v>
      </c>
    </row>
    <row r="422" customFormat="false" ht="15" hidden="false" customHeight="false" outlineLevel="0" collapsed="false">
      <c r="B422" s="65" t="s">
        <v>362</v>
      </c>
      <c r="C422" s="17"/>
      <c r="D422" s="17"/>
      <c r="E422" s="122" t="n">
        <f aca="false">$E$418*$E$440</f>
        <v>287378.385965576</v>
      </c>
      <c r="F422" s="181" t="n">
        <f aca="false">E422/$E$418</f>
        <v>0.2</v>
      </c>
    </row>
    <row r="423" customFormat="false" ht="15" hidden="false" customHeight="false" outlineLevel="0" collapsed="false">
      <c r="B423" s="41"/>
      <c r="C423" s="52" t="s">
        <v>363</v>
      </c>
      <c r="D423" s="115" t="n">
        <v>0.3</v>
      </c>
      <c r="E423" s="120" t="n">
        <f aca="false">$E$428*D423</f>
        <v>60349.4610527709</v>
      </c>
      <c r="F423" s="182" t="n">
        <f aca="false">E423/$E$418</f>
        <v>0.042</v>
      </c>
    </row>
    <row r="424" customFormat="false" ht="15" hidden="false" customHeight="false" outlineLevel="0" collapsed="false">
      <c r="B424" s="41"/>
      <c r="C424" s="52" t="s">
        <v>364</v>
      </c>
      <c r="D424" s="115" t="n">
        <v>0</v>
      </c>
      <c r="E424" s="120" t="n">
        <f aca="false">$E$428*D424</f>
        <v>0</v>
      </c>
      <c r="F424" s="182" t="n">
        <f aca="false">E424/$E$418</f>
        <v>0</v>
      </c>
    </row>
    <row r="425" customFormat="false" ht="15" hidden="false" customHeight="false" outlineLevel="0" collapsed="false">
      <c r="B425" s="41"/>
      <c r="C425" s="52" t="s">
        <v>365</v>
      </c>
      <c r="D425" s="115" t="n">
        <v>0.7</v>
      </c>
      <c r="E425" s="120" t="n">
        <f aca="false">$E$428*D425</f>
        <v>140815.409123132</v>
      </c>
      <c r="F425" s="182" t="n">
        <f aca="false">E425/$E$418</f>
        <v>0.098</v>
      </c>
    </row>
    <row r="426" customFormat="false" ht="15" hidden="false" customHeight="false" outlineLevel="0" collapsed="false">
      <c r="B426" s="41"/>
      <c r="C426" s="52" t="s">
        <v>366</v>
      </c>
      <c r="D426" s="115" t="n">
        <v>0</v>
      </c>
      <c r="E426" s="120" t="n">
        <f aca="false">$E$428*D426</f>
        <v>0</v>
      </c>
      <c r="F426" s="182" t="n">
        <f aca="false">E426/$E$418</f>
        <v>0</v>
      </c>
    </row>
    <row r="427" customFormat="false" ht="15" hidden="false" customHeight="false" outlineLevel="0" collapsed="false">
      <c r="B427" s="41"/>
      <c r="C427" s="52" t="s">
        <v>367</v>
      </c>
      <c r="D427" s="115" t="n">
        <v>0</v>
      </c>
      <c r="E427" s="120" t="n">
        <f aca="false">$E$428*D427</f>
        <v>0</v>
      </c>
      <c r="F427" s="182" t="n">
        <f aca="false">E427/$E$418</f>
        <v>0</v>
      </c>
    </row>
    <row r="428" customFormat="false" ht="15" hidden="false" customHeight="false" outlineLevel="0" collapsed="false">
      <c r="B428" s="41"/>
      <c r="C428" s="183" t="s">
        <v>368</v>
      </c>
      <c r="D428" s="184" t="n">
        <f aca="false">$E$441</f>
        <v>0.7</v>
      </c>
      <c r="E428" s="122" t="n">
        <f aca="false">$E$422*D428</f>
        <v>201164.870175903</v>
      </c>
      <c r="F428" s="181" t="n">
        <f aca="false">E428/$E$418</f>
        <v>0.14</v>
      </c>
      <c r="G428" s="185" t="b">
        <f aca="false">SUM(D423:D427)=1</f>
        <v>1</v>
      </c>
    </row>
    <row r="429" customFormat="false" ht="15" hidden="false" customHeight="false" outlineLevel="0" collapsed="false">
      <c r="B429" s="41"/>
      <c r="C429" s="52" t="s">
        <v>369</v>
      </c>
      <c r="D429" s="115" t="n">
        <v>0.055</v>
      </c>
      <c r="E429" s="120" t="n">
        <f aca="false">$E$434*D429</f>
        <v>4741.743368432</v>
      </c>
      <c r="F429" s="182" t="n">
        <f aca="false">E429/$E$418</f>
        <v>0.0033</v>
      </c>
    </row>
    <row r="430" customFormat="false" ht="15" hidden="false" customHeight="false" outlineLevel="0" collapsed="false">
      <c r="B430" s="41"/>
      <c r="C430" s="52" t="s">
        <v>370</v>
      </c>
      <c r="D430" s="115" t="n">
        <v>0.245</v>
      </c>
      <c r="E430" s="120" t="n">
        <f aca="false">$E$434*D430</f>
        <v>21122.3113684698</v>
      </c>
      <c r="F430" s="182" t="n">
        <f aca="false">E430/$E$418</f>
        <v>0.0147</v>
      </c>
    </row>
    <row r="431" customFormat="false" ht="15" hidden="false" customHeight="false" outlineLevel="0" collapsed="false">
      <c r="B431" s="41"/>
      <c r="C431" s="52" t="s">
        <v>371</v>
      </c>
      <c r="D431" s="115" t="n">
        <v>0.1285</v>
      </c>
      <c r="E431" s="120" t="n">
        <f aca="false">$E$434*D431</f>
        <v>11078.4367789729</v>
      </c>
      <c r="F431" s="182" t="n">
        <f aca="false">E431/$E$418</f>
        <v>0.00771</v>
      </c>
    </row>
    <row r="432" customFormat="false" ht="15" hidden="false" customHeight="false" outlineLevel="0" collapsed="false">
      <c r="B432" s="41"/>
      <c r="C432" s="52" t="s">
        <v>372</v>
      </c>
      <c r="D432" s="115" t="n">
        <v>0.5715</v>
      </c>
      <c r="E432" s="120" t="n">
        <f aca="false">$E$434*D432</f>
        <v>49271.024273798</v>
      </c>
      <c r="F432" s="182" t="n">
        <f aca="false">E432/$E$418</f>
        <v>0.03429</v>
      </c>
    </row>
    <row r="433" customFormat="false" ht="15" hidden="false" customHeight="false" outlineLevel="0" collapsed="false">
      <c r="B433" s="41"/>
      <c r="C433" s="52" t="s">
        <v>373</v>
      </c>
      <c r="D433" s="115" t="n">
        <v>0</v>
      </c>
      <c r="E433" s="120" t="n">
        <f aca="false">$E$434*D433</f>
        <v>0</v>
      </c>
      <c r="F433" s="182" t="n">
        <f aca="false">E433/$E$418</f>
        <v>0</v>
      </c>
    </row>
    <row r="434" customFormat="false" ht="15" hidden="false" customHeight="false" outlineLevel="0" collapsed="false">
      <c r="B434" s="41"/>
      <c r="C434" s="183" t="s">
        <v>374</v>
      </c>
      <c r="D434" s="184" t="n">
        <f aca="false">1-$E$441</f>
        <v>0.3</v>
      </c>
      <c r="E434" s="122" t="n">
        <f aca="false">$E$422*D434</f>
        <v>86213.5157896727</v>
      </c>
      <c r="F434" s="181" t="n">
        <f aca="false">E434/$E$418</f>
        <v>0.06</v>
      </c>
      <c r="G434" s="185" t="b">
        <f aca="false">SUM(D429:D433)=1</f>
        <v>1</v>
      </c>
    </row>
    <row r="435" customFormat="false" ht="15" hidden="false" customHeight="false" outlineLevel="0" collapsed="false">
      <c r="B435" s="65" t="s">
        <v>375</v>
      </c>
      <c r="C435" s="17"/>
      <c r="D435" s="17"/>
      <c r="E435" s="122" t="n">
        <f aca="false">$E$418-$E$422</f>
        <v>1149513.5438623</v>
      </c>
      <c r="F435" s="181" t="n">
        <f aca="false">E435/$E$418</f>
        <v>0.8</v>
      </c>
    </row>
    <row r="436" customFormat="false" ht="15" hidden="false" customHeight="false" outlineLevel="0" collapsed="false">
      <c r="B436" s="41"/>
      <c r="C436" s="52" t="s">
        <v>376</v>
      </c>
      <c r="D436" s="115" t="n">
        <v>0.7143</v>
      </c>
      <c r="E436" s="120" t="n">
        <f aca="false">$E$435*D436</f>
        <v>821097.524380843</v>
      </c>
      <c r="F436" s="182" t="n">
        <f aca="false">E436/$E$418</f>
        <v>0.57144</v>
      </c>
    </row>
    <row r="437" customFormat="false" ht="15" hidden="false" customHeight="false" outlineLevel="0" collapsed="false">
      <c r="B437" s="41"/>
      <c r="C437" s="52" t="s">
        <v>377</v>
      </c>
      <c r="D437" s="115" t="n">
        <v>0.1429</v>
      </c>
      <c r="E437" s="120" t="n">
        <f aca="false">$E$435*D437</f>
        <v>164265.485417923</v>
      </c>
      <c r="F437" s="182" t="n">
        <f aca="false">E437/$E$418</f>
        <v>0.11432</v>
      </c>
    </row>
    <row r="438" customFormat="false" ht="15" hidden="false" customHeight="false" outlineLevel="0" collapsed="false">
      <c r="B438" s="45"/>
      <c r="C438" s="186" t="s">
        <v>378</v>
      </c>
      <c r="D438" s="187" t="n">
        <f aca="false">1-D436-D437</f>
        <v>0.1428</v>
      </c>
      <c r="E438" s="188" t="n">
        <f aca="false">$E$435*D438</f>
        <v>164150.534063537</v>
      </c>
      <c r="F438" s="189" t="n">
        <f aca="false">E438/$E$418</f>
        <v>0.11424</v>
      </c>
    </row>
    <row r="440" customFormat="false" ht="15" hidden="false" customHeight="false" outlineLevel="0" collapsed="false">
      <c r="B440" s="35" t="s">
        <v>379</v>
      </c>
      <c r="E440" s="172" t="n">
        <v>0.2</v>
      </c>
    </row>
    <row r="441" customFormat="false" ht="15" hidden="false" customHeight="false" outlineLevel="0" collapsed="false">
      <c r="B441" s="35" t="s">
        <v>380</v>
      </c>
      <c r="E441" s="172" t="n">
        <v>0.7</v>
      </c>
    </row>
    <row r="442" customFormat="false" ht="15" hidden="false" customHeight="false" outlineLevel="0" collapsed="false">
      <c r="B442" s="35" t="s">
        <v>381</v>
      </c>
      <c r="E442" s="150" t="n">
        <f aca="false">1-$E$441</f>
        <v>0.3</v>
      </c>
    </row>
    <row r="444" customFormat="false" ht="15" hidden="false" customHeight="false" outlineLevel="0" collapsed="false">
      <c r="B444" s="190" t="s">
        <v>382</v>
      </c>
    </row>
    <row r="445" customFormat="false" ht="15" hidden="false" customHeight="false" outlineLevel="0" collapsed="false">
      <c r="B445" s="59" t="s">
        <v>63</v>
      </c>
      <c r="C445" s="60" t="s">
        <v>383</v>
      </c>
      <c r="D445" s="60" t="s">
        <v>111</v>
      </c>
      <c r="E445" s="60" t="s">
        <v>384</v>
      </c>
      <c r="F445" s="60" t="s">
        <v>385</v>
      </c>
      <c r="G445" s="60" t="s">
        <v>386</v>
      </c>
      <c r="H445" s="60" t="s">
        <v>95</v>
      </c>
      <c r="I445" s="64" t="s">
        <v>112</v>
      </c>
    </row>
    <row r="446" customFormat="false" ht="15" hidden="false" customHeight="false" outlineLevel="0" collapsed="false">
      <c r="B446" s="65" t="s">
        <v>387</v>
      </c>
      <c r="C446" s="42" t="s">
        <v>369</v>
      </c>
      <c r="D446" s="73" t="n">
        <f aca="false">E446/$E$422</f>
        <v>0.0165</v>
      </c>
      <c r="E446" s="191" t="n">
        <f aca="false">$E$429</f>
        <v>4741.743368432</v>
      </c>
      <c r="F446" s="90" t="n">
        <v>46112</v>
      </c>
      <c r="G446" s="192"/>
      <c r="H446" s="17"/>
      <c r="I446" s="92" t="n">
        <f aca="false">EOMONTH(F446,0)</f>
        <v>46112</v>
      </c>
    </row>
    <row r="447" customFormat="false" ht="15" hidden="false" customHeight="false" outlineLevel="0" collapsed="false">
      <c r="B447" s="41"/>
      <c r="C447" s="42" t="s">
        <v>370</v>
      </c>
      <c r="D447" s="73" t="n">
        <f aca="false">E447/$E$422</f>
        <v>0.0735</v>
      </c>
      <c r="E447" s="191" t="n">
        <f aca="false">$E$430</f>
        <v>21122.3113684698</v>
      </c>
      <c r="F447" s="90" t="n">
        <v>46660</v>
      </c>
      <c r="G447" s="192"/>
      <c r="H447" s="17"/>
      <c r="I447" s="92" t="n">
        <f aca="false">EOMONTH(F447,0)</f>
        <v>46660</v>
      </c>
    </row>
    <row r="448" customFormat="false" ht="15" hidden="false" customHeight="false" outlineLevel="0" collapsed="false">
      <c r="B448" s="41"/>
      <c r="C448" s="42" t="s">
        <v>371</v>
      </c>
      <c r="D448" s="73" t="n">
        <f aca="false">E448/$E$422</f>
        <v>0.03855</v>
      </c>
      <c r="E448" s="191" t="n">
        <f aca="false">$E$431</f>
        <v>11078.4367789729</v>
      </c>
      <c r="F448" s="90" t="n">
        <v>46112</v>
      </c>
      <c r="G448" s="192"/>
      <c r="H448" s="17"/>
      <c r="I448" s="92" t="n">
        <f aca="false">EOMONTH(F448,0)</f>
        <v>46112</v>
      </c>
    </row>
    <row r="449" customFormat="false" ht="15" hidden="false" customHeight="false" outlineLevel="0" collapsed="false">
      <c r="B449" s="41"/>
      <c r="C449" s="42" t="s">
        <v>372</v>
      </c>
      <c r="D449" s="73" t="n">
        <f aca="false">E449/$E$422</f>
        <v>0.17145</v>
      </c>
      <c r="E449" s="191" t="n">
        <f aca="false">$E$432</f>
        <v>49271.024273798</v>
      </c>
      <c r="F449" s="90" t="n">
        <v>46660</v>
      </c>
      <c r="G449" s="192"/>
      <c r="H449" s="17"/>
      <c r="I449" s="92" t="n">
        <f aca="false">EOMONTH(F449,0)</f>
        <v>46660</v>
      </c>
    </row>
    <row r="450" customFormat="false" ht="15" hidden="false" customHeight="false" outlineLevel="0" collapsed="false">
      <c r="B450" s="41"/>
      <c r="C450" s="42" t="s">
        <v>373</v>
      </c>
      <c r="D450" s="73" t="n">
        <f aca="false">E450/$E$422</f>
        <v>0</v>
      </c>
      <c r="E450" s="191" t="n">
        <f aca="false">$E$433</f>
        <v>0</v>
      </c>
      <c r="F450" s="90" t="n">
        <v>47907</v>
      </c>
      <c r="G450" s="192"/>
      <c r="H450" s="17"/>
      <c r="I450" s="92" t="n">
        <f aca="false">EOMONTH(F450,0)</f>
        <v>47907</v>
      </c>
    </row>
    <row r="451" customFormat="false" ht="15" hidden="false" customHeight="false" outlineLevel="0" collapsed="false">
      <c r="B451" s="193" t="s">
        <v>388</v>
      </c>
      <c r="C451" s="17"/>
      <c r="D451" s="74" t="n">
        <f aca="false">SUM(D446:D450)</f>
        <v>0.3</v>
      </c>
      <c r="E451" s="194" t="n">
        <f aca="false">SUM(E446:E450)</f>
        <v>86213.5157896727</v>
      </c>
      <c r="F451" s="17"/>
      <c r="G451" s="17"/>
      <c r="H451" s="17"/>
      <c r="I451" s="69"/>
    </row>
    <row r="452" customFormat="false" ht="15" hidden="false" customHeight="false" outlineLevel="0" collapsed="false">
      <c r="B452" s="65" t="s">
        <v>389</v>
      </c>
      <c r="C452" s="42" t="s">
        <v>363</v>
      </c>
      <c r="D452" s="73" t="n">
        <f aca="false">E452/$E$422</f>
        <v>0.21</v>
      </c>
      <c r="E452" s="191" t="n">
        <f aca="false">$E$423</f>
        <v>60349.4610527709</v>
      </c>
      <c r="F452" s="90" t="n">
        <v>46660</v>
      </c>
      <c r="G452" s="91" t="n">
        <v>0.05</v>
      </c>
      <c r="H452" s="17"/>
      <c r="I452" s="92" t="n">
        <f aca="false">EOMONTH(F452,0)</f>
        <v>46660</v>
      </c>
    </row>
    <row r="453" customFormat="false" ht="15" hidden="false" customHeight="false" outlineLevel="0" collapsed="false">
      <c r="B453" s="41"/>
      <c r="C453" s="42" t="s">
        <v>364</v>
      </c>
      <c r="D453" s="73" t="n">
        <f aca="false">E453/$E$422</f>
        <v>0</v>
      </c>
      <c r="E453" s="191" t="n">
        <f aca="false">$E$424</f>
        <v>0</v>
      </c>
      <c r="F453" s="90" t="n">
        <v>46660</v>
      </c>
      <c r="G453" s="91" t="n">
        <v>0.05</v>
      </c>
      <c r="H453" s="17"/>
      <c r="I453" s="92" t="n">
        <f aca="false">EOMONTH(F453,0)</f>
        <v>46660</v>
      </c>
    </row>
    <row r="454" customFormat="false" ht="15" hidden="false" customHeight="false" outlineLevel="0" collapsed="false">
      <c r="B454" s="41"/>
      <c r="C454" s="42" t="s">
        <v>365</v>
      </c>
      <c r="D454" s="73" t="n">
        <f aca="false">E454/$E$422</f>
        <v>0.49</v>
      </c>
      <c r="E454" s="191" t="n">
        <f aca="false">$E$425</f>
        <v>140815.409123132</v>
      </c>
      <c r="F454" s="90" t="n">
        <v>46660</v>
      </c>
      <c r="G454" s="91" t="n">
        <v>0.05</v>
      </c>
      <c r="H454" s="17"/>
      <c r="I454" s="92" t="n">
        <f aca="false">EOMONTH(F454,0)</f>
        <v>46660</v>
      </c>
    </row>
    <row r="455" customFormat="false" ht="15" hidden="false" customHeight="false" outlineLevel="0" collapsed="false">
      <c r="B455" s="41"/>
      <c r="C455" s="42" t="s">
        <v>366</v>
      </c>
      <c r="D455" s="73" t="n">
        <f aca="false">E455/$E$422</f>
        <v>0</v>
      </c>
      <c r="E455" s="191" t="n">
        <f aca="false">$E$426</f>
        <v>0</v>
      </c>
      <c r="F455" s="90" t="n">
        <v>46660</v>
      </c>
      <c r="G455" s="91" t="n">
        <v>0.05</v>
      </c>
      <c r="H455" s="17"/>
      <c r="I455" s="92" t="n">
        <f aca="false">EOMONTH(F455,0)</f>
        <v>46660</v>
      </c>
    </row>
    <row r="456" customFormat="false" ht="15" hidden="false" customHeight="false" outlineLevel="0" collapsed="false">
      <c r="B456" s="41"/>
      <c r="C456" s="42" t="s">
        <v>367</v>
      </c>
      <c r="D456" s="73" t="n">
        <f aca="false">E456/$E$422</f>
        <v>0</v>
      </c>
      <c r="E456" s="191" t="n">
        <f aca="false">$E$427</f>
        <v>0</v>
      </c>
      <c r="F456" s="90" t="n">
        <v>47907</v>
      </c>
      <c r="G456" s="91" t="n">
        <v>0.05</v>
      </c>
      <c r="H456" s="195" t="s">
        <v>390</v>
      </c>
      <c r="I456" s="92" t="n">
        <f aca="false">EOMONTH(F456,0)</f>
        <v>47907</v>
      </c>
    </row>
    <row r="457" customFormat="false" ht="15" hidden="false" customHeight="false" outlineLevel="0" collapsed="false">
      <c r="B457" s="193" t="s">
        <v>391</v>
      </c>
      <c r="C457" s="17"/>
      <c r="D457" s="74" t="n">
        <f aca="false">SUM(D452:D456)</f>
        <v>0.7</v>
      </c>
      <c r="E457" s="194" t="n">
        <f aca="false">SUM(E452:E456)</f>
        <v>201164.870175903</v>
      </c>
      <c r="F457" s="17"/>
      <c r="G457" s="17"/>
      <c r="H457" s="17"/>
      <c r="I457" s="69"/>
    </row>
    <row r="458" customFormat="false" ht="15" hidden="false" customHeight="false" outlineLevel="0" collapsed="false">
      <c r="B458" s="196" t="s">
        <v>392</v>
      </c>
      <c r="C458" s="23"/>
      <c r="D458" s="197" t="n">
        <f aca="false">D457+D451</f>
        <v>1</v>
      </c>
      <c r="E458" s="198" t="n">
        <f aca="false">E457+E451</f>
        <v>287378.385965576</v>
      </c>
      <c r="F458" s="23"/>
      <c r="G458" s="23"/>
      <c r="H458" s="23"/>
      <c r="I458" s="79"/>
    </row>
    <row r="459" customFormat="false" ht="15" hidden="false" customHeight="false" outlineLevel="0" collapsed="false">
      <c r="C459" s="35" t="s">
        <v>393</v>
      </c>
      <c r="E459" s="150" t="n">
        <f aca="false">IFERROR(SUMPRODUCT($E$452:$E$456,$G$452:$G$456)/SUM($E$452:$E$456),0)</f>
        <v>0.05</v>
      </c>
    </row>
    <row r="460" customFormat="false" ht="15" hidden="false" customHeight="false" outlineLevel="0" collapsed="false">
      <c r="C460" s="35" t="s">
        <v>394</v>
      </c>
      <c r="E460" s="199" t="n">
        <f aca="false">(1+$E$459)^(1/12)-1</f>
        <v>0.00407412378364835</v>
      </c>
      <c r="F460" s="200" t="s">
        <v>395</v>
      </c>
    </row>
    <row r="462" customFormat="false" ht="15" hidden="false" customHeight="false" outlineLevel="0" collapsed="false">
      <c r="B462" s="190" t="s">
        <v>396</v>
      </c>
    </row>
    <row r="463" customFormat="false" ht="15" hidden="false" customHeight="false" outlineLevel="0" collapsed="false">
      <c r="B463" s="35" t="s">
        <v>203</v>
      </c>
      <c r="C463" s="201" t="n">
        <f aca="false">$E$268</f>
        <v>1824235.87564974</v>
      </c>
    </row>
    <row r="464" customFormat="false" ht="15" hidden="false" customHeight="false" outlineLevel="0" collapsed="false">
      <c r="B464" s="35" t="s">
        <v>397</v>
      </c>
      <c r="C464" s="202" t="n">
        <f aca="false">$E$14</f>
        <v>46660</v>
      </c>
    </row>
    <row r="466" customFormat="false" ht="15" hidden="false" customHeight="false" outlineLevel="0" collapsed="false">
      <c r="B466" s="59" t="s">
        <v>63</v>
      </c>
      <c r="C466" s="60" t="s">
        <v>398</v>
      </c>
      <c r="D466" s="60" t="s">
        <v>399</v>
      </c>
      <c r="E466" s="60" t="s">
        <v>400</v>
      </c>
      <c r="F466" s="60" t="s">
        <v>401</v>
      </c>
      <c r="G466" s="61" t="s">
        <v>402</v>
      </c>
      <c r="H466" s="60" t="s">
        <v>403</v>
      </c>
      <c r="I466" s="60" t="s">
        <v>404</v>
      </c>
      <c r="J466" s="60" t="s">
        <v>405</v>
      </c>
      <c r="K466" s="60" t="s">
        <v>406</v>
      </c>
      <c r="L466" s="61" t="s">
        <v>407</v>
      </c>
      <c r="M466" s="60" t="s">
        <v>408</v>
      </c>
      <c r="N466" s="61" t="s">
        <v>409</v>
      </c>
      <c r="O466" s="64" t="s">
        <v>410</v>
      </c>
    </row>
    <row r="467" customFormat="false" ht="15" hidden="false" customHeight="false" outlineLevel="0" collapsed="false">
      <c r="B467" s="102" t="s">
        <v>411</v>
      </c>
      <c r="C467" s="203" t="s">
        <v>412</v>
      </c>
      <c r="D467" s="191" t="n">
        <f aca="false">$E$436</f>
        <v>821097.524380843</v>
      </c>
      <c r="E467" s="204" t="n">
        <f aca="false">MAX(CF!$E$121:$EF$121)</f>
        <v>304203.267746602</v>
      </c>
      <c r="F467" s="73" t="n">
        <f aca="false">IFERROR(E467/SUM($E$467:$E$469),0)</f>
        <v>0.480863093946321</v>
      </c>
      <c r="G467" s="73" t="n">
        <f aca="false">SUM($E$467:E467)/$E$268</f>
        <v>0.166756542729571</v>
      </c>
      <c r="H467" s="205" t="n">
        <f aca="false">$E$16</f>
        <v>47907</v>
      </c>
      <c r="I467" s="206" t="s">
        <v>413</v>
      </c>
      <c r="J467" s="91" t="n">
        <v>0.01</v>
      </c>
      <c r="K467" s="91" t="n">
        <v>0.065</v>
      </c>
      <c r="L467" s="82" t="n">
        <f aca="false">K467+J467/($E$15/12)</f>
        <v>0.0678571428571429</v>
      </c>
      <c r="M467" s="207" t="s">
        <v>414</v>
      </c>
      <c r="N467" s="73" t="n">
        <f aca="false">SUM($D$467:D467)/$R$397</f>
        <v>0.548650774232397</v>
      </c>
      <c r="O467" s="95" t="n">
        <v>0.005</v>
      </c>
    </row>
    <row r="468" customFormat="false" ht="15" hidden="false" customHeight="false" outlineLevel="0" collapsed="false">
      <c r="B468" s="102" t="s">
        <v>415</v>
      </c>
      <c r="C468" s="203" t="s">
        <v>412</v>
      </c>
      <c r="D468" s="191" t="n">
        <f aca="false">$E$437</f>
        <v>164265.485417923</v>
      </c>
      <c r="E468" s="204" t="n">
        <f aca="false">MAX(CF!$E$122:$EF$122)</f>
        <v>164265.485417923</v>
      </c>
      <c r="F468" s="73" t="n">
        <f aca="false">IFERROR(E468/SUM($E$467:$E$469),0)</f>
        <v>0.259659306528074</v>
      </c>
      <c r="G468" s="73" t="n">
        <f aca="false">SUM($E$467:E468)/$E$268</f>
        <v>0.256802730073308</v>
      </c>
      <c r="H468" s="205" t="n">
        <f aca="false">$E$16</f>
        <v>47907</v>
      </c>
      <c r="I468" s="206" t="s">
        <v>413</v>
      </c>
      <c r="J468" s="91" t="n">
        <v>0.01</v>
      </c>
      <c r="K468" s="91" t="n">
        <v>0.073</v>
      </c>
      <c r="L468" s="82" t="n">
        <f aca="false">K468+J468/($E$15/12)</f>
        <v>0.0758571428571429</v>
      </c>
      <c r="M468" s="207" t="s">
        <v>414</v>
      </c>
      <c r="N468" s="73" t="n">
        <f aca="false">SUM($D$467:D468)/$R$397</f>
        <v>0.658411652907757</v>
      </c>
      <c r="O468" s="95" t="n">
        <v>0.005</v>
      </c>
    </row>
    <row r="469" customFormat="false" ht="15" hidden="false" customHeight="false" outlineLevel="0" collapsed="false">
      <c r="B469" s="102" t="s">
        <v>416</v>
      </c>
      <c r="C469" s="203" t="s">
        <v>412</v>
      </c>
      <c r="D469" s="191" t="n">
        <f aca="false">$E$438</f>
        <v>164150.534063537</v>
      </c>
      <c r="E469" s="204" t="n">
        <f aca="false">MAX(CF!$E$123:$EF$123)</f>
        <v>164150.534063537</v>
      </c>
      <c r="F469" s="73" t="n">
        <f aca="false">IFERROR(E469/SUM($E$467:$E$469),0)</f>
        <v>0.259477599525605</v>
      </c>
      <c r="G469" s="73" t="n">
        <f aca="false">SUM($E$467:E469)/$E$268</f>
        <v>0.346785903989932</v>
      </c>
      <c r="H469" s="205" t="n">
        <f aca="false">$E$16</f>
        <v>47907</v>
      </c>
      <c r="I469" s="206" t="s">
        <v>413</v>
      </c>
      <c r="J469" s="91" t="n">
        <v>0.01</v>
      </c>
      <c r="K469" s="91" t="n">
        <v>0.088</v>
      </c>
      <c r="L469" s="82" t="n">
        <f aca="false">K469+J469/($E$15/12)</f>
        <v>0.0908571428571429</v>
      </c>
      <c r="M469" s="207" t="s">
        <v>414</v>
      </c>
      <c r="N469" s="73" t="n">
        <f aca="false">SUM($D$467:D469)/$R$397</f>
        <v>0.768095722010915</v>
      </c>
      <c r="O469" s="95" t="n">
        <v>0.005</v>
      </c>
    </row>
    <row r="470" customFormat="false" ht="15" hidden="false" customHeight="false" outlineLevel="0" collapsed="false">
      <c r="B470" s="77" t="s">
        <v>62</v>
      </c>
      <c r="C470" s="46"/>
      <c r="D470" s="208" t="n">
        <f aca="false">SUM(D467:D469)</f>
        <v>1149513.5438623</v>
      </c>
      <c r="E470" s="208" t="n">
        <f aca="false">SUM(E467:E469)</f>
        <v>632619.287228062</v>
      </c>
      <c r="F470" s="97" t="n">
        <f aca="false">SUM(F467:F469)</f>
        <v>1</v>
      </c>
      <c r="G470" s="97" t="n">
        <f aca="false">G469</f>
        <v>0.346785903989932</v>
      </c>
      <c r="H470" s="46"/>
      <c r="I470" s="46"/>
      <c r="J470" s="46"/>
      <c r="K470" s="97" t="n">
        <f aca="false">SUMPRODUCT(D467:D469,K467:K469)/D470</f>
        <v>0.0694276</v>
      </c>
      <c r="L470" s="97" t="n">
        <f aca="false">SUMPRODUCT(D467:D469,L467:L469)/D470</f>
        <v>0.0722847428571429</v>
      </c>
      <c r="M470" s="46"/>
      <c r="N470" s="97" t="n">
        <f aca="false">N469</f>
        <v>0.768095722010915</v>
      </c>
      <c r="O470" s="209"/>
    </row>
    <row r="472" customFormat="false" ht="15" hidden="false" customHeight="false" outlineLevel="0" collapsed="false">
      <c r="B472" s="110" t="s">
        <v>417</v>
      </c>
    </row>
    <row r="473" customFormat="false" ht="15" hidden="false" customHeight="false" outlineLevel="0" collapsed="false">
      <c r="B473" s="59" t="s">
        <v>418</v>
      </c>
      <c r="C473" s="60" t="s">
        <v>419</v>
      </c>
      <c r="D473" s="61" t="s">
        <v>402</v>
      </c>
      <c r="E473" s="60" t="s">
        <v>420</v>
      </c>
      <c r="F473" s="60" t="s">
        <v>421</v>
      </c>
      <c r="G473" s="64" t="s">
        <v>422</v>
      </c>
    </row>
    <row r="474" customFormat="false" ht="15" hidden="false" customHeight="false" outlineLevel="0" collapsed="false">
      <c r="B474" s="16" t="s">
        <v>57</v>
      </c>
      <c r="C474" s="210" t="n">
        <v>499793</v>
      </c>
      <c r="D474" s="91" t="n">
        <v>0.7</v>
      </c>
      <c r="E474" s="211" t="n">
        <f aca="false">C474*D474</f>
        <v>349855.1</v>
      </c>
      <c r="F474" s="212" t="n">
        <f aca="false">SUMIF(CF!$E$6:$EF$6,"&lt;="&amp;$E$16,CF!$E$78:$EF$78)</f>
        <v>302400</v>
      </c>
      <c r="G474" s="213" t="n">
        <f aca="false">MAX(0,E474-F474)</f>
        <v>47455.0999999999</v>
      </c>
    </row>
    <row r="475" customFormat="false" ht="15" hidden="false" customHeight="false" outlineLevel="0" collapsed="false">
      <c r="B475" s="16" t="s">
        <v>58</v>
      </c>
      <c r="C475" s="210" t="n">
        <v>294904</v>
      </c>
      <c r="D475" s="91" t="n">
        <v>0.7</v>
      </c>
      <c r="E475" s="211" t="n">
        <f aca="false">C475*D475</f>
        <v>206432.8</v>
      </c>
      <c r="F475" s="212" t="n">
        <f aca="false">SUMIF(CF!$E$6:$EF$6,"&lt;="&amp;$E$16,CF!$E$79:$EF$79)</f>
        <v>174021.12</v>
      </c>
      <c r="G475" s="213" t="n">
        <f aca="false">MAX(0,E475-F475)</f>
        <v>32411.68</v>
      </c>
    </row>
    <row r="476" customFormat="false" ht="15" hidden="false" customHeight="false" outlineLevel="0" collapsed="false">
      <c r="B476" s="16" t="s">
        <v>59</v>
      </c>
      <c r="C476" s="210" t="n">
        <v>461934</v>
      </c>
      <c r="D476" s="91" t="n">
        <v>0.7</v>
      </c>
      <c r="E476" s="211" t="n">
        <f aca="false">C476*D476</f>
        <v>323353.8</v>
      </c>
      <c r="F476" s="211" t="n">
        <v>0</v>
      </c>
      <c r="G476" s="213" t="n">
        <f aca="false">MAX(0,E476-F476)</f>
        <v>323353.8</v>
      </c>
    </row>
    <row r="477" customFormat="false" ht="15" hidden="false" customHeight="false" outlineLevel="0" collapsed="false">
      <c r="B477" s="16" t="s">
        <v>60</v>
      </c>
      <c r="C477" s="210" t="n">
        <v>297831</v>
      </c>
      <c r="D477" s="91" t="n">
        <v>0.7</v>
      </c>
      <c r="E477" s="211" t="n">
        <f aca="false">C477*D477</f>
        <v>208481.7</v>
      </c>
      <c r="F477" s="211" t="n">
        <v>0</v>
      </c>
      <c r="G477" s="213" t="n">
        <f aca="false">MAX(0,E477-F477)</f>
        <v>208481.7</v>
      </c>
    </row>
    <row r="478" customFormat="false" ht="15" hidden="false" customHeight="false" outlineLevel="0" collapsed="false">
      <c r="B478" s="16" t="s">
        <v>61</v>
      </c>
      <c r="C478" s="210" t="n">
        <v>211380</v>
      </c>
      <c r="D478" s="91" t="n">
        <v>0.7</v>
      </c>
      <c r="E478" s="211" t="n">
        <f aca="false">C478*D478</f>
        <v>147966</v>
      </c>
      <c r="F478" s="211" t="n">
        <v>0</v>
      </c>
      <c r="G478" s="213" t="n">
        <f aca="false">MAX(0,E478-F478)</f>
        <v>147966</v>
      </c>
    </row>
    <row r="479" customFormat="false" ht="15" hidden="false" customHeight="false" outlineLevel="0" collapsed="false">
      <c r="B479" s="77" t="s">
        <v>62</v>
      </c>
      <c r="C479" s="214" t="n">
        <f aca="false">SUM(C474:C478)</f>
        <v>1765842</v>
      </c>
      <c r="D479" s="97" t="n">
        <f aca="false">E479/C479</f>
        <v>0.7</v>
      </c>
      <c r="E479" s="214" t="n">
        <f aca="false">SUM(E474:E478)</f>
        <v>1236089.4</v>
      </c>
      <c r="F479" s="214" t="n">
        <f aca="false">SUM(F474:F478)</f>
        <v>476421.12</v>
      </c>
      <c r="G479" s="215" t="n">
        <f aca="false">SUM(G474:G478)</f>
        <v>759668.28</v>
      </c>
    </row>
    <row r="481" customFormat="false" ht="15" hidden="false" customHeight="false" outlineLevel="0" collapsed="false">
      <c r="B481" s="12" t="s">
        <v>423</v>
      </c>
      <c r="C481" s="216" t="n">
        <f aca="false">MAX(0,-MIN(CF!$E$159:$EF$159))</f>
        <v>-0</v>
      </c>
    </row>
    <row r="482" customFormat="false" ht="15" hidden="false" customHeight="false" outlineLevel="0" collapsed="false">
      <c r="B482" s="16" t="s">
        <v>424</v>
      </c>
      <c r="C482" s="213" t="n">
        <f aca="false">$E$422</f>
        <v>287378.385965576</v>
      </c>
    </row>
    <row r="483" customFormat="false" ht="15" hidden="false" customHeight="false" outlineLevel="0" collapsed="false">
      <c r="B483" s="217" t="s">
        <v>425</v>
      </c>
      <c r="C483" s="218" t="n">
        <f aca="false">C482+C481</f>
        <v>287378.385965576</v>
      </c>
    </row>
    <row r="485" customFormat="false" ht="15" hidden="false" customHeight="false" outlineLevel="0" collapsed="false">
      <c r="B485" s="139" t="s">
        <v>57</v>
      </c>
    </row>
    <row r="486" customFormat="false" ht="15" hidden="false" customHeight="false" outlineLevel="0" collapsed="false">
      <c r="B486" s="59" t="s">
        <v>63</v>
      </c>
      <c r="C486" s="60" t="s">
        <v>398</v>
      </c>
      <c r="D486" s="60" t="s">
        <v>399</v>
      </c>
      <c r="E486" s="60" t="s">
        <v>420</v>
      </c>
      <c r="F486" s="60" t="s">
        <v>401</v>
      </c>
      <c r="G486" s="61" t="s">
        <v>402</v>
      </c>
      <c r="H486" s="60" t="s">
        <v>403</v>
      </c>
      <c r="I486" s="60" t="s">
        <v>404</v>
      </c>
      <c r="J486" s="60" t="s">
        <v>405</v>
      </c>
      <c r="K486" s="60" t="s">
        <v>406</v>
      </c>
      <c r="L486" s="61" t="s">
        <v>407</v>
      </c>
      <c r="M486" s="64" t="s">
        <v>408</v>
      </c>
    </row>
    <row r="487" customFormat="false" ht="15" hidden="false" customHeight="false" outlineLevel="0" collapsed="false">
      <c r="B487" s="102" t="s">
        <v>426</v>
      </c>
      <c r="C487" s="205" t="n">
        <f aca="false">$E$16</f>
        <v>47907</v>
      </c>
      <c r="D487" s="191" t="n">
        <f aca="false">E487</f>
        <v>26100.305</v>
      </c>
      <c r="E487" s="191" t="n">
        <f aca="false">$G$474*F487</f>
        <v>26100.305</v>
      </c>
      <c r="F487" s="91" t="n">
        <v>0.55</v>
      </c>
      <c r="G487" s="73" t="n">
        <f aca="false">IFERROR((SUM($E$487:E487)+$F$474)/$C$474,0)</f>
        <v>0.657272720906455</v>
      </c>
      <c r="H487" s="205" t="n">
        <f aca="false">$E$22</f>
        <v>49734</v>
      </c>
      <c r="I487" s="206" t="s">
        <v>413</v>
      </c>
      <c r="J487" s="91" t="n">
        <v>0.01</v>
      </c>
      <c r="K487" s="91" t="n">
        <v>0.045</v>
      </c>
      <c r="L487" s="82" t="n">
        <f aca="false">K487+J487/(($E$17+$E$19+$E$21)/12)</f>
        <v>0.0469672131147541</v>
      </c>
      <c r="M487" s="219" t="s">
        <v>414</v>
      </c>
    </row>
    <row r="488" customFormat="false" ht="15" hidden="false" customHeight="false" outlineLevel="0" collapsed="false">
      <c r="B488" s="102" t="s">
        <v>427</v>
      </c>
      <c r="C488" s="205" t="n">
        <f aca="false">$E$16</f>
        <v>47907</v>
      </c>
      <c r="D488" s="191" t="n">
        <f aca="false">E488</f>
        <v>21354.795</v>
      </c>
      <c r="E488" s="191" t="n">
        <f aca="false">$G$474*F488</f>
        <v>21354.795</v>
      </c>
      <c r="F488" s="91" t="n">
        <v>0.45</v>
      </c>
      <c r="G488" s="73" t="n">
        <f aca="false">IFERROR((SUM($E$487:E488)+$F$474)/$C$474,0)</f>
        <v>0.7</v>
      </c>
      <c r="H488" s="205" t="n">
        <f aca="false">$E$22</f>
        <v>49734</v>
      </c>
      <c r="I488" s="206" t="s">
        <v>413</v>
      </c>
      <c r="J488" s="91" t="n">
        <v>0.01</v>
      </c>
      <c r="K488" s="91" t="n">
        <v>0.065</v>
      </c>
      <c r="L488" s="82" t="n">
        <f aca="false">K488+J488/(($E$17+$E$19+$E$21)/12)</f>
        <v>0.0669672131147541</v>
      </c>
      <c r="M488" s="219" t="s">
        <v>414</v>
      </c>
    </row>
    <row r="489" customFormat="false" ht="15" hidden="false" customHeight="false" outlineLevel="0" collapsed="false">
      <c r="B489" s="102" t="s">
        <v>428</v>
      </c>
      <c r="C489" s="205" t="n">
        <f aca="false">$E$16</f>
        <v>47907</v>
      </c>
      <c r="D489" s="191" t="n">
        <f aca="false">E489</f>
        <v>0</v>
      </c>
      <c r="E489" s="191" t="n">
        <f aca="false">$G$474*F489</f>
        <v>0</v>
      </c>
      <c r="F489" s="73" t="n">
        <f aca="false">1-F487-F488</f>
        <v>0</v>
      </c>
      <c r="G489" s="73" t="n">
        <f aca="false">IFERROR((SUM($E$487:E489)+$F$474)/$C$474,0)</f>
        <v>0.7</v>
      </c>
      <c r="H489" s="205" t="n">
        <f aca="false">$E$22</f>
        <v>49734</v>
      </c>
      <c r="I489" s="206" t="s">
        <v>413</v>
      </c>
      <c r="J489" s="91" t="n">
        <v>0.01</v>
      </c>
      <c r="K489" s="91" t="n">
        <v>0.07</v>
      </c>
      <c r="L489" s="82" t="n">
        <f aca="false">K489+J489/(($E$17+$E$19+$E$21)/12)</f>
        <v>0.0719672131147541</v>
      </c>
      <c r="M489" s="219" t="s">
        <v>414</v>
      </c>
    </row>
    <row r="490" customFormat="false" ht="15" hidden="false" customHeight="false" outlineLevel="0" collapsed="false">
      <c r="B490" s="77" t="s">
        <v>62</v>
      </c>
      <c r="C490" s="46"/>
      <c r="D490" s="208" t="n">
        <f aca="false">SUM(D487:D489)</f>
        <v>47455.0999999999</v>
      </c>
      <c r="E490" s="208" t="n">
        <f aca="false">SUM(E487:E489)</f>
        <v>47455.0999999999</v>
      </c>
      <c r="F490" s="97" t="n">
        <f aca="false">SUM(F487:F489)</f>
        <v>1</v>
      </c>
      <c r="G490" s="97" t="n">
        <f aca="false">G489</f>
        <v>0.7</v>
      </c>
      <c r="H490" s="46"/>
      <c r="I490" s="46"/>
      <c r="J490" s="97" t="n">
        <f aca="false">IFERROR(SUMPRODUCT(E487:E489,J487:J489)/E490,0)</f>
        <v>0.01</v>
      </c>
      <c r="K490" s="97" t="n">
        <f aca="false">IFERROR(SUMPRODUCT(E487:E489,K487:K489)/E490,0)</f>
        <v>0.054</v>
      </c>
      <c r="L490" s="97" t="n">
        <f aca="false">IFERROR(SUMPRODUCT(E487:E489,L487:L489)/E490,0)</f>
        <v>0.0559672131147541</v>
      </c>
      <c r="M490" s="209"/>
    </row>
    <row r="492" customFormat="false" ht="15" hidden="false" customHeight="false" outlineLevel="0" collapsed="false">
      <c r="B492" s="139" t="s">
        <v>58</v>
      </c>
    </row>
    <row r="493" customFormat="false" ht="15" hidden="false" customHeight="false" outlineLevel="0" collapsed="false">
      <c r="B493" s="59" t="s">
        <v>63</v>
      </c>
      <c r="C493" s="60" t="s">
        <v>398</v>
      </c>
      <c r="D493" s="60" t="s">
        <v>399</v>
      </c>
      <c r="E493" s="60" t="s">
        <v>420</v>
      </c>
      <c r="F493" s="60" t="s">
        <v>401</v>
      </c>
      <c r="G493" s="61" t="s">
        <v>402</v>
      </c>
      <c r="H493" s="60" t="s">
        <v>403</v>
      </c>
      <c r="I493" s="60" t="s">
        <v>404</v>
      </c>
      <c r="J493" s="60" t="s">
        <v>405</v>
      </c>
      <c r="K493" s="60" t="s">
        <v>406</v>
      </c>
      <c r="L493" s="61" t="s">
        <v>407</v>
      </c>
      <c r="M493" s="64" t="s">
        <v>408</v>
      </c>
    </row>
    <row r="494" customFormat="false" ht="15" hidden="false" customHeight="false" outlineLevel="0" collapsed="false">
      <c r="B494" s="102" t="s">
        <v>426</v>
      </c>
      <c r="C494" s="205" t="n">
        <f aca="false">$E$16</f>
        <v>47907</v>
      </c>
      <c r="D494" s="191" t="n">
        <f aca="false">E494</f>
        <v>27549.928</v>
      </c>
      <c r="E494" s="191" t="n">
        <f aca="false">$G$475*F494</f>
        <v>27549.928</v>
      </c>
      <c r="F494" s="91" t="n">
        <v>0.85</v>
      </c>
      <c r="G494" s="73" t="n">
        <f aca="false">IFERROR((SUM($E$494:E494)+$F$475)/$C$475,0)</f>
        <v>0.683514119849171</v>
      </c>
      <c r="H494" s="205" t="n">
        <f aca="false">$E$22</f>
        <v>49734</v>
      </c>
      <c r="I494" s="206" t="s">
        <v>413</v>
      </c>
      <c r="J494" s="91" t="n">
        <v>0.01</v>
      </c>
      <c r="K494" s="91" t="n">
        <v>0.05</v>
      </c>
      <c r="L494" s="82" t="n">
        <f aca="false">K494+J494/(($E$17+$E$19+$E$21)/12)</f>
        <v>0.0519672131147541</v>
      </c>
      <c r="M494" s="219" t="s">
        <v>414</v>
      </c>
    </row>
    <row r="495" customFormat="false" ht="15" hidden="false" customHeight="false" outlineLevel="0" collapsed="false">
      <c r="B495" s="102" t="s">
        <v>427</v>
      </c>
      <c r="C495" s="205" t="n">
        <f aca="false">$E$16</f>
        <v>47907</v>
      </c>
      <c r="D495" s="191" t="n">
        <f aca="false">E495</f>
        <v>4861.75199999999</v>
      </c>
      <c r="E495" s="191" t="n">
        <f aca="false">$G$475*F495</f>
        <v>4861.75199999999</v>
      </c>
      <c r="F495" s="91" t="n">
        <v>0.15</v>
      </c>
      <c r="G495" s="73" t="n">
        <f aca="false">IFERROR((SUM($E$494:E495)+$F$475)/$C$475,0)</f>
        <v>0.7</v>
      </c>
      <c r="H495" s="205" t="n">
        <f aca="false">$E$22</f>
        <v>49734</v>
      </c>
      <c r="I495" s="206" t="s">
        <v>413</v>
      </c>
      <c r="J495" s="91" t="n">
        <v>0.01</v>
      </c>
      <c r="K495" s="91" t="n">
        <v>0.065</v>
      </c>
      <c r="L495" s="82" t="n">
        <f aca="false">K495+J495/(($E$17+$E$19+$E$21)/12)</f>
        <v>0.0669672131147541</v>
      </c>
      <c r="M495" s="219" t="s">
        <v>414</v>
      </c>
    </row>
    <row r="496" customFormat="false" ht="15" hidden="false" customHeight="false" outlineLevel="0" collapsed="false">
      <c r="B496" s="102" t="s">
        <v>428</v>
      </c>
      <c r="C496" s="205" t="n">
        <f aca="false">$E$16</f>
        <v>47907</v>
      </c>
      <c r="D496" s="191" t="n">
        <f aca="false">E496</f>
        <v>0</v>
      </c>
      <c r="E496" s="191" t="n">
        <f aca="false">$G$475*F496</f>
        <v>0</v>
      </c>
      <c r="F496" s="73" t="n">
        <f aca="false">1-F494-F495</f>
        <v>0</v>
      </c>
      <c r="G496" s="73" t="n">
        <f aca="false">IFERROR((SUM($E$494:E496)+$F$475)/$C$475,0)</f>
        <v>0.7</v>
      </c>
      <c r="H496" s="205" t="n">
        <f aca="false">$E$22</f>
        <v>49734</v>
      </c>
      <c r="I496" s="206" t="s">
        <v>413</v>
      </c>
      <c r="J496" s="91" t="n">
        <v>0.01</v>
      </c>
      <c r="K496" s="91" t="n">
        <v>0.07</v>
      </c>
      <c r="L496" s="82" t="n">
        <f aca="false">K496+J496/(($E$17+$E$19+$E$21)/12)</f>
        <v>0.0719672131147541</v>
      </c>
      <c r="M496" s="219" t="s">
        <v>414</v>
      </c>
    </row>
    <row r="497" customFormat="false" ht="15" hidden="false" customHeight="false" outlineLevel="0" collapsed="false">
      <c r="B497" s="77" t="s">
        <v>62</v>
      </c>
      <c r="C497" s="46"/>
      <c r="D497" s="208" t="n">
        <f aca="false">SUM(D494:D496)</f>
        <v>32411.68</v>
      </c>
      <c r="E497" s="208" t="n">
        <f aca="false">SUM(E494:E496)</f>
        <v>32411.68</v>
      </c>
      <c r="F497" s="97" t="n">
        <f aca="false">SUM(F494:F496)</f>
        <v>1</v>
      </c>
      <c r="G497" s="97" t="n">
        <f aca="false">G496</f>
        <v>0.7</v>
      </c>
      <c r="H497" s="46"/>
      <c r="I497" s="46"/>
      <c r="J497" s="97" t="n">
        <f aca="false">IFERROR(SUMPRODUCT(E494:E496,J494:J496)/E497,0)</f>
        <v>0.01</v>
      </c>
      <c r="K497" s="97" t="n">
        <f aca="false">IFERROR(SUMPRODUCT(E494:E496,K494:K496)/E497,0)</f>
        <v>0.05225</v>
      </c>
      <c r="L497" s="97" t="n">
        <f aca="false">IFERROR(SUMPRODUCT(E494:E496,L494:L496)/E497,0)</f>
        <v>0.0542172131147541</v>
      </c>
      <c r="M497" s="209"/>
    </row>
    <row r="499" customFormat="false" ht="15" hidden="false" customHeight="false" outlineLevel="0" collapsed="false">
      <c r="B499" s="139" t="s">
        <v>59</v>
      </c>
    </row>
    <row r="500" customFormat="false" ht="15" hidden="false" customHeight="false" outlineLevel="0" collapsed="false">
      <c r="B500" s="59" t="s">
        <v>63</v>
      </c>
      <c r="C500" s="60" t="s">
        <v>398</v>
      </c>
      <c r="D500" s="60" t="s">
        <v>399</v>
      </c>
      <c r="E500" s="60" t="s">
        <v>420</v>
      </c>
      <c r="F500" s="60" t="s">
        <v>401</v>
      </c>
      <c r="G500" s="61" t="s">
        <v>402</v>
      </c>
      <c r="H500" s="60" t="s">
        <v>403</v>
      </c>
      <c r="I500" s="60" t="s">
        <v>404</v>
      </c>
      <c r="J500" s="60" t="s">
        <v>405</v>
      </c>
      <c r="K500" s="60" t="s">
        <v>406</v>
      </c>
      <c r="L500" s="61" t="s">
        <v>407</v>
      </c>
      <c r="M500" s="64" t="s">
        <v>408</v>
      </c>
    </row>
    <row r="501" customFormat="false" ht="15" hidden="false" customHeight="false" outlineLevel="0" collapsed="false">
      <c r="B501" s="102" t="s">
        <v>426</v>
      </c>
      <c r="C501" s="205" t="n">
        <f aca="false">$E$16</f>
        <v>47907</v>
      </c>
      <c r="D501" s="191" t="n">
        <f aca="false">E501</f>
        <v>274850.73</v>
      </c>
      <c r="E501" s="191" t="n">
        <f aca="false">$G$476*F501</f>
        <v>274850.73</v>
      </c>
      <c r="F501" s="91" t="n">
        <v>0.85</v>
      </c>
      <c r="G501" s="73" t="n">
        <f aca="false">IFERROR((SUM($E$501:E501)+$F$476)/$C$476,0)</f>
        <v>0.595</v>
      </c>
      <c r="H501" s="205" t="n">
        <f aca="false">$E$22</f>
        <v>49734</v>
      </c>
      <c r="I501" s="206" t="s">
        <v>413</v>
      </c>
      <c r="J501" s="91" t="n">
        <v>0.01</v>
      </c>
      <c r="K501" s="91" t="n">
        <v>0.05</v>
      </c>
      <c r="L501" s="82" t="n">
        <f aca="false">K501+J501/(($E$17+$E$19+$E$21)/12)</f>
        <v>0.0519672131147541</v>
      </c>
      <c r="M501" s="219" t="s">
        <v>414</v>
      </c>
    </row>
    <row r="502" customFormat="false" ht="15" hidden="false" customHeight="false" outlineLevel="0" collapsed="false">
      <c r="B502" s="102" t="s">
        <v>427</v>
      </c>
      <c r="C502" s="205" t="n">
        <f aca="false">$E$16</f>
        <v>47907</v>
      </c>
      <c r="D502" s="191" t="n">
        <f aca="false">E502</f>
        <v>48503.07</v>
      </c>
      <c r="E502" s="191" t="n">
        <f aca="false">$G$476*F502</f>
        <v>48503.07</v>
      </c>
      <c r="F502" s="91" t="n">
        <v>0.15</v>
      </c>
      <c r="G502" s="73" t="n">
        <f aca="false">IFERROR((SUM($E$501:E502)+$F$476)/$C$476,0)</f>
        <v>0.7</v>
      </c>
      <c r="H502" s="205" t="n">
        <f aca="false">$E$22</f>
        <v>49734</v>
      </c>
      <c r="I502" s="206" t="s">
        <v>413</v>
      </c>
      <c r="J502" s="91" t="n">
        <v>0.01</v>
      </c>
      <c r="K502" s="91" t="n">
        <v>0.065</v>
      </c>
      <c r="L502" s="82" t="n">
        <f aca="false">K502+J502/(($E$17+$E$19+$E$21)/12)</f>
        <v>0.0669672131147541</v>
      </c>
      <c r="M502" s="219" t="s">
        <v>414</v>
      </c>
    </row>
    <row r="503" customFormat="false" ht="15" hidden="false" customHeight="false" outlineLevel="0" collapsed="false">
      <c r="B503" s="102" t="s">
        <v>428</v>
      </c>
      <c r="C503" s="205" t="n">
        <f aca="false">$E$16</f>
        <v>47907</v>
      </c>
      <c r="D503" s="191" t="n">
        <f aca="false">E503</f>
        <v>0</v>
      </c>
      <c r="E503" s="191" t="n">
        <f aca="false">$G$476*F503</f>
        <v>0</v>
      </c>
      <c r="F503" s="73" t="n">
        <f aca="false">1-F501-F502</f>
        <v>0</v>
      </c>
      <c r="G503" s="73" t="n">
        <f aca="false">IFERROR((SUM($E$501:E503)+$F$476)/$C$476,0)</f>
        <v>0.7</v>
      </c>
      <c r="H503" s="205" t="n">
        <f aca="false">$E$22</f>
        <v>49734</v>
      </c>
      <c r="I503" s="206" t="s">
        <v>413</v>
      </c>
      <c r="J503" s="91" t="n">
        <v>0.01</v>
      </c>
      <c r="K503" s="91" t="n">
        <v>0.07</v>
      </c>
      <c r="L503" s="82" t="n">
        <f aca="false">K503+J503/(($E$17+$E$19+$E$21)/12)</f>
        <v>0.0719672131147541</v>
      </c>
      <c r="M503" s="219" t="s">
        <v>414</v>
      </c>
    </row>
    <row r="504" customFormat="false" ht="15" hidden="false" customHeight="false" outlineLevel="0" collapsed="false">
      <c r="B504" s="77" t="s">
        <v>62</v>
      </c>
      <c r="C504" s="46"/>
      <c r="D504" s="208" t="n">
        <f aca="false">SUM(D501:D503)</f>
        <v>323353.8</v>
      </c>
      <c r="E504" s="208" t="n">
        <f aca="false">SUM(E501:E503)</f>
        <v>323353.8</v>
      </c>
      <c r="F504" s="97" t="n">
        <f aca="false">SUM(F501:F503)</f>
        <v>1</v>
      </c>
      <c r="G504" s="97" t="n">
        <f aca="false">G503</f>
        <v>0.7</v>
      </c>
      <c r="H504" s="46"/>
      <c r="I504" s="46"/>
      <c r="J504" s="97" t="n">
        <f aca="false">IFERROR(SUMPRODUCT(E501:E503,J501:J503)/E504,0)</f>
        <v>0.01</v>
      </c>
      <c r="K504" s="97" t="n">
        <f aca="false">IFERROR(SUMPRODUCT(E501:E503,K501:K503)/E504,0)</f>
        <v>0.05225</v>
      </c>
      <c r="L504" s="97" t="n">
        <f aca="false">IFERROR(SUMPRODUCT(E501:E503,L501:L503)/E504,0)</f>
        <v>0.0542172131147541</v>
      </c>
      <c r="M504" s="209"/>
    </row>
    <row r="506" customFormat="false" ht="15" hidden="false" customHeight="false" outlineLevel="0" collapsed="false">
      <c r="B506" s="139" t="s">
        <v>60</v>
      </c>
    </row>
    <row r="507" customFormat="false" ht="15" hidden="false" customHeight="false" outlineLevel="0" collapsed="false">
      <c r="B507" s="59" t="s">
        <v>63</v>
      </c>
      <c r="C507" s="60" t="s">
        <v>398</v>
      </c>
      <c r="D507" s="60" t="s">
        <v>399</v>
      </c>
      <c r="E507" s="60" t="s">
        <v>420</v>
      </c>
      <c r="F507" s="60" t="s">
        <v>401</v>
      </c>
      <c r="G507" s="61" t="s">
        <v>402</v>
      </c>
      <c r="H507" s="60" t="s">
        <v>403</v>
      </c>
      <c r="I507" s="60" t="s">
        <v>404</v>
      </c>
      <c r="J507" s="60" t="s">
        <v>405</v>
      </c>
      <c r="K507" s="60" t="s">
        <v>406</v>
      </c>
      <c r="L507" s="61" t="s">
        <v>407</v>
      </c>
      <c r="M507" s="64" t="s">
        <v>408</v>
      </c>
    </row>
    <row r="508" customFormat="false" ht="15" hidden="false" customHeight="false" outlineLevel="0" collapsed="false">
      <c r="B508" s="102" t="s">
        <v>426</v>
      </c>
      <c r="C508" s="205" t="n">
        <f aca="false">$E$16</f>
        <v>47907</v>
      </c>
      <c r="D508" s="191" t="n">
        <f aca="false">E508</f>
        <v>177209.445</v>
      </c>
      <c r="E508" s="191" t="n">
        <f aca="false">$G$477*F508</f>
        <v>177209.445</v>
      </c>
      <c r="F508" s="91" t="n">
        <v>0.85</v>
      </c>
      <c r="G508" s="73" t="n">
        <f aca="false">IFERROR((SUM($E$508:E508)+$F$477)/$C$477,0)</f>
        <v>0.595</v>
      </c>
      <c r="H508" s="205" t="n">
        <f aca="false">$E$22</f>
        <v>49734</v>
      </c>
      <c r="I508" s="206" t="s">
        <v>413</v>
      </c>
      <c r="J508" s="91" t="n">
        <v>0.01</v>
      </c>
      <c r="K508" s="91" t="n">
        <v>0.05</v>
      </c>
      <c r="L508" s="82" t="n">
        <f aca="false">K508+J508/(($E$17+$E$19+$E$21)/12)</f>
        <v>0.0519672131147541</v>
      </c>
      <c r="M508" s="219" t="s">
        <v>414</v>
      </c>
    </row>
    <row r="509" customFormat="false" ht="15" hidden="false" customHeight="false" outlineLevel="0" collapsed="false">
      <c r="B509" s="102" t="s">
        <v>427</v>
      </c>
      <c r="C509" s="205" t="n">
        <f aca="false">$E$16</f>
        <v>47907</v>
      </c>
      <c r="D509" s="191" t="n">
        <f aca="false">E509</f>
        <v>31272.255</v>
      </c>
      <c r="E509" s="191" t="n">
        <f aca="false">$G$477*F509</f>
        <v>31272.255</v>
      </c>
      <c r="F509" s="91" t="n">
        <v>0.15</v>
      </c>
      <c r="G509" s="73" t="n">
        <f aca="false">IFERROR((SUM($E$508:E509)+$F$477)/$C$477,0)</f>
        <v>0.7</v>
      </c>
      <c r="H509" s="205" t="n">
        <f aca="false">$E$22</f>
        <v>49734</v>
      </c>
      <c r="I509" s="206" t="s">
        <v>413</v>
      </c>
      <c r="J509" s="91" t="n">
        <v>0.01</v>
      </c>
      <c r="K509" s="91" t="n">
        <v>0.065</v>
      </c>
      <c r="L509" s="82" t="n">
        <f aca="false">K509+J509/(($E$17+$E$19+$E$21)/12)</f>
        <v>0.0669672131147541</v>
      </c>
      <c r="M509" s="219" t="s">
        <v>414</v>
      </c>
    </row>
    <row r="510" customFormat="false" ht="15" hidden="false" customHeight="false" outlineLevel="0" collapsed="false">
      <c r="B510" s="102" t="s">
        <v>428</v>
      </c>
      <c r="C510" s="205" t="n">
        <f aca="false">$E$16</f>
        <v>47907</v>
      </c>
      <c r="D510" s="191" t="n">
        <f aca="false">E510</f>
        <v>0</v>
      </c>
      <c r="E510" s="191" t="n">
        <f aca="false">$G$477*F510</f>
        <v>0</v>
      </c>
      <c r="F510" s="73" t="n">
        <f aca="false">1-F508-F509</f>
        <v>0</v>
      </c>
      <c r="G510" s="73" t="n">
        <f aca="false">IFERROR((SUM($E$508:E510)+$F$477)/$C$477,0)</f>
        <v>0.7</v>
      </c>
      <c r="H510" s="205" t="n">
        <f aca="false">$E$22</f>
        <v>49734</v>
      </c>
      <c r="I510" s="206" t="s">
        <v>413</v>
      </c>
      <c r="J510" s="91" t="n">
        <v>0.01</v>
      </c>
      <c r="K510" s="91" t="n">
        <v>0.07</v>
      </c>
      <c r="L510" s="82" t="n">
        <f aca="false">K510+J510/(($E$17+$E$19+$E$21)/12)</f>
        <v>0.0719672131147541</v>
      </c>
      <c r="M510" s="219" t="s">
        <v>414</v>
      </c>
    </row>
    <row r="511" customFormat="false" ht="15" hidden="false" customHeight="false" outlineLevel="0" collapsed="false">
      <c r="B511" s="77" t="s">
        <v>62</v>
      </c>
      <c r="C511" s="46"/>
      <c r="D511" s="208" t="n">
        <f aca="false">SUM(D508:D510)</f>
        <v>208481.7</v>
      </c>
      <c r="E511" s="208" t="n">
        <f aca="false">SUM(E508:E510)</f>
        <v>208481.7</v>
      </c>
      <c r="F511" s="97" t="n">
        <f aca="false">SUM(F508:F510)</f>
        <v>1</v>
      </c>
      <c r="G511" s="97" t="n">
        <f aca="false">G510</f>
        <v>0.7</v>
      </c>
      <c r="H511" s="46"/>
      <c r="I511" s="46"/>
      <c r="J511" s="97" t="n">
        <f aca="false">IFERROR(SUMPRODUCT(E508:E510,J508:J510)/E511,0)</f>
        <v>0.01</v>
      </c>
      <c r="K511" s="97" t="n">
        <f aca="false">IFERROR(SUMPRODUCT(E508:E510,K508:K510)/E511,0)</f>
        <v>0.05225</v>
      </c>
      <c r="L511" s="97" t="n">
        <f aca="false">IFERROR(SUMPRODUCT(E508:E510,L508:L510)/E511,0)</f>
        <v>0.0542172131147541</v>
      </c>
      <c r="M511" s="209"/>
    </row>
    <row r="513" customFormat="false" ht="15" hidden="false" customHeight="false" outlineLevel="0" collapsed="false">
      <c r="B513" s="139" t="s">
        <v>61</v>
      </c>
    </row>
    <row r="514" customFormat="false" ht="15" hidden="false" customHeight="false" outlineLevel="0" collapsed="false">
      <c r="B514" s="59" t="s">
        <v>63</v>
      </c>
      <c r="C514" s="60" t="s">
        <v>398</v>
      </c>
      <c r="D514" s="60" t="s">
        <v>399</v>
      </c>
      <c r="E514" s="60" t="s">
        <v>420</v>
      </c>
      <c r="F514" s="60" t="s">
        <v>401</v>
      </c>
      <c r="G514" s="61" t="s">
        <v>402</v>
      </c>
      <c r="H514" s="60" t="s">
        <v>403</v>
      </c>
      <c r="I514" s="60" t="s">
        <v>404</v>
      </c>
      <c r="J514" s="60" t="s">
        <v>405</v>
      </c>
      <c r="K514" s="60" t="s">
        <v>406</v>
      </c>
      <c r="L514" s="61" t="s">
        <v>407</v>
      </c>
      <c r="M514" s="64" t="s">
        <v>408</v>
      </c>
    </row>
    <row r="515" customFormat="false" ht="15" hidden="false" customHeight="false" outlineLevel="0" collapsed="false">
      <c r="B515" s="102" t="s">
        <v>426</v>
      </c>
      <c r="C515" s="205" t="n">
        <f aca="false">$E$16</f>
        <v>47907</v>
      </c>
      <c r="D515" s="191" t="n">
        <f aca="false">E515</f>
        <v>125771.1</v>
      </c>
      <c r="E515" s="191" t="n">
        <f aca="false">$G$478*F515</f>
        <v>125771.1</v>
      </c>
      <c r="F515" s="91" t="n">
        <v>0.85</v>
      </c>
      <c r="G515" s="73" t="n">
        <f aca="false">IFERROR((SUM($E$515:E515)+$F$478)/$C$478,0)</f>
        <v>0.595</v>
      </c>
      <c r="H515" s="205" t="n">
        <f aca="false">$E$22</f>
        <v>49734</v>
      </c>
      <c r="I515" s="206" t="s">
        <v>413</v>
      </c>
      <c r="J515" s="91" t="n">
        <v>0.01</v>
      </c>
      <c r="K515" s="91" t="n">
        <v>0.05</v>
      </c>
      <c r="L515" s="82" t="n">
        <f aca="false">K515+J515/(($E$17+$E$19+$E$21)/12)</f>
        <v>0.0519672131147541</v>
      </c>
      <c r="M515" s="219" t="s">
        <v>414</v>
      </c>
    </row>
    <row r="516" customFormat="false" ht="15" hidden="false" customHeight="false" outlineLevel="0" collapsed="false">
      <c r="B516" s="102" t="s">
        <v>427</v>
      </c>
      <c r="C516" s="205" t="n">
        <f aca="false">$E$16</f>
        <v>47907</v>
      </c>
      <c r="D516" s="191" t="n">
        <f aca="false">E516</f>
        <v>22194.9</v>
      </c>
      <c r="E516" s="191" t="n">
        <f aca="false">$G$478*F516</f>
        <v>22194.9</v>
      </c>
      <c r="F516" s="91" t="n">
        <v>0.15</v>
      </c>
      <c r="G516" s="73" t="n">
        <f aca="false">IFERROR((SUM($E$515:E516)+$F$478)/$C$478,0)</f>
        <v>0.7</v>
      </c>
      <c r="H516" s="205" t="n">
        <f aca="false">$E$22</f>
        <v>49734</v>
      </c>
      <c r="I516" s="206" t="s">
        <v>413</v>
      </c>
      <c r="J516" s="91" t="n">
        <v>0.01</v>
      </c>
      <c r="K516" s="91" t="n">
        <v>0.065</v>
      </c>
      <c r="L516" s="82" t="n">
        <f aca="false">K516+J516/(($E$17+$E$19+$E$21)/12)</f>
        <v>0.0669672131147541</v>
      </c>
      <c r="M516" s="219" t="s">
        <v>414</v>
      </c>
    </row>
    <row r="517" customFormat="false" ht="15" hidden="false" customHeight="false" outlineLevel="0" collapsed="false">
      <c r="B517" s="102" t="s">
        <v>428</v>
      </c>
      <c r="C517" s="205" t="n">
        <f aca="false">$E$16</f>
        <v>47907</v>
      </c>
      <c r="D517" s="191" t="n">
        <f aca="false">E517</f>
        <v>0</v>
      </c>
      <c r="E517" s="191" t="n">
        <f aca="false">$G$478*F517</f>
        <v>0</v>
      </c>
      <c r="F517" s="73" t="n">
        <f aca="false">1-F515-F516</f>
        <v>0</v>
      </c>
      <c r="G517" s="73" t="n">
        <f aca="false">IFERROR((SUM($E$515:E517)+$F$478)/$C$478,0)</f>
        <v>0.7</v>
      </c>
      <c r="H517" s="205" t="n">
        <f aca="false">$E$22</f>
        <v>49734</v>
      </c>
      <c r="I517" s="206" t="s">
        <v>413</v>
      </c>
      <c r="J517" s="91" t="n">
        <v>0.01</v>
      </c>
      <c r="K517" s="91" t="n">
        <v>0.07</v>
      </c>
      <c r="L517" s="82" t="n">
        <f aca="false">K517+J517/(($E$17+$E$19+$E$21)/12)</f>
        <v>0.0719672131147541</v>
      </c>
      <c r="M517" s="219" t="s">
        <v>414</v>
      </c>
    </row>
    <row r="518" customFormat="false" ht="15" hidden="false" customHeight="false" outlineLevel="0" collapsed="false">
      <c r="B518" s="77" t="s">
        <v>62</v>
      </c>
      <c r="C518" s="46"/>
      <c r="D518" s="208" t="n">
        <f aca="false">SUM(D515:D517)</f>
        <v>147966</v>
      </c>
      <c r="E518" s="208" t="n">
        <f aca="false">SUM(E515:E517)</f>
        <v>147966</v>
      </c>
      <c r="F518" s="97" t="n">
        <f aca="false">SUM(F515:F517)</f>
        <v>1</v>
      </c>
      <c r="G518" s="97" t="n">
        <f aca="false">G517</f>
        <v>0.7</v>
      </c>
      <c r="H518" s="46"/>
      <c r="I518" s="46"/>
      <c r="J518" s="97" t="n">
        <f aca="false">IFERROR(SUMPRODUCT(E515:E517,J515:J517)/E518,0)</f>
        <v>0.01</v>
      </c>
      <c r="K518" s="97" t="n">
        <f aca="false">IFERROR(SUMPRODUCT(E515:E517,K515:K517)/E518,0)</f>
        <v>0.05225</v>
      </c>
      <c r="L518" s="97" t="n">
        <f aca="false">IFERROR(SUMPRODUCT(E515:E517,L515:L517)/E518,0)</f>
        <v>0.0542172131147541</v>
      </c>
      <c r="M518" s="209"/>
    </row>
    <row r="520" customFormat="false" ht="15" hidden="false" customHeight="false" outlineLevel="0" collapsed="false">
      <c r="B520" s="87" t="s">
        <v>429</v>
      </c>
      <c r="C520" s="13"/>
      <c r="D520" s="13"/>
      <c r="E520" s="220" t="n">
        <f aca="false">SUM(E487:E489)+SUM(E494:E496)+SUM(E501:E503)+SUM(E508:E510)+SUM(E515:E517)</f>
        <v>759668.28</v>
      </c>
    </row>
    <row r="521" customFormat="false" ht="15" hidden="false" customHeight="false" outlineLevel="0" collapsed="false">
      <c r="B521" s="16" t="s">
        <v>430</v>
      </c>
      <c r="C521" s="17"/>
      <c r="D521" s="17"/>
      <c r="E521" s="93" t="n">
        <f aca="false">SUMPRODUCT(E487:E489,K487:K489)+SUMPRODUCT(E494:E496,K494:K496)+SUMPRODUCT(E501:E503,K501:K503)+SUMPRODUCT(E508:E510,K508:K510)+SUMPRODUCT(E515:E517,K515:K517)</f>
        <v>39775.714055</v>
      </c>
    </row>
    <row r="522" customFormat="false" ht="15" hidden="false" customHeight="false" outlineLevel="0" collapsed="false">
      <c r="B522" s="16" t="s">
        <v>431</v>
      </c>
      <c r="C522" s="17"/>
      <c r="D522" s="17"/>
      <c r="E522" s="93" t="n">
        <f aca="false">SUMPRODUCT(E487:E489,J487:J489)+SUMPRODUCT(E494:E496,J494:J496)+SUMPRODUCT(E501:E503,J501:J503)+SUMPRODUCT(E508:E510,J508:J510)+SUMPRODUCT(E515:E517,J515:J517)</f>
        <v>7596.6828</v>
      </c>
    </row>
    <row r="523" customFormat="false" ht="15" hidden="false" customHeight="false" outlineLevel="0" collapsed="false">
      <c r="B523" s="22" t="s">
        <v>432</v>
      </c>
      <c r="C523" s="23"/>
      <c r="D523" s="23"/>
      <c r="E523" s="221" t="n">
        <f aca="false">$E$22</f>
        <v>49734</v>
      </c>
    </row>
    <row r="525" customFormat="false" ht="15" hidden="false" customHeight="false" outlineLevel="0" collapsed="false">
      <c r="B525" s="110" t="s">
        <v>433</v>
      </c>
    </row>
    <row r="526" customFormat="false" ht="15" hidden="false" customHeight="false" outlineLevel="0" collapsed="false">
      <c r="B526" s="59" t="s">
        <v>63</v>
      </c>
      <c r="C526" s="60" t="s">
        <v>398</v>
      </c>
      <c r="D526" s="60" t="s">
        <v>399</v>
      </c>
      <c r="E526" s="60" t="s">
        <v>420</v>
      </c>
      <c r="F526" s="60" t="s">
        <v>401</v>
      </c>
      <c r="G526" s="61" t="s">
        <v>402</v>
      </c>
      <c r="H526" s="60" t="s">
        <v>403</v>
      </c>
      <c r="I526" s="60" t="s">
        <v>404</v>
      </c>
      <c r="J526" s="60" t="s">
        <v>405</v>
      </c>
      <c r="K526" s="60" t="s">
        <v>406</v>
      </c>
      <c r="L526" s="61" t="s">
        <v>407</v>
      </c>
      <c r="M526" s="60" t="s">
        <v>408</v>
      </c>
      <c r="N526" s="60" t="s">
        <v>434</v>
      </c>
      <c r="O526" s="64" t="s">
        <v>435</v>
      </c>
    </row>
    <row r="527" customFormat="false" ht="15" hidden="false" customHeight="false" outlineLevel="0" collapsed="false">
      <c r="B527" s="16" t="s">
        <v>436</v>
      </c>
      <c r="C527" s="90" t="n">
        <v>47907</v>
      </c>
      <c r="D527" s="222" t="n">
        <v>0</v>
      </c>
      <c r="E527" s="191" t="n">
        <f aca="false">D527</f>
        <v>0</v>
      </c>
      <c r="F527" s="73" t="n">
        <f aca="false">IFERROR(E527/SUM($E$527:$E$529),0)</f>
        <v>0</v>
      </c>
      <c r="G527" s="223"/>
      <c r="H527" s="90" t="n">
        <v>50221</v>
      </c>
      <c r="I527" s="206" t="s">
        <v>413</v>
      </c>
      <c r="J527" s="223"/>
      <c r="K527" s="91" t="n">
        <v>0.046</v>
      </c>
      <c r="L527" s="82" t="n">
        <f aca="false">K527</f>
        <v>0.046</v>
      </c>
      <c r="M527" s="207" t="s">
        <v>414</v>
      </c>
      <c r="N527" s="224" t="n">
        <f aca="false">EOMONTH(C527,0)</f>
        <v>47907</v>
      </c>
      <c r="O527" s="92" t="n">
        <f aca="false">EOMONTH(H527,0)</f>
        <v>50221</v>
      </c>
    </row>
    <row r="528" customFormat="false" ht="15" hidden="false" customHeight="false" outlineLevel="0" collapsed="false">
      <c r="B528" s="16" t="s">
        <v>437</v>
      </c>
      <c r="C528" s="90" t="n">
        <v>47907</v>
      </c>
      <c r="D528" s="222" t="n">
        <v>0</v>
      </c>
      <c r="E528" s="191" t="n">
        <f aca="false">D528</f>
        <v>0</v>
      </c>
      <c r="F528" s="73" t="n">
        <f aca="false">IFERROR(E528/SUM($E$527:$E$529),0)</f>
        <v>0</v>
      </c>
      <c r="G528" s="223"/>
      <c r="H528" s="90" t="n">
        <v>48395</v>
      </c>
      <c r="I528" s="206" t="s">
        <v>413</v>
      </c>
      <c r="J528" s="223"/>
      <c r="K528" s="91" t="n">
        <v>0.046</v>
      </c>
      <c r="L528" s="82" t="n">
        <f aca="false">K528</f>
        <v>0.046</v>
      </c>
      <c r="M528" s="207" t="s">
        <v>414</v>
      </c>
      <c r="N528" s="224" t="n">
        <f aca="false">EOMONTH(C528,0)</f>
        <v>47907</v>
      </c>
      <c r="O528" s="92" t="n">
        <f aca="false">EOMONTH(H528,0)</f>
        <v>48395</v>
      </c>
    </row>
    <row r="529" customFormat="false" ht="15" hidden="false" customHeight="false" outlineLevel="0" collapsed="false">
      <c r="B529" s="16" t="s">
        <v>438</v>
      </c>
      <c r="C529" s="90" t="n">
        <v>47907</v>
      </c>
      <c r="D529" s="222" t="n">
        <v>0</v>
      </c>
      <c r="E529" s="191" t="n">
        <f aca="false">D529</f>
        <v>0</v>
      </c>
      <c r="F529" s="73" t="n">
        <f aca="false">IFERROR(E529/SUM($E$527:$E$529),0)</f>
        <v>0</v>
      </c>
      <c r="G529" s="223"/>
      <c r="H529" s="90" t="n">
        <v>48760</v>
      </c>
      <c r="I529" s="206" t="s">
        <v>413</v>
      </c>
      <c r="J529" s="223"/>
      <c r="K529" s="91" t="n">
        <v>0.046</v>
      </c>
      <c r="L529" s="82" t="n">
        <f aca="false">K529</f>
        <v>0.046</v>
      </c>
      <c r="M529" s="207" t="s">
        <v>414</v>
      </c>
      <c r="N529" s="224" t="n">
        <f aca="false">EOMONTH(C529,0)</f>
        <v>47907</v>
      </c>
      <c r="O529" s="92" t="n">
        <f aca="false">EOMONTH(H529,0)</f>
        <v>48760</v>
      </c>
    </row>
    <row r="530" customFormat="false" ht="15" hidden="false" customHeight="false" outlineLevel="0" collapsed="false">
      <c r="B530" s="77" t="s">
        <v>62</v>
      </c>
      <c r="C530" s="46"/>
      <c r="D530" s="208" t="n">
        <f aca="false">SUM(D527:D529)</f>
        <v>0</v>
      </c>
      <c r="E530" s="208" t="n">
        <f aca="false">SUM(E527:E529)</f>
        <v>0</v>
      </c>
      <c r="F530" s="46"/>
      <c r="G530" s="46"/>
      <c r="H530" s="46"/>
      <c r="I530" s="46"/>
      <c r="J530" s="46"/>
      <c r="K530" s="46"/>
      <c r="L530" s="46"/>
      <c r="M530" s="46"/>
      <c r="N530" s="46"/>
      <c r="O530" s="209"/>
    </row>
    <row r="531" customFormat="false" ht="15" hidden="false" customHeight="false" outlineLevel="0" collapsed="false">
      <c r="B531" s="200" t="s">
        <v>439</v>
      </c>
    </row>
    <row r="533" customFormat="false" ht="15" hidden="false" customHeight="false" outlineLevel="0" collapsed="false">
      <c r="A533" s="11" t="s">
        <v>440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5" customFormat="false" ht="15" hidden="false" customHeight="false" outlineLevel="0" collapsed="false">
      <c r="B535" s="12" t="s">
        <v>441</v>
      </c>
      <c r="C535" s="225" t="s">
        <v>116</v>
      </c>
      <c r="D535" s="88" t="n">
        <v>500</v>
      </c>
    </row>
    <row r="536" customFormat="false" ht="15" hidden="false" customHeight="false" outlineLevel="0" collapsed="false">
      <c r="B536" s="16" t="s">
        <v>442</v>
      </c>
      <c r="C536" s="18" t="s">
        <v>443</v>
      </c>
      <c r="D536" s="89" t="n">
        <v>40</v>
      </c>
    </row>
    <row r="537" customFormat="false" ht="15" hidden="false" customHeight="false" outlineLevel="0" collapsed="false">
      <c r="B537" s="16" t="s">
        <v>444</v>
      </c>
      <c r="C537" s="18" t="s">
        <v>124</v>
      </c>
      <c r="D537" s="95" t="n">
        <v>0.03</v>
      </c>
    </row>
    <row r="538" customFormat="false" ht="15" hidden="false" customHeight="false" outlineLevel="0" collapsed="false">
      <c r="B538" s="16" t="s">
        <v>445</v>
      </c>
      <c r="C538" s="18" t="s">
        <v>124</v>
      </c>
      <c r="D538" s="95" t="n">
        <v>0.05</v>
      </c>
    </row>
    <row r="539" customFormat="false" ht="15" hidden="false" customHeight="false" outlineLevel="0" collapsed="false">
      <c r="B539" s="217" t="s">
        <v>446</v>
      </c>
      <c r="C539" s="24" t="s">
        <v>124</v>
      </c>
      <c r="D539" s="99" t="n">
        <v>0.1</v>
      </c>
    </row>
    <row r="541" customFormat="false" ht="15" hidden="false" customHeight="false" outlineLevel="0" collapsed="false">
      <c r="A541" s="26" t="s">
        <v>12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15" hidden="false" customHeight="false" outlineLevel="0" collapsed="false">
      <c r="B542" s="200" t="s">
        <v>447</v>
      </c>
    </row>
    <row r="543" customFormat="false" ht="15" hidden="false" customHeight="false" outlineLevel="0" collapsed="false">
      <c r="B543" s="59" t="s">
        <v>245</v>
      </c>
      <c r="C543" s="61"/>
      <c r="D543" s="61" t="s">
        <v>448</v>
      </c>
      <c r="E543" s="61" t="s">
        <v>449</v>
      </c>
      <c r="F543" s="101" t="s">
        <v>450</v>
      </c>
    </row>
    <row r="544" customFormat="false" ht="15" hidden="false" customHeight="false" outlineLevel="0" collapsed="false">
      <c r="B544" s="16" t="s">
        <v>339</v>
      </c>
      <c r="C544" s="17"/>
      <c r="D544" s="120" t="n">
        <f aca="false">$E$422</f>
        <v>287378.385965576</v>
      </c>
      <c r="E544" s="226" t="n">
        <v>287378.385967</v>
      </c>
      <c r="F544" s="93" t="n">
        <f aca="false">D544-E544</f>
        <v>-1.42428325489163E-006</v>
      </c>
    </row>
    <row r="545" customFormat="false" ht="15" hidden="false" customHeight="false" outlineLevel="0" collapsed="false">
      <c r="B545" s="102" t="s">
        <v>315</v>
      </c>
      <c r="C545" s="17"/>
      <c r="D545" s="114" t="n">
        <f aca="false">SUM(CF!$E$108:$EF$108)</f>
        <v>31542.5543969337</v>
      </c>
      <c r="E545" s="226" t="n">
        <v>31542.554397</v>
      </c>
      <c r="F545" s="93" t="n">
        <f aca="false">D545-E545</f>
        <v>-6.62694219499826E-008</v>
      </c>
    </row>
    <row r="546" customFormat="false" ht="15" hidden="false" customHeight="false" outlineLevel="0" collapsed="false">
      <c r="B546" s="102" t="s">
        <v>318</v>
      </c>
      <c r="C546" s="17"/>
      <c r="D546" s="114" t="n">
        <f aca="false">SUM(CF!$E$107:$EF$107)</f>
        <v>19183.889358983</v>
      </c>
      <c r="E546" s="226" t="n">
        <v>19183.889359</v>
      </c>
      <c r="F546" s="93" t="n">
        <f aca="false">D546-E546</f>
        <v>-1.69929990079254E-008</v>
      </c>
    </row>
    <row r="547" customFormat="false" ht="15" hidden="false" customHeight="false" outlineLevel="0" collapsed="false">
      <c r="B547" s="102" t="s">
        <v>319</v>
      </c>
      <c r="C547" s="17"/>
      <c r="D547" s="114" t="n">
        <f aca="false">SUM(CF!$E$106:$EF$106)</f>
        <v>17629.9193834195</v>
      </c>
      <c r="E547" s="226" t="n">
        <v>17629.919383</v>
      </c>
      <c r="F547" s="93" t="n">
        <f aca="false">D547-E547</f>
        <v>4.1945168050006E-007</v>
      </c>
    </row>
    <row r="548" customFormat="false" ht="15" hidden="false" customHeight="false" outlineLevel="0" collapsed="false">
      <c r="B548" s="102" t="s">
        <v>320</v>
      </c>
      <c r="C548" s="17"/>
      <c r="D548" s="114" t="n">
        <f aca="false">SUM(CF!$E$111:$EF$111)</f>
        <v>1080.44375537702</v>
      </c>
      <c r="E548" s="226" t="n">
        <v>1080.443755</v>
      </c>
      <c r="F548" s="93" t="n">
        <f aca="false">D548-E548</f>
        <v>3.77022615793976E-007</v>
      </c>
    </row>
    <row r="549" customFormat="false" ht="15" hidden="false" customHeight="false" outlineLevel="0" collapsed="false">
      <c r="B549" s="102" t="s">
        <v>321</v>
      </c>
      <c r="C549" s="17"/>
      <c r="D549" s="114" t="n">
        <f aca="false">SUM(CF!$E$110:$EF$110)</f>
        <v>1560.68097022578</v>
      </c>
      <c r="E549" s="226" t="n">
        <v>1560.68097</v>
      </c>
      <c r="F549" s="93" t="n">
        <f aca="false">D549-E549</f>
        <v>2.25776602746919E-007</v>
      </c>
    </row>
    <row r="550" customFormat="false" ht="15" hidden="false" customHeight="false" outlineLevel="0" collapsed="false">
      <c r="B550" s="102" t="s">
        <v>322</v>
      </c>
      <c r="C550" s="17"/>
      <c r="D550" s="114" t="n">
        <f aca="false">SUM(CF!$E$109:$EF$109)</f>
        <v>13013.0590317863</v>
      </c>
      <c r="E550" s="226" t="n">
        <v>13013.059032</v>
      </c>
      <c r="F550" s="93" t="n">
        <f aca="false">D550-E550</f>
        <v>-2.13667590287514E-007</v>
      </c>
    </row>
    <row r="551" customFormat="false" ht="15" hidden="false" customHeight="false" outlineLevel="0" collapsed="false">
      <c r="B551" s="102" t="s">
        <v>323</v>
      </c>
      <c r="C551" s="17"/>
      <c r="D551" s="114" t="n">
        <f aca="false">SUM(CF!$E$105:$EF$105)</f>
        <v>1641.50534063537</v>
      </c>
      <c r="E551" s="226" t="n">
        <v>1641.505341</v>
      </c>
      <c r="F551" s="93" t="n">
        <f aca="false">D551-E551</f>
        <v>-3.64632114724373E-007</v>
      </c>
    </row>
    <row r="552" customFormat="false" ht="15" hidden="false" customHeight="false" outlineLevel="0" collapsed="false">
      <c r="B552" s="102" t="s">
        <v>324</v>
      </c>
      <c r="C552" s="17"/>
      <c r="D552" s="114" t="n">
        <f aca="false">SUM(CF!$E$104:$EF$104)</f>
        <v>1642.65485417923</v>
      </c>
      <c r="E552" s="226" t="n">
        <v>1642.654854</v>
      </c>
      <c r="F552" s="93" t="n">
        <f aca="false">D552-E552</f>
        <v>1.79230937646935E-007</v>
      </c>
    </row>
    <row r="553" customFormat="false" ht="15" hidden="false" customHeight="false" outlineLevel="0" collapsed="false">
      <c r="B553" s="217" t="s">
        <v>325</v>
      </c>
      <c r="C553" s="23"/>
      <c r="D553" s="227" t="n">
        <f aca="false">SUM(CF!$E$103:$EF$103)</f>
        <v>8210.97524380843</v>
      </c>
      <c r="E553" s="228" t="n">
        <v>8210.975244</v>
      </c>
      <c r="F553" s="109" t="n">
        <f aca="false">D553-E553</f>
        <v>-1.91570507013239E-007</v>
      </c>
    </row>
    <row r="556" customFormat="false" ht="15" hidden="false" customHeight="false" outlineLevel="0" collapsed="false">
      <c r="A556" s="11" t="s">
        <v>451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15" hidden="false" customHeight="false" outlineLevel="0" collapsed="false">
      <c r="C557" s="229" t="s">
        <v>452</v>
      </c>
      <c r="D557" s="229"/>
      <c r="E557" s="229"/>
      <c r="F557" s="229"/>
      <c r="G557" s="229"/>
      <c r="H557" s="229"/>
    </row>
    <row r="558" customFormat="false" ht="15" hidden="false" customHeight="false" outlineLevel="0" collapsed="false">
      <c r="B558" s="118" t="s">
        <v>205</v>
      </c>
      <c r="C558" s="63" t="s">
        <v>64</v>
      </c>
      <c r="D558" s="141" t="s">
        <v>57</v>
      </c>
      <c r="E558" s="142" t="s">
        <v>58</v>
      </c>
      <c r="F558" s="143" t="s">
        <v>59</v>
      </c>
      <c r="G558" s="144" t="s">
        <v>60</v>
      </c>
      <c r="H558" s="146" t="s">
        <v>61</v>
      </c>
    </row>
    <row r="559" customFormat="false" ht="15" hidden="false" customHeight="false" outlineLevel="0" collapsed="false">
      <c r="B559" s="65" t="s">
        <v>453</v>
      </c>
      <c r="C559" s="121" t="n">
        <f aca="false">SUM(D559:H559)</f>
        <v>1496575.89662499</v>
      </c>
      <c r="D559" s="122" t="n">
        <f aca="false">$L$333</f>
        <v>397694.077786451</v>
      </c>
      <c r="E559" s="122" t="n">
        <f aca="false">$M$333</f>
        <v>230693.928749224</v>
      </c>
      <c r="F559" s="122" t="n">
        <f aca="false">$N$333</f>
        <v>408851.846093241</v>
      </c>
      <c r="G559" s="122" t="n">
        <f aca="false">$O$333</f>
        <v>268849.032444263</v>
      </c>
      <c r="H559" s="123" t="n">
        <f aca="false">$P$333</f>
        <v>190487.011551809</v>
      </c>
    </row>
    <row r="560" customFormat="false" ht="15" hidden="false" customHeight="false" outlineLevel="0" collapsed="false">
      <c r="B560" s="16" t="s">
        <v>454</v>
      </c>
      <c r="C560" s="121" t="n">
        <f aca="false">SUM(D560:H560)</f>
        <v>476421.12</v>
      </c>
      <c r="D560" s="114" t="n">
        <f aca="false">$F$474</f>
        <v>302400</v>
      </c>
      <c r="E560" s="114" t="n">
        <f aca="false">$F$475</f>
        <v>174021.12</v>
      </c>
      <c r="F560" s="114" t="n">
        <f aca="false">$F$476</f>
        <v>0</v>
      </c>
      <c r="G560" s="114" t="n">
        <f aca="false">$F$477</f>
        <v>0</v>
      </c>
      <c r="H560" s="230" t="n">
        <f aca="false">$F$478</f>
        <v>0</v>
      </c>
    </row>
    <row r="561" customFormat="false" ht="15" hidden="false" customHeight="false" outlineLevel="0" collapsed="false">
      <c r="B561" s="65" t="s">
        <v>455</v>
      </c>
      <c r="C561" s="121" t="n">
        <f aca="false">SUM(D561:H561)</f>
        <v>1020154.77662499</v>
      </c>
      <c r="D561" s="122" t="n">
        <f aca="false">D559-D560</f>
        <v>95294.0777864506</v>
      </c>
      <c r="E561" s="122" t="n">
        <f aca="false">E559-E560</f>
        <v>56672.8087492239</v>
      </c>
      <c r="F561" s="122" t="n">
        <f aca="false">F559-F560</f>
        <v>408851.846093241</v>
      </c>
      <c r="G561" s="122" t="n">
        <f aca="false">G559-G560</f>
        <v>268849.032444263</v>
      </c>
      <c r="H561" s="123" t="n">
        <f aca="false">H559-H560</f>
        <v>190487.011551809</v>
      </c>
    </row>
    <row r="562" customFormat="false" ht="15" hidden="false" customHeight="false" outlineLevel="0" collapsed="false">
      <c r="B562" s="231" t="s">
        <v>456</v>
      </c>
      <c r="C562" s="232" t="n">
        <f aca="false">SUM(D562:H562)</f>
        <v>1</v>
      </c>
      <c r="D562" s="73" t="n">
        <f aca="false">MAX(0,D561)/SUMIF($D$561:$H$561,"&gt;0")</f>
        <v>0.0934113920455435</v>
      </c>
      <c r="E562" s="73" t="n">
        <f aca="false">MAX(0,E561)/SUMIF($D$561:$H$561,"&gt;0")</f>
        <v>0.0555531474711283</v>
      </c>
      <c r="F562" s="73" t="n">
        <f aca="false">MAX(0,F561)/SUMIF($D$561:$H$561,"&gt;0")</f>
        <v>0.400774329014916</v>
      </c>
      <c r="G562" s="73" t="n">
        <f aca="false">MAX(0,G561)/SUMIF($D$561:$H$561,"&gt;0")</f>
        <v>0.263537493137762</v>
      </c>
      <c r="H562" s="76" t="n">
        <f aca="false">MAX(0,H561)/SUMIF($D$561:$H$561,"&gt;0")</f>
        <v>0.18672363833065</v>
      </c>
    </row>
    <row r="563" customFormat="false" ht="15" hidden="false" customHeight="false" outlineLevel="0" collapsed="false">
      <c r="B563" s="102" t="s">
        <v>457</v>
      </c>
      <c r="C563" s="74" t="n">
        <f aca="false">SUM(D563:H563)</f>
        <v>1</v>
      </c>
      <c r="D563" s="91" t="n">
        <v>0.13007</v>
      </c>
      <c r="E563" s="91" t="n">
        <v>0.19969</v>
      </c>
      <c r="F563" s="91" t="n">
        <v>0.31625</v>
      </c>
      <c r="G563" s="91" t="n">
        <v>0.20717</v>
      </c>
      <c r="H563" s="76" t="n">
        <f aca="false">1-SUM(D563:G563)</f>
        <v>0.14682</v>
      </c>
    </row>
    <row r="564" customFormat="false" ht="15" hidden="false" customHeight="false" outlineLevel="0" collapsed="false">
      <c r="B564" s="29" t="s">
        <v>458</v>
      </c>
      <c r="C564" s="121" t="n">
        <f aca="false">SUM(D564:H564)</f>
        <v>287378.385965576</v>
      </c>
      <c r="D564" s="122" t="n">
        <f aca="false">$E$422*D563</f>
        <v>37379.3066625424</v>
      </c>
      <c r="E564" s="122" t="n">
        <f aca="false">$E$422*E563</f>
        <v>57386.5898934658</v>
      </c>
      <c r="F564" s="122" t="n">
        <f aca="false">$E$422*F563</f>
        <v>90883.4145616133</v>
      </c>
      <c r="G564" s="122" t="n">
        <f aca="false">$E$422*G563</f>
        <v>59536.1802204883</v>
      </c>
      <c r="H564" s="123" t="n">
        <f aca="false">$E$422*H563</f>
        <v>42192.8946274658</v>
      </c>
    </row>
    <row r="565" customFormat="false" ht="15" hidden="false" customHeight="false" outlineLevel="0" collapsed="false">
      <c r="B565" s="102" t="s">
        <v>459</v>
      </c>
      <c r="C565" s="120" t="n">
        <f aca="false">$E$422</f>
        <v>287378.385965576</v>
      </c>
      <c r="D565" s="17"/>
      <c r="E565" s="17"/>
      <c r="F565" s="17"/>
      <c r="G565" s="17"/>
      <c r="H565" s="69"/>
    </row>
    <row r="566" customFormat="false" ht="15" hidden="false" customHeight="false" outlineLevel="0" collapsed="false">
      <c r="B566" s="16" t="s">
        <v>460</v>
      </c>
      <c r="C566" s="120" t="n">
        <f aca="false">C564-C565</f>
        <v>0</v>
      </c>
      <c r="D566" s="233" t="str">
        <f aca="false">IF(ABS(C566)&lt;1,"OK","Error")</f>
        <v>OK</v>
      </c>
      <c r="E566" s="17"/>
      <c r="F566" s="17"/>
      <c r="G566" s="17"/>
      <c r="H566" s="69"/>
    </row>
    <row r="567" customFormat="false" ht="15" hidden="false" customHeight="false" outlineLevel="0" collapsed="false">
      <c r="B567" s="16" t="s">
        <v>461</v>
      </c>
      <c r="C567" s="121" t="n">
        <f aca="false">SUM(D567:H567)</f>
        <v>201164.870175903</v>
      </c>
      <c r="D567" s="120" t="n">
        <f aca="false">$E$428*D563</f>
        <v>26165.5146637797</v>
      </c>
      <c r="E567" s="120" t="n">
        <f aca="false">$E$428*E563</f>
        <v>40170.6129254261</v>
      </c>
      <c r="F567" s="120" t="n">
        <f aca="false">$E$428*F563</f>
        <v>63618.3901931293</v>
      </c>
      <c r="G567" s="120" t="n">
        <f aca="false">$E$428*G563</f>
        <v>41675.3261543418</v>
      </c>
      <c r="H567" s="93" t="n">
        <f aca="false">$E$428*H563</f>
        <v>29535.0262392261</v>
      </c>
    </row>
    <row r="568" customFormat="false" ht="15" hidden="false" customHeight="false" outlineLevel="0" collapsed="false">
      <c r="B568" s="16" t="s">
        <v>462</v>
      </c>
      <c r="C568" s="121" t="n">
        <f aca="false">SUM(D568:H568)</f>
        <v>86213.5157896727</v>
      </c>
      <c r="D568" s="120" t="n">
        <f aca="false">$E$434*D563</f>
        <v>11213.7919987627</v>
      </c>
      <c r="E568" s="120" t="n">
        <f aca="false">$E$434*E563</f>
        <v>17215.9769680397</v>
      </c>
      <c r="F568" s="120" t="n">
        <f aca="false">$E$434*F563</f>
        <v>27265.024368484</v>
      </c>
      <c r="G568" s="120" t="n">
        <f aca="false">$E$434*G563</f>
        <v>17860.8540661465</v>
      </c>
      <c r="H568" s="93" t="n">
        <f aca="false">$E$434*H563</f>
        <v>12657.8683882398</v>
      </c>
    </row>
    <row r="569" customFormat="false" ht="15" hidden="false" customHeight="false" outlineLevel="0" collapsed="false">
      <c r="B569" s="102" t="s">
        <v>463</v>
      </c>
      <c r="C569" s="121" t="n">
        <f aca="false">SUM(D569:H569)</f>
        <v>732776.390659412</v>
      </c>
      <c r="D569" s="120" t="n">
        <f aca="false">D561-D564</f>
        <v>57914.7711239081</v>
      </c>
      <c r="E569" s="120" t="n">
        <f aca="false">E561-E564</f>
        <v>-713.781144241926</v>
      </c>
      <c r="F569" s="120" t="n">
        <f aca="false">F561-F564</f>
        <v>317968.431531628</v>
      </c>
      <c r="G569" s="120" t="n">
        <f aca="false">G561-G564</f>
        <v>209312.852223774</v>
      </c>
      <c r="H569" s="93" t="n">
        <f aca="false">H561-H564</f>
        <v>148294.116924343</v>
      </c>
    </row>
    <row r="570" customFormat="false" ht="15" hidden="false" customHeight="false" outlineLevel="0" collapsed="false">
      <c r="B570" s="234" t="s">
        <v>464</v>
      </c>
      <c r="C570" s="232" t="n">
        <f aca="false">SUM(D570:H570)</f>
        <v>1</v>
      </c>
      <c r="D570" s="73" t="n">
        <f aca="false">MAX(0,D569)/SUMIF($D$569:$H$569,"&gt;0")</f>
        <v>0.0789578011406691</v>
      </c>
      <c r="E570" s="73" t="n">
        <f aca="false">MAX(0,E569)/SUMIF($D$569:$H$569,"&gt;0")</f>
        <v>0</v>
      </c>
      <c r="F570" s="73" t="n">
        <f aca="false">MAX(0,F569)/SUMIF($D$569:$H$569,"&gt;0")</f>
        <v>0.433500602673029</v>
      </c>
      <c r="G570" s="73" t="n">
        <f aca="false">MAX(0,G569)/SUMIF($D$569:$H$569,"&gt;0")</f>
        <v>0.285365585348027</v>
      </c>
      <c r="H570" s="76" t="n">
        <f aca="false">MAX(0,H569)/SUMIF($D$569:$H$569,"&gt;0")</f>
        <v>0.202176010838275</v>
      </c>
    </row>
    <row r="571" customFormat="false" ht="15" hidden="false" customHeight="false" outlineLevel="0" collapsed="false">
      <c r="B571" s="29" t="s">
        <v>465</v>
      </c>
      <c r="C571" s="121" t="n">
        <f aca="false">SUM(D571:H571)</f>
        <v>632619.287228062</v>
      </c>
      <c r="D571" s="122" t="n">
        <f aca="false">$E$470*D570</f>
        <v>49950.2278787052</v>
      </c>
      <c r="E571" s="122" t="n">
        <f aca="false">$E$470*E570</f>
        <v>0</v>
      </c>
      <c r="F571" s="122" t="n">
        <f aca="false">$E$470*F570</f>
        <v>274240.842275947</v>
      </c>
      <c r="G571" s="122" t="n">
        <f aca="false">$E$470*G570</f>
        <v>180527.773202288</v>
      </c>
      <c r="H571" s="123" t="n">
        <f aca="false">$E$470*H570</f>
        <v>127900.443871122</v>
      </c>
    </row>
    <row r="572" customFormat="false" ht="15" hidden="false" customHeight="false" outlineLevel="0" collapsed="false">
      <c r="B572" s="102" t="s">
        <v>466</v>
      </c>
      <c r="C572" s="121" t="n">
        <f aca="false">SUM(D572:H572)</f>
        <v>304203.267746602</v>
      </c>
      <c r="D572" s="120" t="n">
        <f aca="false">$E$467*D570</f>
        <v>24019.221121078</v>
      </c>
      <c r="E572" s="120" t="n">
        <f aca="false">$E$467*E570</f>
        <v>0</v>
      </c>
      <c r="F572" s="120" t="n">
        <f aca="false">$E$467*F570</f>
        <v>131872.299903257</v>
      </c>
      <c r="G572" s="120" t="n">
        <f aca="false">$E$467*G570</f>
        <v>86809.1435652917</v>
      </c>
      <c r="H572" s="93" t="n">
        <f aca="false">$E$467*H570</f>
        <v>61502.6031569756</v>
      </c>
    </row>
    <row r="573" customFormat="false" ht="15" hidden="false" customHeight="false" outlineLevel="0" collapsed="false">
      <c r="B573" s="102" t="s">
        <v>467</v>
      </c>
      <c r="C573" s="121" t="n">
        <f aca="false">SUM(D573:H573)</f>
        <v>164265.485417923</v>
      </c>
      <c r="D573" s="120" t="n">
        <f aca="false">$E$468*D570</f>
        <v>12970.0415319039</v>
      </c>
      <c r="E573" s="120" t="n">
        <f aca="false">$E$468*E570</f>
        <v>0</v>
      </c>
      <c r="F573" s="120" t="n">
        <f aca="false">$E$468*F570</f>
        <v>71209.1869270474</v>
      </c>
      <c r="G573" s="120" t="n">
        <f aca="false">$E$468*G570</f>
        <v>46875.7163987634</v>
      </c>
      <c r="H573" s="93" t="n">
        <f aca="false">$E$468*H570</f>
        <v>33210.5405602085</v>
      </c>
    </row>
    <row r="574" customFormat="false" ht="15" hidden="false" customHeight="false" outlineLevel="0" collapsed="false">
      <c r="B574" s="102" t="s">
        <v>468</v>
      </c>
      <c r="C574" s="121" t="n">
        <f aca="false">SUM(D574:H574)</f>
        <v>164150.534063537</v>
      </c>
      <c r="D574" s="120" t="n">
        <f aca="false">$E$469*D570</f>
        <v>12960.9652257234</v>
      </c>
      <c r="E574" s="120" t="n">
        <f aca="false">$E$469*E570</f>
        <v>0</v>
      </c>
      <c r="F574" s="120" t="n">
        <f aca="false">$E$469*F570</f>
        <v>71159.3554456428</v>
      </c>
      <c r="G574" s="120" t="n">
        <f aca="false">$E$469*G570</f>
        <v>46842.9132382324</v>
      </c>
      <c r="H574" s="93" t="n">
        <f aca="false">$E$469*H570</f>
        <v>33187.3001539382</v>
      </c>
    </row>
    <row r="575" customFormat="false" ht="15" hidden="false" customHeight="false" outlineLevel="0" collapsed="false">
      <c r="B575" s="65" t="s">
        <v>469</v>
      </c>
      <c r="C575" s="121" t="n">
        <f aca="false">SUM(D575:H575)</f>
        <v>1396418.79319364</v>
      </c>
      <c r="D575" s="122" t="n">
        <f aca="false">D560+D564+D571</f>
        <v>389729.534541248</v>
      </c>
      <c r="E575" s="122" t="n">
        <f aca="false">E560+E564+E571</f>
        <v>231407.709893466</v>
      </c>
      <c r="F575" s="122" t="n">
        <f aca="false">F560+F564+F571</f>
        <v>365124.256837561</v>
      </c>
      <c r="G575" s="122" t="n">
        <f aca="false">G560+G564+G571</f>
        <v>240063.953422776</v>
      </c>
      <c r="H575" s="123" t="n">
        <f aca="false">H560+H564+H571</f>
        <v>170093.338498588</v>
      </c>
    </row>
    <row r="576" customFormat="false" ht="15" hidden="false" customHeight="false" outlineLevel="0" collapsed="false">
      <c r="B576" s="16" t="s">
        <v>470</v>
      </c>
      <c r="C576" s="121" t="n">
        <f aca="false">SUM(D576:H576)</f>
        <v>-100157.10343135</v>
      </c>
      <c r="D576" s="120" t="n">
        <f aca="false">D575-D559</f>
        <v>-7964.54324520292</v>
      </c>
      <c r="E576" s="120" t="n">
        <f aca="false">E575-E559</f>
        <v>713.781144241919</v>
      </c>
      <c r="F576" s="120" t="n">
        <f aca="false">F575-F559</f>
        <v>-43727.5892556805</v>
      </c>
      <c r="G576" s="120" t="n">
        <f aca="false">G575-G559</f>
        <v>-28785.0790214869</v>
      </c>
      <c r="H576" s="93" t="n">
        <f aca="false">H575-H559</f>
        <v>-20393.6730532211</v>
      </c>
    </row>
    <row r="577" customFormat="false" ht="15" hidden="false" customHeight="false" outlineLevel="0" collapsed="false">
      <c r="B577" s="234" t="s">
        <v>471</v>
      </c>
      <c r="C577" s="232" t="n">
        <f aca="false">C564/C559</f>
        <v>0.192023930502729</v>
      </c>
      <c r="D577" s="73" t="n">
        <f aca="false">IFERROR(D564/D559,0)</f>
        <v>0.0939901013125319</v>
      </c>
      <c r="E577" s="73" t="n">
        <f aca="false">IFERROR(E564/E559,0)</f>
        <v>0.248756394260587</v>
      </c>
      <c r="F577" s="73" t="n">
        <f aca="false">IFERROR(F564/F559,0)</f>
        <v>0.22228935843153</v>
      </c>
      <c r="G577" s="73" t="n">
        <f aca="false">IFERROR(G564/G559,0)</f>
        <v>0.221448370779728</v>
      </c>
      <c r="H577" s="76" t="n">
        <f aca="false">IFERROR(H564/H559,0)</f>
        <v>0.221500113229453</v>
      </c>
    </row>
    <row r="578" customFormat="false" ht="15" hidden="false" customHeight="false" outlineLevel="0" collapsed="false">
      <c r="B578" s="16" t="s">
        <v>472</v>
      </c>
      <c r="C578" s="121" t="n">
        <f aca="false">SUM(D578:H578)</f>
        <v>759668.28</v>
      </c>
      <c r="D578" s="120" t="n">
        <f aca="false">$G$474</f>
        <v>47455.0999999999</v>
      </c>
      <c r="E578" s="120" t="n">
        <f aca="false">$G$475</f>
        <v>32411.68</v>
      </c>
      <c r="F578" s="120" t="n">
        <f aca="false">$G$476</f>
        <v>323353.8</v>
      </c>
      <c r="G578" s="120" t="n">
        <f aca="false">$G$477</f>
        <v>208481.7</v>
      </c>
      <c r="H578" s="93" t="n">
        <f aca="false">$G$478</f>
        <v>147966</v>
      </c>
    </row>
    <row r="579" customFormat="false" ht="15" hidden="false" customHeight="false" outlineLevel="0" collapsed="false">
      <c r="B579" s="22" t="s">
        <v>473</v>
      </c>
      <c r="C579" s="148" t="n">
        <f aca="false">SUM(D579:H579)</f>
        <v>127048.992771938</v>
      </c>
      <c r="D579" s="188" t="n">
        <f aca="false">D578-D571</f>
        <v>-2495.12787870527</v>
      </c>
      <c r="E579" s="188" t="n">
        <f aca="false">E578-E571</f>
        <v>32411.68</v>
      </c>
      <c r="F579" s="188" t="n">
        <f aca="false">F578-F571</f>
        <v>49112.9577240527</v>
      </c>
      <c r="G579" s="188" t="n">
        <f aca="false">G578-G571</f>
        <v>27953.9267977125</v>
      </c>
      <c r="H579" s="109" t="n">
        <f aca="false">H578-H571</f>
        <v>20065.5561288777</v>
      </c>
    </row>
    <row r="580" customFormat="false" ht="15" hidden="false" customHeight="false" outlineLevel="0" collapsed="false">
      <c r="B580" s="200" t="s">
        <v>474</v>
      </c>
    </row>
  </sheetData>
  <mergeCells count="6">
    <mergeCell ref="C299:H299"/>
    <mergeCell ref="I299:N299"/>
    <mergeCell ref="O299:T299"/>
    <mergeCell ref="C317:H317"/>
    <mergeCell ref="K317:P317"/>
    <mergeCell ref="C557:H5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136" min="5" style="0" width="9.51"/>
  </cols>
  <sheetData>
    <row r="1" customFormat="false" ht="15" hidden="false" customHeight="false" outlineLevel="0" collapsed="false">
      <c r="A1" s="235" t="s">
        <v>475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customFormat="false" ht="15" hidden="false" customHeight="false" outlineLevel="0" collapsed="false">
      <c r="A3" s="200" t="s">
        <v>476</v>
      </c>
    </row>
    <row r="5" customFormat="false" ht="15" hidden="false" customHeight="false" outlineLevel="0" collapsed="false">
      <c r="A5" s="163" t="s">
        <v>63</v>
      </c>
      <c r="B5" s="151" t="s">
        <v>477</v>
      </c>
      <c r="C5" s="151" t="s">
        <v>62</v>
      </c>
    </row>
    <row r="6" customFormat="false" ht="15" hidden="false" customHeight="false" outlineLevel="0" collapsed="false">
      <c r="A6" s="35" t="s">
        <v>478</v>
      </c>
      <c r="B6" s="236"/>
      <c r="E6" s="237" t="n">
        <f aca="false">EOMONTH(Assumption!$E$8,0)</f>
        <v>46112</v>
      </c>
      <c r="F6" s="237" t="n">
        <f aca="false">EOMONTH(E6,1)</f>
        <v>46142</v>
      </c>
      <c r="G6" s="237" t="n">
        <f aca="false">EOMONTH(F6,1)</f>
        <v>46173</v>
      </c>
      <c r="H6" s="237" t="n">
        <f aca="false">EOMONTH(G6,1)</f>
        <v>46203</v>
      </c>
      <c r="I6" s="237" t="n">
        <f aca="false">EOMONTH(H6,1)</f>
        <v>46234</v>
      </c>
      <c r="J6" s="237" t="n">
        <f aca="false">EOMONTH(I6,1)</f>
        <v>46265</v>
      </c>
      <c r="K6" s="237" t="n">
        <f aca="false">EOMONTH(J6,1)</f>
        <v>46295</v>
      </c>
      <c r="L6" s="237" t="n">
        <f aca="false">EOMONTH(K6,1)</f>
        <v>46326</v>
      </c>
      <c r="M6" s="237" t="n">
        <f aca="false">EOMONTH(L6,1)</f>
        <v>46356</v>
      </c>
      <c r="N6" s="237" t="n">
        <f aca="false">EOMONTH(M6,1)</f>
        <v>46387</v>
      </c>
      <c r="O6" s="237" t="n">
        <f aca="false">EOMONTH(N6,1)</f>
        <v>46418</v>
      </c>
      <c r="P6" s="237" t="n">
        <f aca="false">EOMONTH(O6,1)</f>
        <v>46446</v>
      </c>
      <c r="Q6" s="237" t="n">
        <f aca="false">EOMONTH(P6,1)</f>
        <v>46477</v>
      </c>
      <c r="R6" s="237" t="n">
        <f aca="false">EOMONTH(Q6,1)</f>
        <v>46507</v>
      </c>
      <c r="S6" s="237" t="n">
        <f aca="false">EOMONTH(R6,1)</f>
        <v>46538</v>
      </c>
      <c r="T6" s="237" t="n">
        <f aca="false">EOMONTH(S6,1)</f>
        <v>46568</v>
      </c>
      <c r="U6" s="237" t="n">
        <f aca="false">EOMONTH(T6,1)</f>
        <v>46599</v>
      </c>
      <c r="V6" s="237" t="n">
        <f aca="false">EOMONTH(U6,1)</f>
        <v>46630</v>
      </c>
      <c r="W6" s="237" t="n">
        <f aca="false">EOMONTH(V6,1)</f>
        <v>46660</v>
      </c>
      <c r="X6" s="237" t="n">
        <f aca="false">EOMONTH(W6,1)</f>
        <v>46691</v>
      </c>
      <c r="Y6" s="237" t="n">
        <f aca="false">EOMONTH(X6,1)</f>
        <v>46721</v>
      </c>
      <c r="Z6" s="237" t="n">
        <f aca="false">EOMONTH(Y6,1)</f>
        <v>46752</v>
      </c>
      <c r="AA6" s="237" t="n">
        <f aca="false">EOMONTH(Z6,1)</f>
        <v>46783</v>
      </c>
      <c r="AB6" s="237" t="n">
        <f aca="false">EOMONTH(AA6,1)</f>
        <v>46812</v>
      </c>
      <c r="AC6" s="237" t="n">
        <f aca="false">EOMONTH(AB6,1)</f>
        <v>46843</v>
      </c>
      <c r="AD6" s="237" t="n">
        <f aca="false">EOMONTH(AC6,1)</f>
        <v>46873</v>
      </c>
      <c r="AE6" s="237" t="n">
        <f aca="false">EOMONTH(AD6,1)</f>
        <v>46904</v>
      </c>
      <c r="AF6" s="237" t="n">
        <f aca="false">EOMONTH(AE6,1)</f>
        <v>46934</v>
      </c>
      <c r="AG6" s="237" t="n">
        <f aca="false">EOMONTH(AF6,1)</f>
        <v>46965</v>
      </c>
      <c r="AH6" s="237" t="n">
        <f aca="false">EOMONTH(AG6,1)</f>
        <v>46996</v>
      </c>
      <c r="AI6" s="237" t="n">
        <f aca="false">EOMONTH(AH6,1)</f>
        <v>47026</v>
      </c>
      <c r="AJ6" s="237" t="n">
        <f aca="false">EOMONTH(AI6,1)</f>
        <v>47057</v>
      </c>
      <c r="AK6" s="237" t="n">
        <f aca="false">EOMONTH(AJ6,1)</f>
        <v>47087</v>
      </c>
      <c r="AL6" s="237" t="n">
        <f aca="false">EOMONTH(AK6,1)</f>
        <v>47118</v>
      </c>
      <c r="AM6" s="237" t="n">
        <f aca="false">EOMONTH(AL6,1)</f>
        <v>47149</v>
      </c>
      <c r="AN6" s="237" t="n">
        <f aca="false">EOMONTH(AM6,1)</f>
        <v>47177</v>
      </c>
      <c r="AO6" s="237" t="n">
        <f aca="false">EOMONTH(AN6,1)</f>
        <v>47208</v>
      </c>
      <c r="AP6" s="237" t="n">
        <f aca="false">EOMONTH(AO6,1)</f>
        <v>47238</v>
      </c>
      <c r="AQ6" s="237" t="n">
        <f aca="false">EOMONTH(AP6,1)</f>
        <v>47269</v>
      </c>
      <c r="AR6" s="237" t="n">
        <f aca="false">EOMONTH(AQ6,1)</f>
        <v>47299</v>
      </c>
      <c r="AS6" s="237" t="n">
        <f aca="false">EOMONTH(AR6,1)</f>
        <v>47330</v>
      </c>
      <c r="AT6" s="237" t="n">
        <f aca="false">EOMONTH(AS6,1)</f>
        <v>47361</v>
      </c>
      <c r="AU6" s="237" t="n">
        <f aca="false">EOMONTH(AT6,1)</f>
        <v>47391</v>
      </c>
      <c r="AV6" s="237" t="n">
        <f aca="false">EOMONTH(AU6,1)</f>
        <v>47422</v>
      </c>
      <c r="AW6" s="237" t="n">
        <f aca="false">EOMONTH(AV6,1)</f>
        <v>47452</v>
      </c>
      <c r="AX6" s="237" t="n">
        <f aca="false">EOMONTH(AW6,1)</f>
        <v>47483</v>
      </c>
      <c r="AY6" s="237" t="n">
        <f aca="false">EOMONTH(AX6,1)</f>
        <v>47514</v>
      </c>
      <c r="AZ6" s="237" t="n">
        <f aca="false">EOMONTH(AY6,1)</f>
        <v>47542</v>
      </c>
      <c r="BA6" s="237" t="n">
        <f aca="false">EOMONTH(AZ6,1)</f>
        <v>47573</v>
      </c>
      <c r="BB6" s="237" t="n">
        <f aca="false">EOMONTH(BA6,1)</f>
        <v>47603</v>
      </c>
      <c r="BC6" s="237" t="n">
        <f aca="false">EOMONTH(BB6,1)</f>
        <v>47634</v>
      </c>
      <c r="BD6" s="237" t="n">
        <f aca="false">EOMONTH(BC6,1)</f>
        <v>47664</v>
      </c>
      <c r="BE6" s="237" t="n">
        <f aca="false">EOMONTH(BD6,1)</f>
        <v>47695</v>
      </c>
      <c r="BF6" s="237" t="n">
        <f aca="false">EOMONTH(BE6,1)</f>
        <v>47726</v>
      </c>
      <c r="BG6" s="237" t="n">
        <f aca="false">EOMONTH(BF6,1)</f>
        <v>47756</v>
      </c>
      <c r="BH6" s="237" t="n">
        <f aca="false">EOMONTH(BG6,1)</f>
        <v>47787</v>
      </c>
      <c r="BI6" s="237" t="n">
        <f aca="false">EOMONTH(BH6,1)</f>
        <v>47817</v>
      </c>
      <c r="BJ6" s="237" t="n">
        <f aca="false">EOMONTH(BI6,1)</f>
        <v>47848</v>
      </c>
      <c r="BK6" s="237" t="n">
        <f aca="false">EOMONTH(BJ6,1)</f>
        <v>47879</v>
      </c>
      <c r="BL6" s="237" t="n">
        <f aca="false">EOMONTH(BK6,1)</f>
        <v>47907</v>
      </c>
      <c r="BM6" s="237" t="n">
        <f aca="false">EOMONTH(BL6,1)</f>
        <v>47938</v>
      </c>
      <c r="BN6" s="237" t="n">
        <f aca="false">EOMONTH(BM6,1)</f>
        <v>47968</v>
      </c>
      <c r="BO6" s="237" t="n">
        <f aca="false">EOMONTH(BN6,1)</f>
        <v>47999</v>
      </c>
      <c r="BP6" s="237" t="n">
        <f aca="false">EOMONTH(BO6,1)</f>
        <v>48029</v>
      </c>
      <c r="BQ6" s="237" t="n">
        <f aca="false">EOMONTH(BP6,1)</f>
        <v>48060</v>
      </c>
      <c r="BR6" s="237" t="n">
        <f aca="false">EOMONTH(BQ6,1)</f>
        <v>48091</v>
      </c>
      <c r="BS6" s="237" t="n">
        <f aca="false">EOMONTH(BR6,1)</f>
        <v>48121</v>
      </c>
      <c r="BT6" s="237" t="n">
        <f aca="false">EOMONTH(BS6,1)</f>
        <v>48152</v>
      </c>
      <c r="BU6" s="237" t="n">
        <f aca="false">EOMONTH(BT6,1)</f>
        <v>48182</v>
      </c>
      <c r="BV6" s="237" t="n">
        <f aca="false">EOMONTH(BU6,1)</f>
        <v>48213</v>
      </c>
      <c r="BW6" s="237" t="n">
        <f aca="false">EOMONTH(BV6,1)</f>
        <v>48244</v>
      </c>
      <c r="BX6" s="237" t="n">
        <f aca="false">EOMONTH(BW6,1)</f>
        <v>48273</v>
      </c>
      <c r="BY6" s="237" t="n">
        <f aca="false">EOMONTH(BX6,1)</f>
        <v>48304</v>
      </c>
      <c r="BZ6" s="237" t="n">
        <f aca="false">EOMONTH(BY6,1)</f>
        <v>48334</v>
      </c>
      <c r="CA6" s="237" t="n">
        <f aca="false">EOMONTH(BZ6,1)</f>
        <v>48365</v>
      </c>
      <c r="CB6" s="237" t="n">
        <f aca="false">EOMONTH(CA6,1)</f>
        <v>48395</v>
      </c>
      <c r="CC6" s="237" t="n">
        <f aca="false">EOMONTH(CB6,1)</f>
        <v>48426</v>
      </c>
      <c r="CD6" s="237" t="n">
        <f aca="false">EOMONTH(CC6,1)</f>
        <v>48457</v>
      </c>
      <c r="CE6" s="237" t="n">
        <f aca="false">EOMONTH(CD6,1)</f>
        <v>48487</v>
      </c>
      <c r="CF6" s="237" t="n">
        <f aca="false">EOMONTH(CE6,1)</f>
        <v>48518</v>
      </c>
      <c r="CG6" s="237" t="n">
        <f aca="false">EOMONTH(CF6,1)</f>
        <v>48548</v>
      </c>
      <c r="CH6" s="237" t="n">
        <f aca="false">EOMONTH(CG6,1)</f>
        <v>48579</v>
      </c>
      <c r="CI6" s="237" t="n">
        <f aca="false">EOMONTH(CH6,1)</f>
        <v>48610</v>
      </c>
      <c r="CJ6" s="237" t="n">
        <f aca="false">EOMONTH(CI6,1)</f>
        <v>48638</v>
      </c>
      <c r="CK6" s="237" t="n">
        <f aca="false">EOMONTH(CJ6,1)</f>
        <v>48669</v>
      </c>
      <c r="CL6" s="237" t="n">
        <f aca="false">EOMONTH(CK6,1)</f>
        <v>48699</v>
      </c>
      <c r="CM6" s="237" t="n">
        <f aca="false">EOMONTH(CL6,1)</f>
        <v>48730</v>
      </c>
      <c r="CN6" s="237" t="n">
        <f aca="false">EOMONTH(CM6,1)</f>
        <v>48760</v>
      </c>
      <c r="CO6" s="237" t="n">
        <f aca="false">EOMONTH(CN6,1)</f>
        <v>48791</v>
      </c>
      <c r="CP6" s="237" t="n">
        <f aca="false">EOMONTH(CO6,1)</f>
        <v>48822</v>
      </c>
      <c r="CQ6" s="237" t="n">
        <f aca="false">EOMONTH(CP6,1)</f>
        <v>48852</v>
      </c>
      <c r="CR6" s="237" t="n">
        <f aca="false">EOMONTH(CQ6,1)</f>
        <v>48883</v>
      </c>
      <c r="CS6" s="237" t="n">
        <f aca="false">EOMONTH(CR6,1)</f>
        <v>48913</v>
      </c>
      <c r="CT6" s="237" t="n">
        <f aca="false">EOMONTH(CS6,1)</f>
        <v>48944</v>
      </c>
      <c r="CU6" s="237" t="n">
        <f aca="false">EOMONTH(CT6,1)</f>
        <v>48975</v>
      </c>
      <c r="CV6" s="237" t="n">
        <f aca="false">EOMONTH(CU6,1)</f>
        <v>49003</v>
      </c>
      <c r="CW6" s="237" t="n">
        <f aca="false">EOMONTH(CV6,1)</f>
        <v>49034</v>
      </c>
      <c r="CX6" s="237" t="n">
        <f aca="false">EOMONTH(CW6,1)</f>
        <v>49064</v>
      </c>
      <c r="CY6" s="237" t="n">
        <f aca="false">EOMONTH(CX6,1)</f>
        <v>49095</v>
      </c>
      <c r="CZ6" s="237" t="n">
        <f aca="false">EOMONTH(CY6,1)</f>
        <v>49125</v>
      </c>
      <c r="DA6" s="237" t="n">
        <f aca="false">EOMONTH(CZ6,1)</f>
        <v>49156</v>
      </c>
      <c r="DB6" s="237" t="n">
        <f aca="false">EOMONTH(DA6,1)</f>
        <v>49187</v>
      </c>
      <c r="DC6" s="237" t="n">
        <f aca="false">EOMONTH(DB6,1)</f>
        <v>49217</v>
      </c>
      <c r="DD6" s="237" t="n">
        <f aca="false">EOMONTH(DC6,1)</f>
        <v>49248</v>
      </c>
      <c r="DE6" s="237" t="n">
        <f aca="false">EOMONTH(DD6,1)</f>
        <v>49278</v>
      </c>
      <c r="DF6" s="237" t="n">
        <f aca="false">EOMONTH(DE6,1)</f>
        <v>49309</v>
      </c>
      <c r="DG6" s="237" t="n">
        <f aca="false">EOMONTH(DF6,1)</f>
        <v>49340</v>
      </c>
      <c r="DH6" s="237" t="n">
        <f aca="false">EOMONTH(DG6,1)</f>
        <v>49368</v>
      </c>
      <c r="DI6" s="237" t="n">
        <f aca="false">EOMONTH(DH6,1)</f>
        <v>49399</v>
      </c>
      <c r="DJ6" s="237" t="n">
        <f aca="false">EOMONTH(DI6,1)</f>
        <v>49429</v>
      </c>
      <c r="DK6" s="237" t="n">
        <f aca="false">EOMONTH(DJ6,1)</f>
        <v>49460</v>
      </c>
      <c r="DL6" s="237" t="n">
        <f aca="false">EOMONTH(DK6,1)</f>
        <v>49490</v>
      </c>
      <c r="DM6" s="237" t="n">
        <f aca="false">EOMONTH(DL6,1)</f>
        <v>49521</v>
      </c>
      <c r="DN6" s="237" t="n">
        <f aca="false">EOMONTH(DM6,1)</f>
        <v>49552</v>
      </c>
      <c r="DO6" s="237" t="n">
        <f aca="false">EOMONTH(DN6,1)</f>
        <v>49582</v>
      </c>
      <c r="DP6" s="237" t="n">
        <f aca="false">EOMONTH(DO6,1)</f>
        <v>49613</v>
      </c>
      <c r="DQ6" s="237" t="n">
        <f aca="false">EOMONTH(DP6,1)</f>
        <v>49643</v>
      </c>
      <c r="DR6" s="237" t="n">
        <f aca="false">EOMONTH(DQ6,1)</f>
        <v>49674</v>
      </c>
      <c r="DS6" s="237" t="n">
        <f aca="false">EOMONTH(DR6,1)</f>
        <v>49705</v>
      </c>
      <c r="DT6" s="237" t="n">
        <f aca="false">EOMONTH(DS6,1)</f>
        <v>49734</v>
      </c>
      <c r="DU6" s="237" t="n">
        <f aca="false">EOMONTH(DT6,1)</f>
        <v>49765</v>
      </c>
      <c r="DV6" s="237" t="n">
        <f aca="false">EOMONTH(DU6,1)</f>
        <v>49795</v>
      </c>
      <c r="DW6" s="237" t="n">
        <f aca="false">EOMONTH(DV6,1)</f>
        <v>49826</v>
      </c>
      <c r="DX6" s="237" t="n">
        <f aca="false">EOMONTH(DW6,1)</f>
        <v>49856</v>
      </c>
      <c r="DY6" s="237" t="n">
        <f aca="false">EOMONTH(DX6,1)</f>
        <v>49887</v>
      </c>
      <c r="DZ6" s="237" t="n">
        <f aca="false">EOMONTH(DY6,1)</f>
        <v>49918</v>
      </c>
      <c r="EA6" s="237" t="n">
        <f aca="false">EOMONTH(DZ6,1)</f>
        <v>49948</v>
      </c>
      <c r="EB6" s="237" t="n">
        <f aca="false">EOMONTH(EA6,1)</f>
        <v>49979</v>
      </c>
      <c r="EC6" s="237" t="n">
        <f aca="false">EOMONTH(EB6,1)</f>
        <v>50009</v>
      </c>
      <c r="ED6" s="237" t="n">
        <f aca="false">EOMONTH(EC6,1)</f>
        <v>50040</v>
      </c>
      <c r="EE6" s="237" t="n">
        <f aca="false">EOMONTH(ED6,1)</f>
        <v>50071</v>
      </c>
      <c r="EF6" s="237" t="n">
        <f aca="false">EOMONTH(EE6,1)</f>
        <v>50099</v>
      </c>
    </row>
    <row r="7" customFormat="false" ht="15" hidden="false" customHeight="false" outlineLevel="0" collapsed="false">
      <c r="A7" s="35" t="s">
        <v>479</v>
      </c>
      <c r="B7" s="236"/>
      <c r="E7" s="238" t="n">
        <f aca="false">YEAR(E6)</f>
        <v>2026</v>
      </c>
      <c r="F7" s="238" t="n">
        <f aca="false">YEAR(F6)</f>
        <v>2026</v>
      </c>
      <c r="G7" s="238" t="n">
        <f aca="false">YEAR(G6)</f>
        <v>2026</v>
      </c>
      <c r="H7" s="238" t="n">
        <f aca="false">YEAR(H6)</f>
        <v>2026</v>
      </c>
      <c r="I7" s="238" t="n">
        <f aca="false">YEAR(I6)</f>
        <v>2026</v>
      </c>
      <c r="J7" s="238" t="n">
        <f aca="false">YEAR(J6)</f>
        <v>2026</v>
      </c>
      <c r="K7" s="238" t="n">
        <f aca="false">YEAR(K6)</f>
        <v>2026</v>
      </c>
      <c r="L7" s="238" t="n">
        <f aca="false">YEAR(L6)</f>
        <v>2026</v>
      </c>
      <c r="M7" s="238" t="n">
        <f aca="false">YEAR(M6)</f>
        <v>2026</v>
      </c>
      <c r="N7" s="238" t="n">
        <f aca="false">YEAR(N6)</f>
        <v>2026</v>
      </c>
      <c r="O7" s="238" t="n">
        <f aca="false">YEAR(O6)</f>
        <v>2027</v>
      </c>
      <c r="P7" s="238" t="n">
        <f aca="false">YEAR(P6)</f>
        <v>2027</v>
      </c>
      <c r="Q7" s="238" t="n">
        <f aca="false">YEAR(Q6)</f>
        <v>2027</v>
      </c>
      <c r="R7" s="238" t="n">
        <f aca="false">YEAR(R6)</f>
        <v>2027</v>
      </c>
      <c r="S7" s="238" t="n">
        <f aca="false">YEAR(S6)</f>
        <v>2027</v>
      </c>
      <c r="T7" s="238" t="n">
        <f aca="false">YEAR(T6)</f>
        <v>2027</v>
      </c>
      <c r="U7" s="238" t="n">
        <f aca="false">YEAR(U6)</f>
        <v>2027</v>
      </c>
      <c r="V7" s="238" t="n">
        <f aca="false">YEAR(V6)</f>
        <v>2027</v>
      </c>
      <c r="W7" s="238" t="n">
        <f aca="false">YEAR(W6)</f>
        <v>2027</v>
      </c>
      <c r="X7" s="238" t="n">
        <f aca="false">YEAR(X6)</f>
        <v>2027</v>
      </c>
      <c r="Y7" s="238" t="n">
        <f aca="false">YEAR(Y6)</f>
        <v>2027</v>
      </c>
      <c r="Z7" s="238" t="n">
        <f aca="false">YEAR(Z6)</f>
        <v>2027</v>
      </c>
      <c r="AA7" s="238" t="n">
        <f aca="false">YEAR(AA6)</f>
        <v>2028</v>
      </c>
      <c r="AB7" s="238" t="n">
        <f aca="false">YEAR(AB6)</f>
        <v>2028</v>
      </c>
      <c r="AC7" s="238" t="n">
        <f aca="false">YEAR(AC6)</f>
        <v>2028</v>
      </c>
      <c r="AD7" s="238" t="n">
        <f aca="false">YEAR(AD6)</f>
        <v>2028</v>
      </c>
      <c r="AE7" s="238" t="n">
        <f aca="false">YEAR(AE6)</f>
        <v>2028</v>
      </c>
      <c r="AF7" s="238" t="n">
        <f aca="false">YEAR(AF6)</f>
        <v>2028</v>
      </c>
      <c r="AG7" s="238" t="n">
        <f aca="false">YEAR(AG6)</f>
        <v>2028</v>
      </c>
      <c r="AH7" s="238" t="n">
        <f aca="false">YEAR(AH6)</f>
        <v>2028</v>
      </c>
      <c r="AI7" s="238" t="n">
        <f aca="false">YEAR(AI6)</f>
        <v>2028</v>
      </c>
      <c r="AJ7" s="238" t="n">
        <f aca="false">YEAR(AJ6)</f>
        <v>2028</v>
      </c>
      <c r="AK7" s="238" t="n">
        <f aca="false">YEAR(AK6)</f>
        <v>2028</v>
      </c>
      <c r="AL7" s="238" t="n">
        <f aca="false">YEAR(AL6)</f>
        <v>2028</v>
      </c>
      <c r="AM7" s="238" t="n">
        <f aca="false">YEAR(AM6)</f>
        <v>2029</v>
      </c>
      <c r="AN7" s="238" t="n">
        <f aca="false">YEAR(AN6)</f>
        <v>2029</v>
      </c>
      <c r="AO7" s="238" t="n">
        <f aca="false">YEAR(AO6)</f>
        <v>2029</v>
      </c>
      <c r="AP7" s="238" t="n">
        <f aca="false">YEAR(AP6)</f>
        <v>2029</v>
      </c>
      <c r="AQ7" s="238" t="n">
        <f aca="false">YEAR(AQ6)</f>
        <v>2029</v>
      </c>
      <c r="AR7" s="238" t="n">
        <f aca="false">YEAR(AR6)</f>
        <v>2029</v>
      </c>
      <c r="AS7" s="238" t="n">
        <f aca="false">YEAR(AS6)</f>
        <v>2029</v>
      </c>
      <c r="AT7" s="238" t="n">
        <f aca="false">YEAR(AT6)</f>
        <v>2029</v>
      </c>
      <c r="AU7" s="238" t="n">
        <f aca="false">YEAR(AU6)</f>
        <v>2029</v>
      </c>
      <c r="AV7" s="238" t="n">
        <f aca="false">YEAR(AV6)</f>
        <v>2029</v>
      </c>
      <c r="AW7" s="238" t="n">
        <f aca="false">YEAR(AW6)</f>
        <v>2029</v>
      </c>
      <c r="AX7" s="238" t="n">
        <f aca="false">YEAR(AX6)</f>
        <v>2029</v>
      </c>
      <c r="AY7" s="238" t="n">
        <f aca="false">YEAR(AY6)</f>
        <v>2030</v>
      </c>
      <c r="AZ7" s="238" t="n">
        <f aca="false">YEAR(AZ6)</f>
        <v>2030</v>
      </c>
      <c r="BA7" s="238" t="n">
        <f aca="false">YEAR(BA6)</f>
        <v>2030</v>
      </c>
      <c r="BB7" s="238" t="n">
        <f aca="false">YEAR(BB6)</f>
        <v>2030</v>
      </c>
      <c r="BC7" s="238" t="n">
        <f aca="false">YEAR(BC6)</f>
        <v>2030</v>
      </c>
      <c r="BD7" s="238" t="n">
        <f aca="false">YEAR(BD6)</f>
        <v>2030</v>
      </c>
      <c r="BE7" s="238" t="n">
        <f aca="false">YEAR(BE6)</f>
        <v>2030</v>
      </c>
      <c r="BF7" s="238" t="n">
        <f aca="false">YEAR(BF6)</f>
        <v>2030</v>
      </c>
      <c r="BG7" s="238" t="n">
        <f aca="false">YEAR(BG6)</f>
        <v>2030</v>
      </c>
      <c r="BH7" s="238" t="n">
        <f aca="false">YEAR(BH6)</f>
        <v>2030</v>
      </c>
      <c r="BI7" s="238" t="n">
        <f aca="false">YEAR(BI6)</f>
        <v>2030</v>
      </c>
      <c r="BJ7" s="238" t="n">
        <f aca="false">YEAR(BJ6)</f>
        <v>2030</v>
      </c>
      <c r="BK7" s="238" t="n">
        <f aca="false">YEAR(BK6)</f>
        <v>2031</v>
      </c>
      <c r="BL7" s="238" t="n">
        <f aca="false">YEAR(BL6)</f>
        <v>2031</v>
      </c>
      <c r="BM7" s="238" t="n">
        <f aca="false">YEAR(BM6)</f>
        <v>2031</v>
      </c>
      <c r="BN7" s="238" t="n">
        <f aca="false">YEAR(BN6)</f>
        <v>2031</v>
      </c>
      <c r="BO7" s="238" t="n">
        <f aca="false">YEAR(BO6)</f>
        <v>2031</v>
      </c>
      <c r="BP7" s="238" t="n">
        <f aca="false">YEAR(BP6)</f>
        <v>2031</v>
      </c>
      <c r="BQ7" s="238" t="n">
        <f aca="false">YEAR(BQ6)</f>
        <v>2031</v>
      </c>
      <c r="BR7" s="238" t="n">
        <f aca="false">YEAR(BR6)</f>
        <v>2031</v>
      </c>
      <c r="BS7" s="238" t="n">
        <f aca="false">YEAR(BS6)</f>
        <v>2031</v>
      </c>
      <c r="BT7" s="238" t="n">
        <f aca="false">YEAR(BT6)</f>
        <v>2031</v>
      </c>
      <c r="BU7" s="238" t="n">
        <f aca="false">YEAR(BU6)</f>
        <v>2031</v>
      </c>
      <c r="BV7" s="238" t="n">
        <f aca="false">YEAR(BV6)</f>
        <v>2031</v>
      </c>
      <c r="BW7" s="238" t="n">
        <f aca="false">YEAR(BW6)</f>
        <v>2032</v>
      </c>
      <c r="BX7" s="238" t="n">
        <f aca="false">YEAR(BX6)</f>
        <v>2032</v>
      </c>
      <c r="BY7" s="238" t="n">
        <f aca="false">YEAR(BY6)</f>
        <v>2032</v>
      </c>
      <c r="BZ7" s="238" t="n">
        <f aca="false">YEAR(BZ6)</f>
        <v>2032</v>
      </c>
      <c r="CA7" s="238" t="n">
        <f aca="false">YEAR(CA6)</f>
        <v>2032</v>
      </c>
      <c r="CB7" s="238" t="n">
        <f aca="false">YEAR(CB6)</f>
        <v>2032</v>
      </c>
      <c r="CC7" s="238" t="n">
        <f aca="false">YEAR(CC6)</f>
        <v>2032</v>
      </c>
      <c r="CD7" s="238" t="n">
        <f aca="false">YEAR(CD6)</f>
        <v>2032</v>
      </c>
      <c r="CE7" s="238" t="n">
        <f aca="false">YEAR(CE6)</f>
        <v>2032</v>
      </c>
      <c r="CF7" s="238" t="n">
        <f aca="false">YEAR(CF6)</f>
        <v>2032</v>
      </c>
      <c r="CG7" s="238" t="n">
        <f aca="false">YEAR(CG6)</f>
        <v>2032</v>
      </c>
      <c r="CH7" s="238" t="n">
        <f aca="false">YEAR(CH6)</f>
        <v>2032</v>
      </c>
      <c r="CI7" s="238" t="n">
        <f aca="false">YEAR(CI6)</f>
        <v>2033</v>
      </c>
      <c r="CJ7" s="238" t="n">
        <f aca="false">YEAR(CJ6)</f>
        <v>2033</v>
      </c>
      <c r="CK7" s="238" t="n">
        <f aca="false">YEAR(CK6)</f>
        <v>2033</v>
      </c>
      <c r="CL7" s="238" t="n">
        <f aca="false">YEAR(CL6)</f>
        <v>2033</v>
      </c>
      <c r="CM7" s="238" t="n">
        <f aca="false">YEAR(CM6)</f>
        <v>2033</v>
      </c>
      <c r="CN7" s="238" t="n">
        <f aca="false">YEAR(CN6)</f>
        <v>2033</v>
      </c>
      <c r="CO7" s="238" t="n">
        <f aca="false">YEAR(CO6)</f>
        <v>2033</v>
      </c>
      <c r="CP7" s="238" t="n">
        <f aca="false">YEAR(CP6)</f>
        <v>2033</v>
      </c>
      <c r="CQ7" s="238" t="n">
        <f aca="false">YEAR(CQ6)</f>
        <v>2033</v>
      </c>
      <c r="CR7" s="238" t="n">
        <f aca="false">YEAR(CR6)</f>
        <v>2033</v>
      </c>
      <c r="CS7" s="238" t="n">
        <f aca="false">YEAR(CS6)</f>
        <v>2033</v>
      </c>
      <c r="CT7" s="238" t="n">
        <f aca="false">YEAR(CT6)</f>
        <v>2033</v>
      </c>
      <c r="CU7" s="238" t="n">
        <f aca="false">YEAR(CU6)</f>
        <v>2034</v>
      </c>
      <c r="CV7" s="238" t="n">
        <f aca="false">YEAR(CV6)</f>
        <v>2034</v>
      </c>
      <c r="CW7" s="238" t="n">
        <f aca="false">YEAR(CW6)</f>
        <v>2034</v>
      </c>
      <c r="CX7" s="238" t="n">
        <f aca="false">YEAR(CX6)</f>
        <v>2034</v>
      </c>
      <c r="CY7" s="238" t="n">
        <f aca="false">YEAR(CY6)</f>
        <v>2034</v>
      </c>
      <c r="CZ7" s="238" t="n">
        <f aca="false">YEAR(CZ6)</f>
        <v>2034</v>
      </c>
      <c r="DA7" s="238" t="n">
        <f aca="false">YEAR(DA6)</f>
        <v>2034</v>
      </c>
      <c r="DB7" s="238" t="n">
        <f aca="false">YEAR(DB6)</f>
        <v>2034</v>
      </c>
      <c r="DC7" s="238" t="n">
        <f aca="false">YEAR(DC6)</f>
        <v>2034</v>
      </c>
      <c r="DD7" s="238" t="n">
        <f aca="false">YEAR(DD6)</f>
        <v>2034</v>
      </c>
      <c r="DE7" s="238" t="n">
        <f aca="false">YEAR(DE6)</f>
        <v>2034</v>
      </c>
      <c r="DF7" s="238" t="n">
        <f aca="false">YEAR(DF6)</f>
        <v>2034</v>
      </c>
      <c r="DG7" s="238" t="n">
        <f aca="false">YEAR(DG6)</f>
        <v>2035</v>
      </c>
      <c r="DH7" s="238" t="n">
        <f aca="false">YEAR(DH6)</f>
        <v>2035</v>
      </c>
      <c r="DI7" s="238" t="n">
        <f aca="false">YEAR(DI6)</f>
        <v>2035</v>
      </c>
      <c r="DJ7" s="238" t="n">
        <f aca="false">YEAR(DJ6)</f>
        <v>2035</v>
      </c>
      <c r="DK7" s="238" t="n">
        <f aca="false">YEAR(DK6)</f>
        <v>2035</v>
      </c>
      <c r="DL7" s="238" t="n">
        <f aca="false">YEAR(DL6)</f>
        <v>2035</v>
      </c>
      <c r="DM7" s="238" t="n">
        <f aca="false">YEAR(DM6)</f>
        <v>2035</v>
      </c>
      <c r="DN7" s="238" t="n">
        <f aca="false">YEAR(DN6)</f>
        <v>2035</v>
      </c>
      <c r="DO7" s="238" t="n">
        <f aca="false">YEAR(DO6)</f>
        <v>2035</v>
      </c>
      <c r="DP7" s="238" t="n">
        <f aca="false">YEAR(DP6)</f>
        <v>2035</v>
      </c>
      <c r="DQ7" s="238" t="n">
        <f aca="false">YEAR(DQ6)</f>
        <v>2035</v>
      </c>
      <c r="DR7" s="238" t="n">
        <f aca="false">YEAR(DR6)</f>
        <v>2035</v>
      </c>
      <c r="DS7" s="238" t="n">
        <f aca="false">YEAR(DS6)</f>
        <v>2036</v>
      </c>
      <c r="DT7" s="238" t="n">
        <f aca="false">YEAR(DT6)</f>
        <v>2036</v>
      </c>
      <c r="DU7" s="238" t="n">
        <f aca="false">YEAR(DU6)</f>
        <v>2036</v>
      </c>
      <c r="DV7" s="238" t="n">
        <f aca="false">YEAR(DV6)</f>
        <v>2036</v>
      </c>
      <c r="DW7" s="238" t="n">
        <f aca="false">YEAR(DW6)</f>
        <v>2036</v>
      </c>
      <c r="DX7" s="238" t="n">
        <f aca="false">YEAR(DX6)</f>
        <v>2036</v>
      </c>
      <c r="DY7" s="238" t="n">
        <f aca="false">YEAR(DY6)</f>
        <v>2036</v>
      </c>
      <c r="DZ7" s="238" t="n">
        <f aca="false">YEAR(DZ6)</f>
        <v>2036</v>
      </c>
      <c r="EA7" s="238" t="n">
        <f aca="false">YEAR(EA6)</f>
        <v>2036</v>
      </c>
      <c r="EB7" s="238" t="n">
        <f aca="false">YEAR(EB6)</f>
        <v>2036</v>
      </c>
      <c r="EC7" s="238" t="n">
        <f aca="false">YEAR(EC6)</f>
        <v>2036</v>
      </c>
      <c r="ED7" s="238" t="n">
        <f aca="false">YEAR(ED6)</f>
        <v>2036</v>
      </c>
      <c r="EE7" s="238" t="n">
        <f aca="false">YEAR(EE6)</f>
        <v>2037</v>
      </c>
      <c r="EF7" s="238" t="n">
        <f aca="false">YEAR(EF6)</f>
        <v>2037</v>
      </c>
    </row>
    <row r="8" customFormat="false" ht="15" hidden="false" customHeight="false" outlineLevel="0" collapsed="false">
      <c r="A8" s="35" t="s">
        <v>480</v>
      </c>
      <c r="B8" s="236"/>
      <c r="E8" s="238" t="n">
        <f aca="false">1</f>
        <v>1</v>
      </c>
      <c r="F8" s="238" t="n">
        <f aca="false">E8+1</f>
        <v>2</v>
      </c>
      <c r="G8" s="238" t="n">
        <f aca="false">F8+1</f>
        <v>3</v>
      </c>
      <c r="H8" s="238" t="n">
        <f aca="false">G8+1</f>
        <v>4</v>
      </c>
      <c r="I8" s="238" t="n">
        <f aca="false">H8+1</f>
        <v>5</v>
      </c>
      <c r="J8" s="238" t="n">
        <f aca="false">I8+1</f>
        <v>6</v>
      </c>
      <c r="K8" s="238" t="n">
        <f aca="false">J8+1</f>
        <v>7</v>
      </c>
      <c r="L8" s="238" t="n">
        <f aca="false">K8+1</f>
        <v>8</v>
      </c>
      <c r="M8" s="238" t="n">
        <f aca="false">L8+1</f>
        <v>9</v>
      </c>
      <c r="N8" s="238" t="n">
        <f aca="false">M8+1</f>
        <v>10</v>
      </c>
      <c r="O8" s="238" t="n">
        <f aca="false">N8+1</f>
        <v>11</v>
      </c>
      <c r="P8" s="238" t="n">
        <f aca="false">O8+1</f>
        <v>12</v>
      </c>
      <c r="Q8" s="238" t="n">
        <f aca="false">P8+1</f>
        <v>13</v>
      </c>
      <c r="R8" s="238" t="n">
        <f aca="false">Q8+1</f>
        <v>14</v>
      </c>
      <c r="S8" s="238" t="n">
        <f aca="false">R8+1</f>
        <v>15</v>
      </c>
      <c r="T8" s="238" t="n">
        <f aca="false">S8+1</f>
        <v>16</v>
      </c>
      <c r="U8" s="238" t="n">
        <f aca="false">T8+1</f>
        <v>17</v>
      </c>
      <c r="V8" s="238" t="n">
        <f aca="false">U8+1</f>
        <v>18</v>
      </c>
      <c r="W8" s="238" t="n">
        <f aca="false">V8+1</f>
        <v>19</v>
      </c>
      <c r="X8" s="238" t="n">
        <f aca="false">W8+1</f>
        <v>20</v>
      </c>
      <c r="Y8" s="238" t="n">
        <f aca="false">X8+1</f>
        <v>21</v>
      </c>
      <c r="Z8" s="238" t="n">
        <f aca="false">Y8+1</f>
        <v>22</v>
      </c>
      <c r="AA8" s="238" t="n">
        <f aca="false">Z8+1</f>
        <v>23</v>
      </c>
      <c r="AB8" s="238" t="n">
        <f aca="false">AA8+1</f>
        <v>24</v>
      </c>
      <c r="AC8" s="238" t="n">
        <f aca="false">AB8+1</f>
        <v>25</v>
      </c>
      <c r="AD8" s="238" t="n">
        <f aca="false">AC8+1</f>
        <v>26</v>
      </c>
      <c r="AE8" s="238" t="n">
        <f aca="false">AD8+1</f>
        <v>27</v>
      </c>
      <c r="AF8" s="238" t="n">
        <f aca="false">AE8+1</f>
        <v>28</v>
      </c>
      <c r="AG8" s="238" t="n">
        <f aca="false">AF8+1</f>
        <v>29</v>
      </c>
      <c r="AH8" s="238" t="n">
        <f aca="false">AG8+1</f>
        <v>30</v>
      </c>
      <c r="AI8" s="238" t="n">
        <f aca="false">AH8+1</f>
        <v>31</v>
      </c>
      <c r="AJ8" s="238" t="n">
        <f aca="false">AI8+1</f>
        <v>32</v>
      </c>
      <c r="AK8" s="238" t="n">
        <f aca="false">AJ8+1</f>
        <v>33</v>
      </c>
      <c r="AL8" s="238" t="n">
        <f aca="false">AK8+1</f>
        <v>34</v>
      </c>
      <c r="AM8" s="238" t="n">
        <f aca="false">AL8+1</f>
        <v>35</v>
      </c>
      <c r="AN8" s="238" t="n">
        <f aca="false">AM8+1</f>
        <v>36</v>
      </c>
      <c r="AO8" s="238" t="n">
        <f aca="false">AN8+1</f>
        <v>37</v>
      </c>
      <c r="AP8" s="238" t="n">
        <f aca="false">AO8+1</f>
        <v>38</v>
      </c>
      <c r="AQ8" s="238" t="n">
        <f aca="false">AP8+1</f>
        <v>39</v>
      </c>
      <c r="AR8" s="238" t="n">
        <f aca="false">AQ8+1</f>
        <v>40</v>
      </c>
      <c r="AS8" s="238" t="n">
        <f aca="false">AR8+1</f>
        <v>41</v>
      </c>
      <c r="AT8" s="238" t="n">
        <f aca="false">AS8+1</f>
        <v>42</v>
      </c>
      <c r="AU8" s="238" t="n">
        <f aca="false">AT8+1</f>
        <v>43</v>
      </c>
      <c r="AV8" s="238" t="n">
        <f aca="false">AU8+1</f>
        <v>44</v>
      </c>
      <c r="AW8" s="238" t="n">
        <f aca="false">AV8+1</f>
        <v>45</v>
      </c>
      <c r="AX8" s="238" t="n">
        <f aca="false">AW8+1</f>
        <v>46</v>
      </c>
      <c r="AY8" s="238" t="n">
        <f aca="false">AX8+1</f>
        <v>47</v>
      </c>
      <c r="AZ8" s="238" t="n">
        <f aca="false">AY8+1</f>
        <v>48</v>
      </c>
      <c r="BA8" s="238" t="n">
        <f aca="false">AZ8+1</f>
        <v>49</v>
      </c>
      <c r="BB8" s="238" t="n">
        <f aca="false">BA8+1</f>
        <v>50</v>
      </c>
      <c r="BC8" s="238" t="n">
        <f aca="false">BB8+1</f>
        <v>51</v>
      </c>
      <c r="BD8" s="238" t="n">
        <f aca="false">BC8+1</f>
        <v>52</v>
      </c>
      <c r="BE8" s="238" t="n">
        <f aca="false">BD8+1</f>
        <v>53</v>
      </c>
      <c r="BF8" s="238" t="n">
        <f aca="false">BE8+1</f>
        <v>54</v>
      </c>
      <c r="BG8" s="238" t="n">
        <f aca="false">BF8+1</f>
        <v>55</v>
      </c>
      <c r="BH8" s="238" t="n">
        <f aca="false">BG8+1</f>
        <v>56</v>
      </c>
      <c r="BI8" s="238" t="n">
        <f aca="false">BH8+1</f>
        <v>57</v>
      </c>
      <c r="BJ8" s="238" t="n">
        <f aca="false">BI8+1</f>
        <v>58</v>
      </c>
      <c r="BK8" s="238" t="n">
        <f aca="false">BJ8+1</f>
        <v>59</v>
      </c>
      <c r="BL8" s="238" t="n">
        <f aca="false">BK8+1</f>
        <v>60</v>
      </c>
      <c r="BM8" s="238" t="n">
        <f aca="false">BL8+1</f>
        <v>61</v>
      </c>
      <c r="BN8" s="238" t="n">
        <f aca="false">BM8+1</f>
        <v>62</v>
      </c>
      <c r="BO8" s="238" t="n">
        <f aca="false">BN8+1</f>
        <v>63</v>
      </c>
      <c r="BP8" s="238" t="n">
        <f aca="false">BO8+1</f>
        <v>64</v>
      </c>
      <c r="BQ8" s="238" t="n">
        <f aca="false">BP8+1</f>
        <v>65</v>
      </c>
      <c r="BR8" s="238" t="n">
        <f aca="false">BQ8+1</f>
        <v>66</v>
      </c>
      <c r="BS8" s="238" t="n">
        <f aca="false">BR8+1</f>
        <v>67</v>
      </c>
      <c r="BT8" s="238" t="n">
        <f aca="false">BS8+1</f>
        <v>68</v>
      </c>
      <c r="BU8" s="238" t="n">
        <f aca="false">BT8+1</f>
        <v>69</v>
      </c>
      <c r="BV8" s="238" t="n">
        <f aca="false">BU8+1</f>
        <v>70</v>
      </c>
      <c r="BW8" s="238" t="n">
        <f aca="false">BV8+1</f>
        <v>71</v>
      </c>
      <c r="BX8" s="238" t="n">
        <f aca="false">BW8+1</f>
        <v>72</v>
      </c>
      <c r="BY8" s="238" t="n">
        <f aca="false">BX8+1</f>
        <v>73</v>
      </c>
      <c r="BZ8" s="238" t="n">
        <f aca="false">BY8+1</f>
        <v>74</v>
      </c>
      <c r="CA8" s="238" t="n">
        <f aca="false">BZ8+1</f>
        <v>75</v>
      </c>
      <c r="CB8" s="238" t="n">
        <f aca="false">CA8+1</f>
        <v>76</v>
      </c>
      <c r="CC8" s="238" t="n">
        <f aca="false">CB8+1</f>
        <v>77</v>
      </c>
      <c r="CD8" s="238" t="n">
        <f aca="false">CC8+1</f>
        <v>78</v>
      </c>
      <c r="CE8" s="238" t="n">
        <f aca="false">CD8+1</f>
        <v>79</v>
      </c>
      <c r="CF8" s="238" t="n">
        <f aca="false">CE8+1</f>
        <v>80</v>
      </c>
      <c r="CG8" s="238" t="n">
        <f aca="false">CF8+1</f>
        <v>81</v>
      </c>
      <c r="CH8" s="238" t="n">
        <f aca="false">CG8+1</f>
        <v>82</v>
      </c>
      <c r="CI8" s="238" t="n">
        <f aca="false">CH8+1</f>
        <v>83</v>
      </c>
      <c r="CJ8" s="238" t="n">
        <f aca="false">CI8+1</f>
        <v>84</v>
      </c>
      <c r="CK8" s="238" t="n">
        <f aca="false">CJ8+1</f>
        <v>85</v>
      </c>
      <c r="CL8" s="238" t="n">
        <f aca="false">CK8+1</f>
        <v>86</v>
      </c>
      <c r="CM8" s="238" t="n">
        <f aca="false">CL8+1</f>
        <v>87</v>
      </c>
      <c r="CN8" s="238" t="n">
        <f aca="false">CM8+1</f>
        <v>88</v>
      </c>
      <c r="CO8" s="238" t="n">
        <f aca="false">CN8+1</f>
        <v>89</v>
      </c>
      <c r="CP8" s="238" t="n">
        <f aca="false">CO8+1</f>
        <v>90</v>
      </c>
      <c r="CQ8" s="238" t="n">
        <f aca="false">CP8+1</f>
        <v>91</v>
      </c>
      <c r="CR8" s="238" t="n">
        <f aca="false">CQ8+1</f>
        <v>92</v>
      </c>
      <c r="CS8" s="238" t="n">
        <f aca="false">CR8+1</f>
        <v>93</v>
      </c>
      <c r="CT8" s="238" t="n">
        <f aca="false">CS8+1</f>
        <v>94</v>
      </c>
      <c r="CU8" s="238" t="n">
        <f aca="false">CT8+1</f>
        <v>95</v>
      </c>
      <c r="CV8" s="238" t="n">
        <f aca="false">CU8+1</f>
        <v>96</v>
      </c>
      <c r="CW8" s="238" t="n">
        <f aca="false">CV8+1</f>
        <v>97</v>
      </c>
      <c r="CX8" s="238" t="n">
        <f aca="false">CW8+1</f>
        <v>98</v>
      </c>
      <c r="CY8" s="238" t="n">
        <f aca="false">CX8+1</f>
        <v>99</v>
      </c>
      <c r="CZ8" s="238" t="n">
        <f aca="false">CY8+1</f>
        <v>100</v>
      </c>
      <c r="DA8" s="238" t="n">
        <f aca="false">CZ8+1</f>
        <v>101</v>
      </c>
      <c r="DB8" s="238" t="n">
        <f aca="false">DA8+1</f>
        <v>102</v>
      </c>
      <c r="DC8" s="238" t="n">
        <f aca="false">DB8+1</f>
        <v>103</v>
      </c>
      <c r="DD8" s="238" t="n">
        <f aca="false">DC8+1</f>
        <v>104</v>
      </c>
      <c r="DE8" s="238" t="n">
        <f aca="false">DD8+1</f>
        <v>105</v>
      </c>
      <c r="DF8" s="238" t="n">
        <f aca="false">DE8+1</f>
        <v>106</v>
      </c>
      <c r="DG8" s="238" t="n">
        <f aca="false">DF8+1</f>
        <v>107</v>
      </c>
      <c r="DH8" s="238" t="n">
        <f aca="false">DG8+1</f>
        <v>108</v>
      </c>
      <c r="DI8" s="238" t="n">
        <f aca="false">DH8+1</f>
        <v>109</v>
      </c>
      <c r="DJ8" s="238" t="n">
        <f aca="false">DI8+1</f>
        <v>110</v>
      </c>
      <c r="DK8" s="238" t="n">
        <f aca="false">DJ8+1</f>
        <v>111</v>
      </c>
      <c r="DL8" s="238" t="n">
        <f aca="false">DK8+1</f>
        <v>112</v>
      </c>
      <c r="DM8" s="238" t="n">
        <f aca="false">DL8+1</f>
        <v>113</v>
      </c>
      <c r="DN8" s="238" t="n">
        <f aca="false">DM8+1</f>
        <v>114</v>
      </c>
      <c r="DO8" s="238" t="n">
        <f aca="false">DN8+1</f>
        <v>115</v>
      </c>
      <c r="DP8" s="238" t="n">
        <f aca="false">DO8+1</f>
        <v>116</v>
      </c>
      <c r="DQ8" s="238" t="n">
        <f aca="false">DP8+1</f>
        <v>117</v>
      </c>
      <c r="DR8" s="238" t="n">
        <f aca="false">DQ8+1</f>
        <v>118</v>
      </c>
      <c r="DS8" s="238" t="n">
        <f aca="false">DR8+1</f>
        <v>119</v>
      </c>
      <c r="DT8" s="238" t="n">
        <f aca="false">DS8+1</f>
        <v>120</v>
      </c>
      <c r="DU8" s="238" t="n">
        <f aca="false">DT8+1</f>
        <v>121</v>
      </c>
      <c r="DV8" s="238" t="n">
        <f aca="false">DU8+1</f>
        <v>122</v>
      </c>
      <c r="DW8" s="238" t="n">
        <f aca="false">DV8+1</f>
        <v>123</v>
      </c>
      <c r="DX8" s="238" t="n">
        <f aca="false">DW8+1</f>
        <v>124</v>
      </c>
      <c r="DY8" s="238" t="n">
        <f aca="false">DX8+1</f>
        <v>125</v>
      </c>
      <c r="DZ8" s="238" t="n">
        <f aca="false">DY8+1</f>
        <v>126</v>
      </c>
      <c r="EA8" s="238" t="n">
        <f aca="false">DZ8+1</f>
        <v>127</v>
      </c>
      <c r="EB8" s="238" t="n">
        <f aca="false">EA8+1</f>
        <v>128</v>
      </c>
      <c r="EC8" s="238" t="n">
        <f aca="false">EB8+1</f>
        <v>129</v>
      </c>
      <c r="ED8" s="238" t="n">
        <f aca="false">EC8+1</f>
        <v>130</v>
      </c>
      <c r="EE8" s="238" t="n">
        <f aca="false">ED8+1</f>
        <v>131</v>
      </c>
      <c r="EF8" s="238" t="n">
        <f aca="false">EE8+1</f>
        <v>132</v>
      </c>
    </row>
    <row r="9" customFormat="false" ht="15" hidden="false" customHeight="false" outlineLevel="0" collapsed="false">
      <c r="A9" s="35" t="s">
        <v>481</v>
      </c>
      <c r="B9" s="236"/>
      <c r="E9" s="239" t="n">
        <f aca="false">IF(E6&lt;=Assumption!$E$24,1,0)</f>
        <v>1</v>
      </c>
      <c r="F9" s="239" t="n">
        <f aca="false">IF(F6&lt;=Assumption!$E$24,1,0)</f>
        <v>1</v>
      </c>
      <c r="G9" s="239" t="n">
        <f aca="false">IF(G6&lt;=Assumption!$E$24,1,0)</f>
        <v>1</v>
      </c>
      <c r="H9" s="239" t="n">
        <f aca="false">IF(H6&lt;=Assumption!$E$24,1,0)</f>
        <v>1</v>
      </c>
      <c r="I9" s="239" t="n">
        <f aca="false">IF(I6&lt;=Assumption!$E$24,1,0)</f>
        <v>1</v>
      </c>
      <c r="J9" s="239" t="n">
        <f aca="false">IF(J6&lt;=Assumption!$E$24,1,0)</f>
        <v>1</v>
      </c>
      <c r="K9" s="239" t="n">
        <f aca="false">IF(K6&lt;=Assumption!$E$24,1,0)</f>
        <v>1</v>
      </c>
      <c r="L9" s="239" t="n">
        <f aca="false">IF(L6&lt;=Assumption!$E$24,1,0)</f>
        <v>1</v>
      </c>
      <c r="M9" s="239" t="n">
        <f aca="false">IF(M6&lt;=Assumption!$E$24,1,0)</f>
        <v>1</v>
      </c>
      <c r="N9" s="239" t="n">
        <f aca="false">IF(N6&lt;=Assumption!$E$24,1,0)</f>
        <v>1</v>
      </c>
      <c r="O9" s="239" t="n">
        <f aca="false">IF(O6&lt;=Assumption!$E$24,1,0)</f>
        <v>1</v>
      </c>
      <c r="P9" s="239" t="n">
        <f aca="false">IF(P6&lt;=Assumption!$E$24,1,0)</f>
        <v>1</v>
      </c>
      <c r="Q9" s="239" t="n">
        <f aca="false">IF(Q6&lt;=Assumption!$E$24,1,0)</f>
        <v>1</v>
      </c>
      <c r="R9" s="239" t="n">
        <f aca="false">IF(R6&lt;=Assumption!$E$24,1,0)</f>
        <v>1</v>
      </c>
      <c r="S9" s="239" t="n">
        <f aca="false">IF(S6&lt;=Assumption!$E$24,1,0)</f>
        <v>1</v>
      </c>
      <c r="T9" s="239" t="n">
        <f aca="false">IF(T6&lt;=Assumption!$E$24,1,0)</f>
        <v>1</v>
      </c>
      <c r="U9" s="239" t="n">
        <f aca="false">IF(U6&lt;=Assumption!$E$24,1,0)</f>
        <v>1</v>
      </c>
      <c r="V9" s="239" t="n">
        <f aca="false">IF(V6&lt;=Assumption!$E$24,1,0)</f>
        <v>1</v>
      </c>
      <c r="W9" s="239" t="n">
        <f aca="false">IF(W6&lt;=Assumption!$E$24,1,0)</f>
        <v>1</v>
      </c>
      <c r="X9" s="239" t="n">
        <f aca="false">IF(X6&lt;=Assumption!$E$24,1,0)</f>
        <v>1</v>
      </c>
      <c r="Y9" s="239" t="n">
        <f aca="false">IF(Y6&lt;=Assumption!$E$24,1,0)</f>
        <v>1</v>
      </c>
      <c r="Z9" s="239" t="n">
        <f aca="false">IF(Z6&lt;=Assumption!$E$24,1,0)</f>
        <v>1</v>
      </c>
      <c r="AA9" s="239" t="n">
        <f aca="false">IF(AA6&lt;=Assumption!$E$24,1,0)</f>
        <v>1</v>
      </c>
      <c r="AB9" s="239" t="n">
        <f aca="false">IF(AB6&lt;=Assumption!$E$24,1,0)</f>
        <v>1</v>
      </c>
      <c r="AC9" s="239" t="n">
        <f aca="false">IF(AC6&lt;=Assumption!$E$24,1,0)</f>
        <v>1</v>
      </c>
      <c r="AD9" s="239" t="n">
        <f aca="false">IF(AD6&lt;=Assumption!$E$24,1,0)</f>
        <v>1</v>
      </c>
      <c r="AE9" s="239" t="n">
        <f aca="false">IF(AE6&lt;=Assumption!$E$24,1,0)</f>
        <v>1</v>
      </c>
      <c r="AF9" s="239" t="n">
        <f aca="false">IF(AF6&lt;=Assumption!$E$24,1,0)</f>
        <v>1</v>
      </c>
      <c r="AG9" s="239" t="n">
        <f aca="false">IF(AG6&lt;=Assumption!$E$24,1,0)</f>
        <v>1</v>
      </c>
      <c r="AH9" s="239" t="n">
        <f aca="false">IF(AH6&lt;=Assumption!$E$24,1,0)</f>
        <v>1</v>
      </c>
      <c r="AI9" s="239" t="n">
        <f aca="false">IF(AI6&lt;=Assumption!$E$24,1,0)</f>
        <v>1</v>
      </c>
      <c r="AJ9" s="239" t="n">
        <f aca="false">IF(AJ6&lt;=Assumption!$E$24,1,0)</f>
        <v>1</v>
      </c>
      <c r="AK9" s="239" t="n">
        <f aca="false">IF(AK6&lt;=Assumption!$E$24,1,0)</f>
        <v>1</v>
      </c>
      <c r="AL9" s="239" t="n">
        <f aca="false">IF(AL6&lt;=Assumption!$E$24,1,0)</f>
        <v>1</v>
      </c>
      <c r="AM9" s="239" t="n">
        <f aca="false">IF(AM6&lt;=Assumption!$E$24,1,0)</f>
        <v>1</v>
      </c>
      <c r="AN9" s="239" t="n">
        <f aca="false">IF(AN6&lt;=Assumption!$E$24,1,0)</f>
        <v>1</v>
      </c>
      <c r="AO9" s="239" t="n">
        <f aca="false">IF(AO6&lt;=Assumption!$E$24,1,0)</f>
        <v>1</v>
      </c>
      <c r="AP9" s="239" t="n">
        <f aca="false">IF(AP6&lt;=Assumption!$E$24,1,0)</f>
        <v>1</v>
      </c>
      <c r="AQ9" s="239" t="n">
        <f aca="false">IF(AQ6&lt;=Assumption!$E$24,1,0)</f>
        <v>1</v>
      </c>
      <c r="AR9" s="239" t="n">
        <f aca="false">IF(AR6&lt;=Assumption!$E$24,1,0)</f>
        <v>1</v>
      </c>
      <c r="AS9" s="239" t="n">
        <f aca="false">IF(AS6&lt;=Assumption!$E$24,1,0)</f>
        <v>1</v>
      </c>
      <c r="AT9" s="239" t="n">
        <f aca="false">IF(AT6&lt;=Assumption!$E$24,1,0)</f>
        <v>1</v>
      </c>
      <c r="AU9" s="239" t="n">
        <f aca="false">IF(AU6&lt;=Assumption!$E$24,1,0)</f>
        <v>1</v>
      </c>
      <c r="AV9" s="239" t="n">
        <f aca="false">IF(AV6&lt;=Assumption!$E$24,1,0)</f>
        <v>1</v>
      </c>
      <c r="AW9" s="239" t="n">
        <f aca="false">IF(AW6&lt;=Assumption!$E$24,1,0)</f>
        <v>1</v>
      </c>
      <c r="AX9" s="239" t="n">
        <f aca="false">IF(AX6&lt;=Assumption!$E$24,1,0)</f>
        <v>1</v>
      </c>
      <c r="AY9" s="239" t="n">
        <f aca="false">IF(AY6&lt;=Assumption!$E$24,1,0)</f>
        <v>1</v>
      </c>
      <c r="AZ9" s="239" t="n">
        <f aca="false">IF(AZ6&lt;=Assumption!$E$24,1,0)</f>
        <v>1</v>
      </c>
      <c r="BA9" s="239" t="n">
        <f aca="false">IF(BA6&lt;=Assumption!$E$24,1,0)</f>
        <v>1</v>
      </c>
      <c r="BB9" s="239" t="n">
        <f aca="false">IF(BB6&lt;=Assumption!$E$24,1,0)</f>
        <v>1</v>
      </c>
      <c r="BC9" s="239" t="n">
        <f aca="false">IF(BC6&lt;=Assumption!$E$24,1,0)</f>
        <v>1</v>
      </c>
      <c r="BD9" s="239" t="n">
        <f aca="false">IF(BD6&lt;=Assumption!$E$24,1,0)</f>
        <v>1</v>
      </c>
      <c r="BE9" s="239" t="n">
        <f aca="false">IF(BE6&lt;=Assumption!$E$24,1,0)</f>
        <v>1</v>
      </c>
      <c r="BF9" s="239" t="n">
        <f aca="false">IF(BF6&lt;=Assumption!$E$24,1,0)</f>
        <v>1</v>
      </c>
      <c r="BG9" s="239" t="n">
        <f aca="false">IF(BG6&lt;=Assumption!$E$24,1,0)</f>
        <v>1</v>
      </c>
      <c r="BH9" s="239" t="n">
        <f aca="false">IF(BH6&lt;=Assumption!$E$24,1,0)</f>
        <v>1</v>
      </c>
      <c r="BI9" s="239" t="n">
        <f aca="false">IF(BI6&lt;=Assumption!$E$24,1,0)</f>
        <v>1</v>
      </c>
      <c r="BJ9" s="239" t="n">
        <f aca="false">IF(BJ6&lt;=Assumption!$E$24,1,0)</f>
        <v>1</v>
      </c>
      <c r="BK9" s="239" t="n">
        <f aca="false">IF(BK6&lt;=Assumption!$E$24,1,0)</f>
        <v>1</v>
      </c>
      <c r="BL9" s="239" t="n">
        <f aca="false">IF(BL6&lt;=Assumption!$E$24,1,0)</f>
        <v>1</v>
      </c>
      <c r="BM9" s="239" t="n">
        <f aca="false">IF(BM6&lt;=Assumption!$E$24,1,0)</f>
        <v>1</v>
      </c>
      <c r="BN9" s="239" t="n">
        <f aca="false">IF(BN6&lt;=Assumption!$E$24,1,0)</f>
        <v>1</v>
      </c>
      <c r="BO9" s="239" t="n">
        <f aca="false">IF(BO6&lt;=Assumption!$E$24,1,0)</f>
        <v>1</v>
      </c>
      <c r="BP9" s="239" t="n">
        <f aca="false">IF(BP6&lt;=Assumption!$E$24,1,0)</f>
        <v>1</v>
      </c>
      <c r="BQ9" s="239" t="n">
        <f aca="false">IF(BQ6&lt;=Assumption!$E$24,1,0)</f>
        <v>1</v>
      </c>
      <c r="BR9" s="239" t="n">
        <f aca="false">IF(BR6&lt;=Assumption!$E$24,1,0)</f>
        <v>1</v>
      </c>
      <c r="BS9" s="239" t="n">
        <f aca="false">IF(BS6&lt;=Assumption!$E$24,1,0)</f>
        <v>1</v>
      </c>
      <c r="BT9" s="239" t="n">
        <f aca="false">IF(BT6&lt;=Assumption!$E$24,1,0)</f>
        <v>1</v>
      </c>
      <c r="BU9" s="239" t="n">
        <f aca="false">IF(BU6&lt;=Assumption!$E$24,1,0)</f>
        <v>1</v>
      </c>
      <c r="BV9" s="239" t="n">
        <f aca="false">IF(BV6&lt;=Assumption!$E$24,1,0)</f>
        <v>1</v>
      </c>
      <c r="BW9" s="239" t="n">
        <f aca="false">IF(BW6&lt;=Assumption!$E$24,1,0)</f>
        <v>1</v>
      </c>
      <c r="BX9" s="239" t="n">
        <f aca="false">IF(BX6&lt;=Assumption!$E$24,1,0)</f>
        <v>1</v>
      </c>
      <c r="BY9" s="239" t="n">
        <f aca="false">IF(BY6&lt;=Assumption!$E$24,1,0)</f>
        <v>1</v>
      </c>
      <c r="BZ9" s="239" t="n">
        <f aca="false">IF(BZ6&lt;=Assumption!$E$24,1,0)</f>
        <v>1</v>
      </c>
      <c r="CA9" s="239" t="n">
        <f aca="false">IF(CA6&lt;=Assumption!$E$24,1,0)</f>
        <v>1</v>
      </c>
      <c r="CB9" s="239" t="n">
        <f aca="false">IF(CB6&lt;=Assumption!$E$24,1,0)</f>
        <v>1</v>
      </c>
      <c r="CC9" s="239" t="n">
        <f aca="false">IF(CC6&lt;=Assumption!$E$24,1,0)</f>
        <v>1</v>
      </c>
      <c r="CD9" s="239" t="n">
        <f aca="false">IF(CD6&lt;=Assumption!$E$24,1,0)</f>
        <v>1</v>
      </c>
      <c r="CE9" s="239" t="n">
        <f aca="false">IF(CE6&lt;=Assumption!$E$24,1,0)</f>
        <v>1</v>
      </c>
      <c r="CF9" s="239" t="n">
        <f aca="false">IF(CF6&lt;=Assumption!$E$24,1,0)</f>
        <v>1</v>
      </c>
      <c r="CG9" s="239" t="n">
        <f aca="false">IF(CG6&lt;=Assumption!$E$24,1,0)</f>
        <v>1</v>
      </c>
      <c r="CH9" s="239" t="n">
        <f aca="false">IF(CH6&lt;=Assumption!$E$24,1,0)</f>
        <v>1</v>
      </c>
      <c r="CI9" s="239" t="n">
        <f aca="false">IF(CI6&lt;=Assumption!$E$24,1,0)</f>
        <v>1</v>
      </c>
      <c r="CJ9" s="239" t="n">
        <f aca="false">IF(CJ6&lt;=Assumption!$E$24,1,0)</f>
        <v>1</v>
      </c>
      <c r="CK9" s="239" t="n">
        <f aca="false">IF(CK6&lt;=Assumption!$E$24,1,0)</f>
        <v>1</v>
      </c>
      <c r="CL9" s="239" t="n">
        <f aca="false">IF(CL6&lt;=Assumption!$E$24,1,0)</f>
        <v>1</v>
      </c>
      <c r="CM9" s="239" t="n">
        <f aca="false">IF(CM6&lt;=Assumption!$E$24,1,0)</f>
        <v>1</v>
      </c>
      <c r="CN9" s="239" t="n">
        <f aca="false">IF(CN6&lt;=Assumption!$E$24,1,0)</f>
        <v>1</v>
      </c>
      <c r="CO9" s="239" t="n">
        <f aca="false">IF(CO6&lt;=Assumption!$E$24,1,0)</f>
        <v>1</v>
      </c>
      <c r="CP9" s="239" t="n">
        <f aca="false">IF(CP6&lt;=Assumption!$E$24,1,0)</f>
        <v>1</v>
      </c>
      <c r="CQ9" s="239" t="n">
        <f aca="false">IF(CQ6&lt;=Assumption!$E$24,1,0)</f>
        <v>1</v>
      </c>
      <c r="CR9" s="239" t="n">
        <f aca="false">IF(CR6&lt;=Assumption!$E$24,1,0)</f>
        <v>1</v>
      </c>
      <c r="CS9" s="239" t="n">
        <f aca="false">IF(CS6&lt;=Assumption!$E$24,1,0)</f>
        <v>1</v>
      </c>
      <c r="CT9" s="239" t="n">
        <f aca="false">IF(CT6&lt;=Assumption!$E$24,1,0)</f>
        <v>1</v>
      </c>
      <c r="CU9" s="239" t="n">
        <f aca="false">IF(CU6&lt;=Assumption!$E$24,1,0)</f>
        <v>1</v>
      </c>
      <c r="CV9" s="239" t="n">
        <f aca="false">IF(CV6&lt;=Assumption!$E$24,1,0)</f>
        <v>1</v>
      </c>
      <c r="CW9" s="239" t="n">
        <f aca="false">IF(CW6&lt;=Assumption!$E$24,1,0)</f>
        <v>1</v>
      </c>
      <c r="CX9" s="239" t="n">
        <f aca="false">IF(CX6&lt;=Assumption!$E$24,1,0)</f>
        <v>1</v>
      </c>
      <c r="CY9" s="239" t="n">
        <f aca="false">IF(CY6&lt;=Assumption!$E$24,1,0)</f>
        <v>1</v>
      </c>
      <c r="CZ9" s="239" t="n">
        <f aca="false">IF(CZ6&lt;=Assumption!$E$24,1,0)</f>
        <v>1</v>
      </c>
      <c r="DA9" s="239" t="n">
        <f aca="false">IF(DA6&lt;=Assumption!$E$24,1,0)</f>
        <v>1</v>
      </c>
      <c r="DB9" s="239" t="n">
        <f aca="false">IF(DB6&lt;=Assumption!$E$24,1,0)</f>
        <v>1</v>
      </c>
      <c r="DC9" s="239" t="n">
        <f aca="false">IF(DC6&lt;=Assumption!$E$24,1,0)</f>
        <v>1</v>
      </c>
      <c r="DD9" s="239" t="n">
        <f aca="false">IF(DD6&lt;=Assumption!$E$24,1,0)</f>
        <v>1</v>
      </c>
      <c r="DE9" s="239" t="n">
        <f aca="false">IF(DE6&lt;=Assumption!$E$24,1,0)</f>
        <v>1</v>
      </c>
      <c r="DF9" s="239" t="n">
        <f aca="false">IF(DF6&lt;=Assumption!$E$24,1,0)</f>
        <v>1</v>
      </c>
      <c r="DG9" s="239" t="n">
        <f aca="false">IF(DG6&lt;=Assumption!$E$24,1,0)</f>
        <v>1</v>
      </c>
      <c r="DH9" s="239" t="n">
        <f aca="false">IF(DH6&lt;=Assumption!$E$24,1,0)</f>
        <v>1</v>
      </c>
      <c r="DI9" s="239" t="n">
        <f aca="false">IF(DI6&lt;=Assumption!$E$24,1,0)</f>
        <v>1</v>
      </c>
      <c r="DJ9" s="239" t="n">
        <f aca="false">IF(DJ6&lt;=Assumption!$E$24,1,0)</f>
        <v>1</v>
      </c>
      <c r="DK9" s="239" t="n">
        <f aca="false">IF(DK6&lt;=Assumption!$E$24,1,0)</f>
        <v>1</v>
      </c>
      <c r="DL9" s="239" t="n">
        <f aca="false">IF(DL6&lt;=Assumption!$E$24,1,0)</f>
        <v>1</v>
      </c>
      <c r="DM9" s="239" t="n">
        <f aca="false">IF(DM6&lt;=Assumption!$E$24,1,0)</f>
        <v>1</v>
      </c>
      <c r="DN9" s="239" t="n">
        <f aca="false">IF(DN6&lt;=Assumption!$E$24,1,0)</f>
        <v>1</v>
      </c>
      <c r="DO9" s="239" t="n">
        <f aca="false">IF(DO6&lt;=Assumption!$E$24,1,0)</f>
        <v>1</v>
      </c>
      <c r="DP9" s="239" t="n">
        <f aca="false">IF(DP6&lt;=Assumption!$E$24,1,0)</f>
        <v>1</v>
      </c>
      <c r="DQ9" s="239" t="n">
        <f aca="false">IF(DQ6&lt;=Assumption!$E$24,1,0)</f>
        <v>1</v>
      </c>
      <c r="DR9" s="239" t="n">
        <f aca="false">IF(DR6&lt;=Assumption!$E$24,1,0)</f>
        <v>1</v>
      </c>
      <c r="DS9" s="239" t="n">
        <f aca="false">IF(DS6&lt;=Assumption!$E$24,1,0)</f>
        <v>1</v>
      </c>
      <c r="DT9" s="239" t="n">
        <f aca="false">IF(DT6&lt;=Assumption!$E$24,1,0)</f>
        <v>1</v>
      </c>
      <c r="DU9" s="239" t="n">
        <f aca="false">IF(DU6&lt;=Assumption!$E$24,1,0)</f>
        <v>1</v>
      </c>
      <c r="DV9" s="239" t="n">
        <f aca="false">IF(DV6&lt;=Assumption!$E$24,1,0)</f>
        <v>1</v>
      </c>
      <c r="DW9" s="239" t="n">
        <f aca="false">IF(DW6&lt;=Assumption!$E$24,1,0)</f>
        <v>1</v>
      </c>
      <c r="DX9" s="239" t="n">
        <f aca="false">IF(DX6&lt;=Assumption!$E$24,1,0)</f>
        <v>0</v>
      </c>
      <c r="DY9" s="239" t="n">
        <f aca="false">IF(DY6&lt;=Assumption!$E$24,1,0)</f>
        <v>0</v>
      </c>
      <c r="DZ9" s="239" t="n">
        <f aca="false">IF(DZ6&lt;=Assumption!$E$24,1,0)</f>
        <v>0</v>
      </c>
      <c r="EA9" s="239" t="n">
        <f aca="false">IF(EA6&lt;=Assumption!$E$24,1,0)</f>
        <v>0</v>
      </c>
      <c r="EB9" s="239" t="n">
        <f aca="false">IF(EB6&lt;=Assumption!$E$24,1,0)</f>
        <v>0</v>
      </c>
      <c r="EC9" s="239" t="n">
        <f aca="false">IF(EC6&lt;=Assumption!$E$24,1,0)</f>
        <v>0</v>
      </c>
      <c r="ED9" s="239" t="n">
        <f aca="false">IF(ED6&lt;=Assumption!$E$24,1,0)</f>
        <v>0</v>
      </c>
      <c r="EE9" s="239" t="n">
        <f aca="false">IF(EE6&lt;=Assumption!$E$24,1,0)</f>
        <v>0</v>
      </c>
      <c r="EF9" s="239" t="n">
        <f aca="false">IF(EF6&lt;=Assumption!$E$24,1,0)</f>
        <v>0</v>
      </c>
    </row>
    <row r="10" customFormat="false" ht="15" hidden="false" customHeight="false" outlineLevel="0" collapsed="false">
      <c r="A10" s="35" t="s">
        <v>482</v>
      </c>
      <c r="B10" s="236"/>
      <c r="E10" s="239" t="n">
        <f aca="false">IF(E6&lt;=Assumption!$E$16,1,0)</f>
        <v>1</v>
      </c>
      <c r="F10" s="239" t="n">
        <f aca="false">IF(F6&lt;=Assumption!$E$16,1,0)</f>
        <v>1</v>
      </c>
      <c r="G10" s="239" t="n">
        <f aca="false">IF(G6&lt;=Assumption!$E$16,1,0)</f>
        <v>1</v>
      </c>
      <c r="H10" s="239" t="n">
        <f aca="false">IF(H6&lt;=Assumption!$E$16,1,0)</f>
        <v>1</v>
      </c>
      <c r="I10" s="239" t="n">
        <f aca="false">IF(I6&lt;=Assumption!$E$16,1,0)</f>
        <v>1</v>
      </c>
      <c r="J10" s="239" t="n">
        <f aca="false">IF(J6&lt;=Assumption!$E$16,1,0)</f>
        <v>1</v>
      </c>
      <c r="K10" s="239" t="n">
        <f aca="false">IF(K6&lt;=Assumption!$E$16,1,0)</f>
        <v>1</v>
      </c>
      <c r="L10" s="239" t="n">
        <f aca="false">IF(L6&lt;=Assumption!$E$16,1,0)</f>
        <v>1</v>
      </c>
      <c r="M10" s="239" t="n">
        <f aca="false">IF(M6&lt;=Assumption!$E$16,1,0)</f>
        <v>1</v>
      </c>
      <c r="N10" s="239" t="n">
        <f aca="false">IF(N6&lt;=Assumption!$E$16,1,0)</f>
        <v>1</v>
      </c>
      <c r="O10" s="239" t="n">
        <f aca="false">IF(O6&lt;=Assumption!$E$16,1,0)</f>
        <v>1</v>
      </c>
      <c r="P10" s="239" t="n">
        <f aca="false">IF(P6&lt;=Assumption!$E$16,1,0)</f>
        <v>1</v>
      </c>
      <c r="Q10" s="239" t="n">
        <f aca="false">IF(Q6&lt;=Assumption!$E$16,1,0)</f>
        <v>1</v>
      </c>
      <c r="R10" s="239" t="n">
        <f aca="false">IF(R6&lt;=Assumption!$E$16,1,0)</f>
        <v>1</v>
      </c>
      <c r="S10" s="239" t="n">
        <f aca="false">IF(S6&lt;=Assumption!$E$16,1,0)</f>
        <v>1</v>
      </c>
      <c r="T10" s="239" t="n">
        <f aca="false">IF(T6&lt;=Assumption!$E$16,1,0)</f>
        <v>1</v>
      </c>
      <c r="U10" s="239" t="n">
        <f aca="false">IF(U6&lt;=Assumption!$E$16,1,0)</f>
        <v>1</v>
      </c>
      <c r="V10" s="239" t="n">
        <f aca="false">IF(V6&lt;=Assumption!$E$16,1,0)</f>
        <v>1</v>
      </c>
      <c r="W10" s="239" t="n">
        <f aca="false">IF(W6&lt;=Assumption!$E$16,1,0)</f>
        <v>1</v>
      </c>
      <c r="X10" s="239" t="n">
        <f aca="false">IF(X6&lt;=Assumption!$E$16,1,0)</f>
        <v>1</v>
      </c>
      <c r="Y10" s="239" t="n">
        <f aca="false">IF(Y6&lt;=Assumption!$E$16,1,0)</f>
        <v>1</v>
      </c>
      <c r="Z10" s="239" t="n">
        <f aca="false">IF(Z6&lt;=Assumption!$E$16,1,0)</f>
        <v>1</v>
      </c>
      <c r="AA10" s="239" t="n">
        <f aca="false">IF(AA6&lt;=Assumption!$E$16,1,0)</f>
        <v>1</v>
      </c>
      <c r="AB10" s="239" t="n">
        <f aca="false">IF(AB6&lt;=Assumption!$E$16,1,0)</f>
        <v>1</v>
      </c>
      <c r="AC10" s="239" t="n">
        <f aca="false">IF(AC6&lt;=Assumption!$E$16,1,0)</f>
        <v>1</v>
      </c>
      <c r="AD10" s="239" t="n">
        <f aca="false">IF(AD6&lt;=Assumption!$E$16,1,0)</f>
        <v>1</v>
      </c>
      <c r="AE10" s="239" t="n">
        <f aca="false">IF(AE6&lt;=Assumption!$E$16,1,0)</f>
        <v>1</v>
      </c>
      <c r="AF10" s="239" t="n">
        <f aca="false">IF(AF6&lt;=Assumption!$E$16,1,0)</f>
        <v>1</v>
      </c>
      <c r="AG10" s="239" t="n">
        <f aca="false">IF(AG6&lt;=Assumption!$E$16,1,0)</f>
        <v>1</v>
      </c>
      <c r="AH10" s="239" t="n">
        <f aca="false">IF(AH6&lt;=Assumption!$E$16,1,0)</f>
        <v>1</v>
      </c>
      <c r="AI10" s="239" t="n">
        <f aca="false">IF(AI6&lt;=Assumption!$E$16,1,0)</f>
        <v>1</v>
      </c>
      <c r="AJ10" s="239" t="n">
        <f aca="false">IF(AJ6&lt;=Assumption!$E$16,1,0)</f>
        <v>1</v>
      </c>
      <c r="AK10" s="239" t="n">
        <f aca="false">IF(AK6&lt;=Assumption!$E$16,1,0)</f>
        <v>1</v>
      </c>
      <c r="AL10" s="239" t="n">
        <f aca="false">IF(AL6&lt;=Assumption!$E$16,1,0)</f>
        <v>1</v>
      </c>
      <c r="AM10" s="239" t="n">
        <f aca="false">IF(AM6&lt;=Assumption!$E$16,1,0)</f>
        <v>1</v>
      </c>
      <c r="AN10" s="239" t="n">
        <f aca="false">IF(AN6&lt;=Assumption!$E$16,1,0)</f>
        <v>1</v>
      </c>
      <c r="AO10" s="239" t="n">
        <f aca="false">IF(AO6&lt;=Assumption!$E$16,1,0)</f>
        <v>1</v>
      </c>
      <c r="AP10" s="239" t="n">
        <f aca="false">IF(AP6&lt;=Assumption!$E$16,1,0)</f>
        <v>1</v>
      </c>
      <c r="AQ10" s="239" t="n">
        <f aca="false">IF(AQ6&lt;=Assumption!$E$16,1,0)</f>
        <v>1</v>
      </c>
      <c r="AR10" s="239" t="n">
        <f aca="false">IF(AR6&lt;=Assumption!$E$16,1,0)</f>
        <v>1</v>
      </c>
      <c r="AS10" s="239" t="n">
        <f aca="false">IF(AS6&lt;=Assumption!$E$16,1,0)</f>
        <v>1</v>
      </c>
      <c r="AT10" s="239" t="n">
        <f aca="false">IF(AT6&lt;=Assumption!$E$16,1,0)</f>
        <v>1</v>
      </c>
      <c r="AU10" s="239" t="n">
        <f aca="false">IF(AU6&lt;=Assumption!$E$16,1,0)</f>
        <v>1</v>
      </c>
      <c r="AV10" s="239" t="n">
        <f aca="false">IF(AV6&lt;=Assumption!$E$16,1,0)</f>
        <v>1</v>
      </c>
      <c r="AW10" s="239" t="n">
        <f aca="false">IF(AW6&lt;=Assumption!$E$16,1,0)</f>
        <v>1</v>
      </c>
      <c r="AX10" s="239" t="n">
        <f aca="false">IF(AX6&lt;=Assumption!$E$16,1,0)</f>
        <v>1</v>
      </c>
      <c r="AY10" s="239" t="n">
        <f aca="false">IF(AY6&lt;=Assumption!$E$16,1,0)</f>
        <v>1</v>
      </c>
      <c r="AZ10" s="239" t="n">
        <f aca="false">IF(AZ6&lt;=Assumption!$E$16,1,0)</f>
        <v>1</v>
      </c>
      <c r="BA10" s="239" t="n">
        <f aca="false">IF(BA6&lt;=Assumption!$E$16,1,0)</f>
        <v>1</v>
      </c>
      <c r="BB10" s="239" t="n">
        <f aca="false">IF(BB6&lt;=Assumption!$E$16,1,0)</f>
        <v>1</v>
      </c>
      <c r="BC10" s="239" t="n">
        <f aca="false">IF(BC6&lt;=Assumption!$E$16,1,0)</f>
        <v>1</v>
      </c>
      <c r="BD10" s="239" t="n">
        <f aca="false">IF(BD6&lt;=Assumption!$E$16,1,0)</f>
        <v>1</v>
      </c>
      <c r="BE10" s="239" t="n">
        <f aca="false">IF(BE6&lt;=Assumption!$E$16,1,0)</f>
        <v>1</v>
      </c>
      <c r="BF10" s="239" t="n">
        <f aca="false">IF(BF6&lt;=Assumption!$E$16,1,0)</f>
        <v>1</v>
      </c>
      <c r="BG10" s="239" t="n">
        <f aca="false">IF(BG6&lt;=Assumption!$E$16,1,0)</f>
        <v>1</v>
      </c>
      <c r="BH10" s="239" t="n">
        <f aca="false">IF(BH6&lt;=Assumption!$E$16,1,0)</f>
        <v>1</v>
      </c>
      <c r="BI10" s="239" t="n">
        <f aca="false">IF(BI6&lt;=Assumption!$E$16,1,0)</f>
        <v>1</v>
      </c>
      <c r="BJ10" s="239" t="n">
        <f aca="false">IF(BJ6&lt;=Assumption!$E$16,1,0)</f>
        <v>1</v>
      </c>
      <c r="BK10" s="239" t="n">
        <f aca="false">IF(BK6&lt;=Assumption!$E$16,1,0)</f>
        <v>1</v>
      </c>
      <c r="BL10" s="239" t="n">
        <f aca="false">IF(BL6&lt;=Assumption!$E$16,1,0)</f>
        <v>1</v>
      </c>
      <c r="BM10" s="239" t="n">
        <f aca="false">IF(BM6&lt;=Assumption!$E$16,1,0)</f>
        <v>0</v>
      </c>
      <c r="BN10" s="239" t="n">
        <f aca="false">IF(BN6&lt;=Assumption!$E$16,1,0)</f>
        <v>0</v>
      </c>
      <c r="BO10" s="239" t="n">
        <f aca="false">IF(BO6&lt;=Assumption!$E$16,1,0)</f>
        <v>0</v>
      </c>
      <c r="BP10" s="239" t="n">
        <f aca="false">IF(BP6&lt;=Assumption!$E$16,1,0)</f>
        <v>0</v>
      </c>
      <c r="BQ10" s="239" t="n">
        <f aca="false">IF(BQ6&lt;=Assumption!$E$16,1,0)</f>
        <v>0</v>
      </c>
      <c r="BR10" s="239" t="n">
        <f aca="false">IF(BR6&lt;=Assumption!$E$16,1,0)</f>
        <v>0</v>
      </c>
      <c r="BS10" s="239" t="n">
        <f aca="false">IF(BS6&lt;=Assumption!$E$16,1,0)</f>
        <v>0</v>
      </c>
      <c r="BT10" s="239" t="n">
        <f aca="false">IF(BT6&lt;=Assumption!$E$16,1,0)</f>
        <v>0</v>
      </c>
      <c r="BU10" s="239" t="n">
        <f aca="false">IF(BU6&lt;=Assumption!$E$16,1,0)</f>
        <v>0</v>
      </c>
      <c r="BV10" s="239" t="n">
        <f aca="false">IF(BV6&lt;=Assumption!$E$16,1,0)</f>
        <v>0</v>
      </c>
      <c r="BW10" s="239" t="n">
        <f aca="false">IF(BW6&lt;=Assumption!$E$16,1,0)</f>
        <v>0</v>
      </c>
      <c r="BX10" s="239" t="n">
        <f aca="false">IF(BX6&lt;=Assumption!$E$16,1,0)</f>
        <v>0</v>
      </c>
      <c r="BY10" s="239" t="n">
        <f aca="false">IF(BY6&lt;=Assumption!$E$16,1,0)</f>
        <v>0</v>
      </c>
      <c r="BZ10" s="239" t="n">
        <f aca="false">IF(BZ6&lt;=Assumption!$E$16,1,0)</f>
        <v>0</v>
      </c>
      <c r="CA10" s="239" t="n">
        <f aca="false">IF(CA6&lt;=Assumption!$E$16,1,0)</f>
        <v>0</v>
      </c>
      <c r="CB10" s="239" t="n">
        <f aca="false">IF(CB6&lt;=Assumption!$E$16,1,0)</f>
        <v>0</v>
      </c>
      <c r="CC10" s="239" t="n">
        <f aca="false">IF(CC6&lt;=Assumption!$E$16,1,0)</f>
        <v>0</v>
      </c>
      <c r="CD10" s="239" t="n">
        <f aca="false">IF(CD6&lt;=Assumption!$E$16,1,0)</f>
        <v>0</v>
      </c>
      <c r="CE10" s="239" t="n">
        <f aca="false">IF(CE6&lt;=Assumption!$E$16,1,0)</f>
        <v>0</v>
      </c>
      <c r="CF10" s="239" t="n">
        <f aca="false">IF(CF6&lt;=Assumption!$E$16,1,0)</f>
        <v>0</v>
      </c>
      <c r="CG10" s="239" t="n">
        <f aca="false">IF(CG6&lt;=Assumption!$E$16,1,0)</f>
        <v>0</v>
      </c>
      <c r="CH10" s="239" t="n">
        <f aca="false">IF(CH6&lt;=Assumption!$E$16,1,0)</f>
        <v>0</v>
      </c>
      <c r="CI10" s="239" t="n">
        <f aca="false">IF(CI6&lt;=Assumption!$E$16,1,0)</f>
        <v>0</v>
      </c>
      <c r="CJ10" s="239" t="n">
        <f aca="false">IF(CJ6&lt;=Assumption!$E$16,1,0)</f>
        <v>0</v>
      </c>
      <c r="CK10" s="239" t="n">
        <f aca="false">IF(CK6&lt;=Assumption!$E$16,1,0)</f>
        <v>0</v>
      </c>
      <c r="CL10" s="239" t="n">
        <f aca="false">IF(CL6&lt;=Assumption!$E$16,1,0)</f>
        <v>0</v>
      </c>
      <c r="CM10" s="239" t="n">
        <f aca="false">IF(CM6&lt;=Assumption!$E$16,1,0)</f>
        <v>0</v>
      </c>
      <c r="CN10" s="239" t="n">
        <f aca="false">IF(CN6&lt;=Assumption!$E$16,1,0)</f>
        <v>0</v>
      </c>
      <c r="CO10" s="239" t="n">
        <f aca="false">IF(CO6&lt;=Assumption!$E$16,1,0)</f>
        <v>0</v>
      </c>
      <c r="CP10" s="239" t="n">
        <f aca="false">IF(CP6&lt;=Assumption!$E$16,1,0)</f>
        <v>0</v>
      </c>
      <c r="CQ10" s="239" t="n">
        <f aca="false">IF(CQ6&lt;=Assumption!$E$16,1,0)</f>
        <v>0</v>
      </c>
      <c r="CR10" s="239" t="n">
        <f aca="false">IF(CR6&lt;=Assumption!$E$16,1,0)</f>
        <v>0</v>
      </c>
      <c r="CS10" s="239" t="n">
        <f aca="false">IF(CS6&lt;=Assumption!$E$16,1,0)</f>
        <v>0</v>
      </c>
      <c r="CT10" s="239" t="n">
        <f aca="false">IF(CT6&lt;=Assumption!$E$16,1,0)</f>
        <v>0</v>
      </c>
      <c r="CU10" s="239" t="n">
        <f aca="false">IF(CU6&lt;=Assumption!$E$16,1,0)</f>
        <v>0</v>
      </c>
      <c r="CV10" s="239" t="n">
        <f aca="false">IF(CV6&lt;=Assumption!$E$16,1,0)</f>
        <v>0</v>
      </c>
      <c r="CW10" s="239" t="n">
        <f aca="false">IF(CW6&lt;=Assumption!$E$16,1,0)</f>
        <v>0</v>
      </c>
      <c r="CX10" s="239" t="n">
        <f aca="false">IF(CX6&lt;=Assumption!$E$16,1,0)</f>
        <v>0</v>
      </c>
      <c r="CY10" s="239" t="n">
        <f aca="false">IF(CY6&lt;=Assumption!$E$16,1,0)</f>
        <v>0</v>
      </c>
      <c r="CZ10" s="239" t="n">
        <f aca="false">IF(CZ6&lt;=Assumption!$E$16,1,0)</f>
        <v>0</v>
      </c>
      <c r="DA10" s="239" t="n">
        <f aca="false">IF(DA6&lt;=Assumption!$E$16,1,0)</f>
        <v>0</v>
      </c>
      <c r="DB10" s="239" t="n">
        <f aca="false">IF(DB6&lt;=Assumption!$E$16,1,0)</f>
        <v>0</v>
      </c>
      <c r="DC10" s="239" t="n">
        <f aca="false">IF(DC6&lt;=Assumption!$E$16,1,0)</f>
        <v>0</v>
      </c>
      <c r="DD10" s="239" t="n">
        <f aca="false">IF(DD6&lt;=Assumption!$E$16,1,0)</f>
        <v>0</v>
      </c>
      <c r="DE10" s="239" t="n">
        <f aca="false">IF(DE6&lt;=Assumption!$E$16,1,0)</f>
        <v>0</v>
      </c>
      <c r="DF10" s="239" t="n">
        <f aca="false">IF(DF6&lt;=Assumption!$E$16,1,0)</f>
        <v>0</v>
      </c>
      <c r="DG10" s="239" t="n">
        <f aca="false">IF(DG6&lt;=Assumption!$E$16,1,0)</f>
        <v>0</v>
      </c>
      <c r="DH10" s="239" t="n">
        <f aca="false">IF(DH6&lt;=Assumption!$E$16,1,0)</f>
        <v>0</v>
      </c>
      <c r="DI10" s="239" t="n">
        <f aca="false">IF(DI6&lt;=Assumption!$E$16,1,0)</f>
        <v>0</v>
      </c>
      <c r="DJ10" s="239" t="n">
        <f aca="false">IF(DJ6&lt;=Assumption!$E$16,1,0)</f>
        <v>0</v>
      </c>
      <c r="DK10" s="239" t="n">
        <f aca="false">IF(DK6&lt;=Assumption!$E$16,1,0)</f>
        <v>0</v>
      </c>
      <c r="DL10" s="239" t="n">
        <f aca="false">IF(DL6&lt;=Assumption!$E$16,1,0)</f>
        <v>0</v>
      </c>
      <c r="DM10" s="239" t="n">
        <f aca="false">IF(DM6&lt;=Assumption!$E$16,1,0)</f>
        <v>0</v>
      </c>
      <c r="DN10" s="239" t="n">
        <f aca="false">IF(DN6&lt;=Assumption!$E$16,1,0)</f>
        <v>0</v>
      </c>
      <c r="DO10" s="239" t="n">
        <f aca="false">IF(DO6&lt;=Assumption!$E$16,1,0)</f>
        <v>0</v>
      </c>
      <c r="DP10" s="239" t="n">
        <f aca="false">IF(DP6&lt;=Assumption!$E$16,1,0)</f>
        <v>0</v>
      </c>
      <c r="DQ10" s="239" t="n">
        <f aca="false">IF(DQ6&lt;=Assumption!$E$16,1,0)</f>
        <v>0</v>
      </c>
      <c r="DR10" s="239" t="n">
        <f aca="false">IF(DR6&lt;=Assumption!$E$16,1,0)</f>
        <v>0</v>
      </c>
      <c r="DS10" s="239" t="n">
        <f aca="false">IF(DS6&lt;=Assumption!$E$16,1,0)</f>
        <v>0</v>
      </c>
      <c r="DT10" s="239" t="n">
        <f aca="false">IF(DT6&lt;=Assumption!$E$16,1,0)</f>
        <v>0</v>
      </c>
      <c r="DU10" s="239" t="n">
        <f aca="false">IF(DU6&lt;=Assumption!$E$16,1,0)</f>
        <v>0</v>
      </c>
      <c r="DV10" s="239" t="n">
        <f aca="false">IF(DV6&lt;=Assumption!$E$16,1,0)</f>
        <v>0</v>
      </c>
      <c r="DW10" s="239" t="n">
        <f aca="false">IF(DW6&lt;=Assumption!$E$16,1,0)</f>
        <v>0</v>
      </c>
      <c r="DX10" s="239" t="n">
        <f aca="false">IF(DX6&lt;=Assumption!$E$16,1,0)</f>
        <v>0</v>
      </c>
      <c r="DY10" s="239" t="n">
        <f aca="false">IF(DY6&lt;=Assumption!$E$16,1,0)</f>
        <v>0</v>
      </c>
      <c r="DZ10" s="239" t="n">
        <f aca="false">IF(DZ6&lt;=Assumption!$E$16,1,0)</f>
        <v>0</v>
      </c>
      <c r="EA10" s="239" t="n">
        <f aca="false">IF(EA6&lt;=Assumption!$E$16,1,0)</f>
        <v>0</v>
      </c>
      <c r="EB10" s="239" t="n">
        <f aca="false">IF(EB6&lt;=Assumption!$E$16,1,0)</f>
        <v>0</v>
      </c>
      <c r="EC10" s="239" t="n">
        <f aca="false">IF(EC6&lt;=Assumption!$E$16,1,0)</f>
        <v>0</v>
      </c>
      <c r="ED10" s="239" t="n">
        <f aca="false">IF(ED6&lt;=Assumption!$E$16,1,0)</f>
        <v>0</v>
      </c>
      <c r="EE10" s="239" t="n">
        <f aca="false">IF(EE6&lt;=Assumption!$E$16,1,0)</f>
        <v>0</v>
      </c>
      <c r="EF10" s="239" t="n">
        <f aca="false">IF(EF6&lt;=Assumption!$E$16,1,0)</f>
        <v>0</v>
      </c>
    </row>
    <row r="11" customFormat="false" ht="15" hidden="false" customHeight="false" outlineLevel="0" collapsed="false">
      <c r="A11" s="35" t="s">
        <v>483</v>
      </c>
      <c r="B11" s="236"/>
      <c r="E11" s="239" t="n">
        <f aca="false">IF(AND(E6&gt;=Assumption!$E$14,E6&lt;=Assumption!$E$16),1,0)</f>
        <v>0</v>
      </c>
      <c r="F11" s="239" t="n">
        <f aca="false">IF(AND(F6&gt;=Assumption!$E$14,F6&lt;=Assumption!$E$16),1,0)</f>
        <v>0</v>
      </c>
      <c r="G11" s="239" t="n">
        <f aca="false">IF(AND(G6&gt;=Assumption!$E$14,G6&lt;=Assumption!$E$16),1,0)</f>
        <v>0</v>
      </c>
      <c r="H11" s="239" t="n">
        <f aca="false">IF(AND(H6&gt;=Assumption!$E$14,H6&lt;=Assumption!$E$16),1,0)</f>
        <v>0</v>
      </c>
      <c r="I11" s="239" t="n">
        <f aca="false">IF(AND(I6&gt;=Assumption!$E$14,I6&lt;=Assumption!$E$16),1,0)</f>
        <v>0</v>
      </c>
      <c r="J11" s="239" t="n">
        <f aca="false">IF(AND(J6&gt;=Assumption!$E$14,J6&lt;=Assumption!$E$16),1,0)</f>
        <v>0</v>
      </c>
      <c r="K11" s="239" t="n">
        <f aca="false">IF(AND(K6&gt;=Assumption!$E$14,K6&lt;=Assumption!$E$16),1,0)</f>
        <v>0</v>
      </c>
      <c r="L11" s="239" t="n">
        <f aca="false">IF(AND(L6&gt;=Assumption!$E$14,L6&lt;=Assumption!$E$16),1,0)</f>
        <v>0</v>
      </c>
      <c r="M11" s="239" t="n">
        <f aca="false">IF(AND(M6&gt;=Assumption!$E$14,M6&lt;=Assumption!$E$16),1,0)</f>
        <v>0</v>
      </c>
      <c r="N11" s="239" t="n">
        <f aca="false">IF(AND(N6&gt;=Assumption!$E$14,N6&lt;=Assumption!$E$16),1,0)</f>
        <v>0</v>
      </c>
      <c r="O11" s="239" t="n">
        <f aca="false">IF(AND(O6&gt;=Assumption!$E$14,O6&lt;=Assumption!$E$16),1,0)</f>
        <v>0</v>
      </c>
      <c r="P11" s="239" t="n">
        <f aca="false">IF(AND(P6&gt;=Assumption!$E$14,P6&lt;=Assumption!$E$16),1,0)</f>
        <v>0</v>
      </c>
      <c r="Q11" s="239" t="n">
        <f aca="false">IF(AND(Q6&gt;=Assumption!$E$14,Q6&lt;=Assumption!$E$16),1,0)</f>
        <v>0</v>
      </c>
      <c r="R11" s="239" t="n">
        <f aca="false">IF(AND(R6&gt;=Assumption!$E$14,R6&lt;=Assumption!$E$16),1,0)</f>
        <v>0</v>
      </c>
      <c r="S11" s="239" t="n">
        <f aca="false">IF(AND(S6&gt;=Assumption!$E$14,S6&lt;=Assumption!$E$16),1,0)</f>
        <v>0</v>
      </c>
      <c r="T11" s="239" t="n">
        <f aca="false">IF(AND(T6&gt;=Assumption!$E$14,T6&lt;=Assumption!$E$16),1,0)</f>
        <v>0</v>
      </c>
      <c r="U11" s="239" t="n">
        <f aca="false">IF(AND(U6&gt;=Assumption!$E$14,U6&lt;=Assumption!$E$16),1,0)</f>
        <v>0</v>
      </c>
      <c r="V11" s="239" t="n">
        <f aca="false">IF(AND(V6&gt;=Assumption!$E$14,V6&lt;=Assumption!$E$16),1,0)</f>
        <v>0</v>
      </c>
      <c r="W11" s="239" t="n">
        <f aca="false">IF(AND(W6&gt;=Assumption!$E$14,W6&lt;=Assumption!$E$16),1,0)</f>
        <v>1</v>
      </c>
      <c r="X11" s="239" t="n">
        <f aca="false">IF(AND(X6&gt;=Assumption!$E$14,X6&lt;=Assumption!$E$16),1,0)</f>
        <v>1</v>
      </c>
      <c r="Y11" s="239" t="n">
        <f aca="false">IF(AND(Y6&gt;=Assumption!$E$14,Y6&lt;=Assumption!$E$16),1,0)</f>
        <v>1</v>
      </c>
      <c r="Z11" s="239" t="n">
        <f aca="false">IF(AND(Z6&gt;=Assumption!$E$14,Z6&lt;=Assumption!$E$16),1,0)</f>
        <v>1</v>
      </c>
      <c r="AA11" s="239" t="n">
        <f aca="false">IF(AND(AA6&gt;=Assumption!$E$14,AA6&lt;=Assumption!$E$16),1,0)</f>
        <v>1</v>
      </c>
      <c r="AB11" s="239" t="n">
        <f aca="false">IF(AND(AB6&gt;=Assumption!$E$14,AB6&lt;=Assumption!$E$16),1,0)</f>
        <v>1</v>
      </c>
      <c r="AC11" s="239" t="n">
        <f aca="false">IF(AND(AC6&gt;=Assumption!$E$14,AC6&lt;=Assumption!$E$16),1,0)</f>
        <v>1</v>
      </c>
      <c r="AD11" s="239" t="n">
        <f aca="false">IF(AND(AD6&gt;=Assumption!$E$14,AD6&lt;=Assumption!$E$16),1,0)</f>
        <v>1</v>
      </c>
      <c r="AE11" s="239" t="n">
        <f aca="false">IF(AND(AE6&gt;=Assumption!$E$14,AE6&lt;=Assumption!$E$16),1,0)</f>
        <v>1</v>
      </c>
      <c r="AF11" s="239" t="n">
        <f aca="false">IF(AND(AF6&gt;=Assumption!$E$14,AF6&lt;=Assumption!$E$16),1,0)</f>
        <v>1</v>
      </c>
      <c r="AG11" s="239" t="n">
        <f aca="false">IF(AND(AG6&gt;=Assumption!$E$14,AG6&lt;=Assumption!$E$16),1,0)</f>
        <v>1</v>
      </c>
      <c r="AH11" s="239" t="n">
        <f aca="false">IF(AND(AH6&gt;=Assumption!$E$14,AH6&lt;=Assumption!$E$16),1,0)</f>
        <v>1</v>
      </c>
      <c r="AI11" s="239" t="n">
        <f aca="false">IF(AND(AI6&gt;=Assumption!$E$14,AI6&lt;=Assumption!$E$16),1,0)</f>
        <v>1</v>
      </c>
      <c r="AJ11" s="239" t="n">
        <f aca="false">IF(AND(AJ6&gt;=Assumption!$E$14,AJ6&lt;=Assumption!$E$16),1,0)</f>
        <v>1</v>
      </c>
      <c r="AK11" s="239" t="n">
        <f aca="false">IF(AND(AK6&gt;=Assumption!$E$14,AK6&lt;=Assumption!$E$16),1,0)</f>
        <v>1</v>
      </c>
      <c r="AL11" s="239" t="n">
        <f aca="false">IF(AND(AL6&gt;=Assumption!$E$14,AL6&lt;=Assumption!$E$16),1,0)</f>
        <v>1</v>
      </c>
      <c r="AM11" s="239" t="n">
        <f aca="false">IF(AND(AM6&gt;=Assumption!$E$14,AM6&lt;=Assumption!$E$16),1,0)</f>
        <v>1</v>
      </c>
      <c r="AN11" s="239" t="n">
        <f aca="false">IF(AND(AN6&gt;=Assumption!$E$14,AN6&lt;=Assumption!$E$16),1,0)</f>
        <v>1</v>
      </c>
      <c r="AO11" s="239" t="n">
        <f aca="false">IF(AND(AO6&gt;=Assumption!$E$14,AO6&lt;=Assumption!$E$16),1,0)</f>
        <v>1</v>
      </c>
      <c r="AP11" s="239" t="n">
        <f aca="false">IF(AND(AP6&gt;=Assumption!$E$14,AP6&lt;=Assumption!$E$16),1,0)</f>
        <v>1</v>
      </c>
      <c r="AQ11" s="239" t="n">
        <f aca="false">IF(AND(AQ6&gt;=Assumption!$E$14,AQ6&lt;=Assumption!$E$16),1,0)</f>
        <v>1</v>
      </c>
      <c r="AR11" s="239" t="n">
        <f aca="false">IF(AND(AR6&gt;=Assumption!$E$14,AR6&lt;=Assumption!$E$16),1,0)</f>
        <v>1</v>
      </c>
      <c r="AS11" s="239" t="n">
        <f aca="false">IF(AND(AS6&gt;=Assumption!$E$14,AS6&lt;=Assumption!$E$16),1,0)</f>
        <v>1</v>
      </c>
      <c r="AT11" s="239" t="n">
        <f aca="false">IF(AND(AT6&gt;=Assumption!$E$14,AT6&lt;=Assumption!$E$16),1,0)</f>
        <v>1</v>
      </c>
      <c r="AU11" s="239" t="n">
        <f aca="false">IF(AND(AU6&gt;=Assumption!$E$14,AU6&lt;=Assumption!$E$16),1,0)</f>
        <v>1</v>
      </c>
      <c r="AV11" s="239" t="n">
        <f aca="false">IF(AND(AV6&gt;=Assumption!$E$14,AV6&lt;=Assumption!$E$16),1,0)</f>
        <v>1</v>
      </c>
      <c r="AW11" s="239" t="n">
        <f aca="false">IF(AND(AW6&gt;=Assumption!$E$14,AW6&lt;=Assumption!$E$16),1,0)</f>
        <v>1</v>
      </c>
      <c r="AX11" s="239" t="n">
        <f aca="false">IF(AND(AX6&gt;=Assumption!$E$14,AX6&lt;=Assumption!$E$16),1,0)</f>
        <v>1</v>
      </c>
      <c r="AY11" s="239" t="n">
        <f aca="false">IF(AND(AY6&gt;=Assumption!$E$14,AY6&lt;=Assumption!$E$16),1,0)</f>
        <v>1</v>
      </c>
      <c r="AZ11" s="239" t="n">
        <f aca="false">IF(AND(AZ6&gt;=Assumption!$E$14,AZ6&lt;=Assumption!$E$16),1,0)</f>
        <v>1</v>
      </c>
      <c r="BA11" s="239" t="n">
        <f aca="false">IF(AND(BA6&gt;=Assumption!$E$14,BA6&lt;=Assumption!$E$16),1,0)</f>
        <v>1</v>
      </c>
      <c r="BB11" s="239" t="n">
        <f aca="false">IF(AND(BB6&gt;=Assumption!$E$14,BB6&lt;=Assumption!$E$16),1,0)</f>
        <v>1</v>
      </c>
      <c r="BC11" s="239" t="n">
        <f aca="false">IF(AND(BC6&gt;=Assumption!$E$14,BC6&lt;=Assumption!$E$16),1,0)</f>
        <v>1</v>
      </c>
      <c r="BD11" s="239" t="n">
        <f aca="false">IF(AND(BD6&gt;=Assumption!$E$14,BD6&lt;=Assumption!$E$16),1,0)</f>
        <v>1</v>
      </c>
      <c r="BE11" s="239" t="n">
        <f aca="false">IF(AND(BE6&gt;=Assumption!$E$14,BE6&lt;=Assumption!$E$16),1,0)</f>
        <v>1</v>
      </c>
      <c r="BF11" s="239" t="n">
        <f aca="false">IF(AND(BF6&gt;=Assumption!$E$14,BF6&lt;=Assumption!$E$16),1,0)</f>
        <v>1</v>
      </c>
      <c r="BG11" s="239" t="n">
        <f aca="false">IF(AND(BG6&gt;=Assumption!$E$14,BG6&lt;=Assumption!$E$16),1,0)</f>
        <v>1</v>
      </c>
      <c r="BH11" s="239" t="n">
        <f aca="false">IF(AND(BH6&gt;=Assumption!$E$14,BH6&lt;=Assumption!$E$16),1,0)</f>
        <v>1</v>
      </c>
      <c r="BI11" s="239" t="n">
        <f aca="false">IF(AND(BI6&gt;=Assumption!$E$14,BI6&lt;=Assumption!$E$16),1,0)</f>
        <v>1</v>
      </c>
      <c r="BJ11" s="239" t="n">
        <f aca="false">IF(AND(BJ6&gt;=Assumption!$E$14,BJ6&lt;=Assumption!$E$16),1,0)</f>
        <v>1</v>
      </c>
      <c r="BK11" s="239" t="n">
        <f aca="false">IF(AND(BK6&gt;=Assumption!$E$14,BK6&lt;=Assumption!$E$16),1,0)</f>
        <v>1</v>
      </c>
      <c r="BL11" s="239" t="n">
        <f aca="false">IF(AND(BL6&gt;=Assumption!$E$14,BL6&lt;=Assumption!$E$16),1,0)</f>
        <v>1</v>
      </c>
      <c r="BM11" s="239" t="n">
        <f aca="false">IF(AND(BM6&gt;=Assumption!$E$14,BM6&lt;=Assumption!$E$16),1,0)</f>
        <v>0</v>
      </c>
      <c r="BN11" s="239" t="n">
        <f aca="false">IF(AND(BN6&gt;=Assumption!$E$14,BN6&lt;=Assumption!$E$16),1,0)</f>
        <v>0</v>
      </c>
      <c r="BO11" s="239" t="n">
        <f aca="false">IF(AND(BO6&gt;=Assumption!$E$14,BO6&lt;=Assumption!$E$16),1,0)</f>
        <v>0</v>
      </c>
      <c r="BP11" s="239" t="n">
        <f aca="false">IF(AND(BP6&gt;=Assumption!$E$14,BP6&lt;=Assumption!$E$16),1,0)</f>
        <v>0</v>
      </c>
      <c r="BQ11" s="239" t="n">
        <f aca="false">IF(AND(BQ6&gt;=Assumption!$E$14,BQ6&lt;=Assumption!$E$16),1,0)</f>
        <v>0</v>
      </c>
      <c r="BR11" s="239" t="n">
        <f aca="false">IF(AND(BR6&gt;=Assumption!$E$14,BR6&lt;=Assumption!$E$16),1,0)</f>
        <v>0</v>
      </c>
      <c r="BS11" s="239" t="n">
        <f aca="false">IF(AND(BS6&gt;=Assumption!$E$14,BS6&lt;=Assumption!$E$16),1,0)</f>
        <v>0</v>
      </c>
      <c r="BT11" s="239" t="n">
        <f aca="false">IF(AND(BT6&gt;=Assumption!$E$14,BT6&lt;=Assumption!$E$16),1,0)</f>
        <v>0</v>
      </c>
      <c r="BU11" s="239" t="n">
        <f aca="false">IF(AND(BU6&gt;=Assumption!$E$14,BU6&lt;=Assumption!$E$16),1,0)</f>
        <v>0</v>
      </c>
      <c r="BV11" s="239" t="n">
        <f aca="false">IF(AND(BV6&gt;=Assumption!$E$14,BV6&lt;=Assumption!$E$16),1,0)</f>
        <v>0</v>
      </c>
      <c r="BW11" s="239" t="n">
        <f aca="false">IF(AND(BW6&gt;=Assumption!$E$14,BW6&lt;=Assumption!$E$16),1,0)</f>
        <v>0</v>
      </c>
      <c r="BX11" s="239" t="n">
        <f aca="false">IF(AND(BX6&gt;=Assumption!$E$14,BX6&lt;=Assumption!$E$16),1,0)</f>
        <v>0</v>
      </c>
      <c r="BY11" s="239" t="n">
        <f aca="false">IF(AND(BY6&gt;=Assumption!$E$14,BY6&lt;=Assumption!$E$16),1,0)</f>
        <v>0</v>
      </c>
      <c r="BZ11" s="239" t="n">
        <f aca="false">IF(AND(BZ6&gt;=Assumption!$E$14,BZ6&lt;=Assumption!$E$16),1,0)</f>
        <v>0</v>
      </c>
      <c r="CA11" s="239" t="n">
        <f aca="false">IF(AND(CA6&gt;=Assumption!$E$14,CA6&lt;=Assumption!$E$16),1,0)</f>
        <v>0</v>
      </c>
      <c r="CB11" s="239" t="n">
        <f aca="false">IF(AND(CB6&gt;=Assumption!$E$14,CB6&lt;=Assumption!$E$16),1,0)</f>
        <v>0</v>
      </c>
      <c r="CC11" s="239" t="n">
        <f aca="false">IF(AND(CC6&gt;=Assumption!$E$14,CC6&lt;=Assumption!$E$16),1,0)</f>
        <v>0</v>
      </c>
      <c r="CD11" s="239" t="n">
        <f aca="false">IF(AND(CD6&gt;=Assumption!$E$14,CD6&lt;=Assumption!$E$16),1,0)</f>
        <v>0</v>
      </c>
      <c r="CE11" s="239" t="n">
        <f aca="false">IF(AND(CE6&gt;=Assumption!$E$14,CE6&lt;=Assumption!$E$16),1,0)</f>
        <v>0</v>
      </c>
      <c r="CF11" s="239" t="n">
        <f aca="false">IF(AND(CF6&gt;=Assumption!$E$14,CF6&lt;=Assumption!$E$16),1,0)</f>
        <v>0</v>
      </c>
      <c r="CG11" s="239" t="n">
        <f aca="false">IF(AND(CG6&gt;=Assumption!$E$14,CG6&lt;=Assumption!$E$16),1,0)</f>
        <v>0</v>
      </c>
      <c r="CH11" s="239" t="n">
        <f aca="false">IF(AND(CH6&gt;=Assumption!$E$14,CH6&lt;=Assumption!$E$16),1,0)</f>
        <v>0</v>
      </c>
      <c r="CI11" s="239" t="n">
        <f aca="false">IF(AND(CI6&gt;=Assumption!$E$14,CI6&lt;=Assumption!$E$16),1,0)</f>
        <v>0</v>
      </c>
      <c r="CJ11" s="239" t="n">
        <f aca="false">IF(AND(CJ6&gt;=Assumption!$E$14,CJ6&lt;=Assumption!$E$16),1,0)</f>
        <v>0</v>
      </c>
      <c r="CK11" s="239" t="n">
        <f aca="false">IF(AND(CK6&gt;=Assumption!$E$14,CK6&lt;=Assumption!$E$16),1,0)</f>
        <v>0</v>
      </c>
      <c r="CL11" s="239" t="n">
        <f aca="false">IF(AND(CL6&gt;=Assumption!$E$14,CL6&lt;=Assumption!$E$16),1,0)</f>
        <v>0</v>
      </c>
      <c r="CM11" s="239" t="n">
        <f aca="false">IF(AND(CM6&gt;=Assumption!$E$14,CM6&lt;=Assumption!$E$16),1,0)</f>
        <v>0</v>
      </c>
      <c r="CN11" s="239" t="n">
        <f aca="false">IF(AND(CN6&gt;=Assumption!$E$14,CN6&lt;=Assumption!$E$16),1,0)</f>
        <v>0</v>
      </c>
      <c r="CO11" s="239" t="n">
        <f aca="false">IF(AND(CO6&gt;=Assumption!$E$14,CO6&lt;=Assumption!$E$16),1,0)</f>
        <v>0</v>
      </c>
      <c r="CP11" s="239" t="n">
        <f aca="false">IF(AND(CP6&gt;=Assumption!$E$14,CP6&lt;=Assumption!$E$16),1,0)</f>
        <v>0</v>
      </c>
      <c r="CQ11" s="239" t="n">
        <f aca="false">IF(AND(CQ6&gt;=Assumption!$E$14,CQ6&lt;=Assumption!$E$16),1,0)</f>
        <v>0</v>
      </c>
      <c r="CR11" s="239" t="n">
        <f aca="false">IF(AND(CR6&gt;=Assumption!$E$14,CR6&lt;=Assumption!$E$16),1,0)</f>
        <v>0</v>
      </c>
      <c r="CS11" s="239" t="n">
        <f aca="false">IF(AND(CS6&gt;=Assumption!$E$14,CS6&lt;=Assumption!$E$16),1,0)</f>
        <v>0</v>
      </c>
      <c r="CT11" s="239" t="n">
        <f aca="false">IF(AND(CT6&gt;=Assumption!$E$14,CT6&lt;=Assumption!$E$16),1,0)</f>
        <v>0</v>
      </c>
      <c r="CU11" s="239" t="n">
        <f aca="false">IF(AND(CU6&gt;=Assumption!$E$14,CU6&lt;=Assumption!$E$16),1,0)</f>
        <v>0</v>
      </c>
      <c r="CV11" s="239" t="n">
        <f aca="false">IF(AND(CV6&gt;=Assumption!$E$14,CV6&lt;=Assumption!$E$16),1,0)</f>
        <v>0</v>
      </c>
      <c r="CW11" s="239" t="n">
        <f aca="false">IF(AND(CW6&gt;=Assumption!$E$14,CW6&lt;=Assumption!$E$16),1,0)</f>
        <v>0</v>
      </c>
      <c r="CX11" s="239" t="n">
        <f aca="false">IF(AND(CX6&gt;=Assumption!$E$14,CX6&lt;=Assumption!$E$16),1,0)</f>
        <v>0</v>
      </c>
      <c r="CY11" s="239" t="n">
        <f aca="false">IF(AND(CY6&gt;=Assumption!$E$14,CY6&lt;=Assumption!$E$16),1,0)</f>
        <v>0</v>
      </c>
      <c r="CZ11" s="239" t="n">
        <f aca="false">IF(AND(CZ6&gt;=Assumption!$E$14,CZ6&lt;=Assumption!$E$16),1,0)</f>
        <v>0</v>
      </c>
      <c r="DA11" s="239" t="n">
        <f aca="false">IF(AND(DA6&gt;=Assumption!$E$14,DA6&lt;=Assumption!$E$16),1,0)</f>
        <v>0</v>
      </c>
      <c r="DB11" s="239" t="n">
        <f aca="false">IF(AND(DB6&gt;=Assumption!$E$14,DB6&lt;=Assumption!$E$16),1,0)</f>
        <v>0</v>
      </c>
      <c r="DC11" s="239" t="n">
        <f aca="false">IF(AND(DC6&gt;=Assumption!$E$14,DC6&lt;=Assumption!$E$16),1,0)</f>
        <v>0</v>
      </c>
      <c r="DD11" s="239" t="n">
        <f aca="false">IF(AND(DD6&gt;=Assumption!$E$14,DD6&lt;=Assumption!$E$16),1,0)</f>
        <v>0</v>
      </c>
      <c r="DE11" s="239" t="n">
        <f aca="false">IF(AND(DE6&gt;=Assumption!$E$14,DE6&lt;=Assumption!$E$16),1,0)</f>
        <v>0</v>
      </c>
      <c r="DF11" s="239" t="n">
        <f aca="false">IF(AND(DF6&gt;=Assumption!$E$14,DF6&lt;=Assumption!$E$16),1,0)</f>
        <v>0</v>
      </c>
      <c r="DG11" s="239" t="n">
        <f aca="false">IF(AND(DG6&gt;=Assumption!$E$14,DG6&lt;=Assumption!$E$16),1,0)</f>
        <v>0</v>
      </c>
      <c r="DH11" s="239" t="n">
        <f aca="false">IF(AND(DH6&gt;=Assumption!$E$14,DH6&lt;=Assumption!$E$16),1,0)</f>
        <v>0</v>
      </c>
      <c r="DI11" s="239" t="n">
        <f aca="false">IF(AND(DI6&gt;=Assumption!$E$14,DI6&lt;=Assumption!$E$16),1,0)</f>
        <v>0</v>
      </c>
      <c r="DJ11" s="239" t="n">
        <f aca="false">IF(AND(DJ6&gt;=Assumption!$E$14,DJ6&lt;=Assumption!$E$16),1,0)</f>
        <v>0</v>
      </c>
      <c r="DK11" s="239" t="n">
        <f aca="false">IF(AND(DK6&gt;=Assumption!$E$14,DK6&lt;=Assumption!$E$16),1,0)</f>
        <v>0</v>
      </c>
      <c r="DL11" s="239" t="n">
        <f aca="false">IF(AND(DL6&gt;=Assumption!$E$14,DL6&lt;=Assumption!$E$16),1,0)</f>
        <v>0</v>
      </c>
      <c r="DM11" s="239" t="n">
        <f aca="false">IF(AND(DM6&gt;=Assumption!$E$14,DM6&lt;=Assumption!$E$16),1,0)</f>
        <v>0</v>
      </c>
      <c r="DN11" s="239" t="n">
        <f aca="false">IF(AND(DN6&gt;=Assumption!$E$14,DN6&lt;=Assumption!$E$16),1,0)</f>
        <v>0</v>
      </c>
      <c r="DO11" s="239" t="n">
        <f aca="false">IF(AND(DO6&gt;=Assumption!$E$14,DO6&lt;=Assumption!$E$16),1,0)</f>
        <v>0</v>
      </c>
      <c r="DP11" s="239" t="n">
        <f aca="false">IF(AND(DP6&gt;=Assumption!$E$14,DP6&lt;=Assumption!$E$16),1,0)</f>
        <v>0</v>
      </c>
      <c r="DQ11" s="239" t="n">
        <f aca="false">IF(AND(DQ6&gt;=Assumption!$E$14,DQ6&lt;=Assumption!$E$16),1,0)</f>
        <v>0</v>
      </c>
      <c r="DR11" s="239" t="n">
        <f aca="false">IF(AND(DR6&gt;=Assumption!$E$14,DR6&lt;=Assumption!$E$16),1,0)</f>
        <v>0</v>
      </c>
      <c r="DS11" s="239" t="n">
        <f aca="false">IF(AND(DS6&gt;=Assumption!$E$14,DS6&lt;=Assumption!$E$16),1,0)</f>
        <v>0</v>
      </c>
      <c r="DT11" s="239" t="n">
        <f aca="false">IF(AND(DT6&gt;=Assumption!$E$14,DT6&lt;=Assumption!$E$16),1,0)</f>
        <v>0</v>
      </c>
      <c r="DU11" s="239" t="n">
        <f aca="false">IF(AND(DU6&gt;=Assumption!$E$14,DU6&lt;=Assumption!$E$16),1,0)</f>
        <v>0</v>
      </c>
      <c r="DV11" s="239" t="n">
        <f aca="false">IF(AND(DV6&gt;=Assumption!$E$14,DV6&lt;=Assumption!$E$16),1,0)</f>
        <v>0</v>
      </c>
      <c r="DW11" s="239" t="n">
        <f aca="false">IF(AND(DW6&gt;=Assumption!$E$14,DW6&lt;=Assumption!$E$16),1,0)</f>
        <v>0</v>
      </c>
      <c r="DX11" s="239" t="n">
        <f aca="false">IF(AND(DX6&gt;=Assumption!$E$14,DX6&lt;=Assumption!$E$16),1,0)</f>
        <v>0</v>
      </c>
      <c r="DY11" s="239" t="n">
        <f aca="false">IF(AND(DY6&gt;=Assumption!$E$14,DY6&lt;=Assumption!$E$16),1,0)</f>
        <v>0</v>
      </c>
      <c r="DZ11" s="239" t="n">
        <f aca="false">IF(AND(DZ6&gt;=Assumption!$E$14,DZ6&lt;=Assumption!$E$16),1,0)</f>
        <v>0</v>
      </c>
      <c r="EA11" s="239" t="n">
        <f aca="false">IF(AND(EA6&gt;=Assumption!$E$14,EA6&lt;=Assumption!$E$16),1,0)</f>
        <v>0</v>
      </c>
      <c r="EB11" s="239" t="n">
        <f aca="false">IF(AND(EB6&gt;=Assumption!$E$14,EB6&lt;=Assumption!$E$16),1,0)</f>
        <v>0</v>
      </c>
      <c r="EC11" s="239" t="n">
        <f aca="false">IF(AND(EC6&gt;=Assumption!$E$14,EC6&lt;=Assumption!$E$16),1,0)</f>
        <v>0</v>
      </c>
      <c r="ED11" s="239" t="n">
        <f aca="false">IF(AND(ED6&gt;=Assumption!$E$14,ED6&lt;=Assumption!$E$16),1,0)</f>
        <v>0</v>
      </c>
      <c r="EE11" s="239" t="n">
        <f aca="false">IF(AND(EE6&gt;=Assumption!$E$14,EE6&lt;=Assumption!$E$16),1,0)</f>
        <v>0</v>
      </c>
      <c r="EF11" s="239" t="n">
        <f aca="false">IF(AND(EF6&gt;=Assumption!$E$14,EF6&lt;=Assumption!$E$16),1,0)</f>
        <v>0</v>
      </c>
    </row>
    <row r="12" customFormat="false" ht="15" hidden="false" customHeight="false" outlineLevel="0" collapsed="false">
      <c r="A12" s="35" t="s">
        <v>484</v>
      </c>
      <c r="B12" s="236"/>
      <c r="E12" s="238" t="n">
        <f aca="false">IF(E11=1,(YEAR(E6)-YEAR(Assumption!$E$14))*12+MONTH(E6)-MONTH(Assumption!$E$14)+1,0)</f>
        <v>0</v>
      </c>
      <c r="F12" s="238" t="n">
        <f aca="false">IF(F11=1,(YEAR(F6)-YEAR(Assumption!$E$14))*12+MONTH(F6)-MONTH(Assumption!$E$14)+1,0)</f>
        <v>0</v>
      </c>
      <c r="G12" s="238" t="n">
        <f aca="false">IF(G11=1,(YEAR(G6)-YEAR(Assumption!$E$14))*12+MONTH(G6)-MONTH(Assumption!$E$14)+1,0)</f>
        <v>0</v>
      </c>
      <c r="H12" s="238" t="n">
        <f aca="false">IF(H11=1,(YEAR(H6)-YEAR(Assumption!$E$14))*12+MONTH(H6)-MONTH(Assumption!$E$14)+1,0)</f>
        <v>0</v>
      </c>
      <c r="I12" s="238" t="n">
        <f aca="false">IF(I11=1,(YEAR(I6)-YEAR(Assumption!$E$14))*12+MONTH(I6)-MONTH(Assumption!$E$14)+1,0)</f>
        <v>0</v>
      </c>
      <c r="J12" s="238" t="n">
        <f aca="false">IF(J11=1,(YEAR(J6)-YEAR(Assumption!$E$14))*12+MONTH(J6)-MONTH(Assumption!$E$14)+1,0)</f>
        <v>0</v>
      </c>
      <c r="K12" s="238" t="n">
        <f aca="false">IF(K11=1,(YEAR(K6)-YEAR(Assumption!$E$14))*12+MONTH(K6)-MONTH(Assumption!$E$14)+1,0)</f>
        <v>0</v>
      </c>
      <c r="L12" s="238" t="n">
        <f aca="false">IF(L11=1,(YEAR(L6)-YEAR(Assumption!$E$14))*12+MONTH(L6)-MONTH(Assumption!$E$14)+1,0)</f>
        <v>0</v>
      </c>
      <c r="M12" s="238" t="n">
        <f aca="false">IF(M11=1,(YEAR(M6)-YEAR(Assumption!$E$14))*12+MONTH(M6)-MONTH(Assumption!$E$14)+1,0)</f>
        <v>0</v>
      </c>
      <c r="N12" s="238" t="n">
        <f aca="false">IF(N11=1,(YEAR(N6)-YEAR(Assumption!$E$14))*12+MONTH(N6)-MONTH(Assumption!$E$14)+1,0)</f>
        <v>0</v>
      </c>
      <c r="O12" s="238" t="n">
        <f aca="false">IF(O11=1,(YEAR(O6)-YEAR(Assumption!$E$14))*12+MONTH(O6)-MONTH(Assumption!$E$14)+1,0)</f>
        <v>0</v>
      </c>
      <c r="P12" s="238" t="n">
        <f aca="false">IF(P11=1,(YEAR(P6)-YEAR(Assumption!$E$14))*12+MONTH(P6)-MONTH(Assumption!$E$14)+1,0)</f>
        <v>0</v>
      </c>
      <c r="Q12" s="238" t="n">
        <f aca="false">IF(Q11=1,(YEAR(Q6)-YEAR(Assumption!$E$14))*12+MONTH(Q6)-MONTH(Assumption!$E$14)+1,0)</f>
        <v>0</v>
      </c>
      <c r="R12" s="238" t="n">
        <f aca="false">IF(R11=1,(YEAR(R6)-YEAR(Assumption!$E$14))*12+MONTH(R6)-MONTH(Assumption!$E$14)+1,0)</f>
        <v>0</v>
      </c>
      <c r="S12" s="238" t="n">
        <f aca="false">IF(S11=1,(YEAR(S6)-YEAR(Assumption!$E$14))*12+MONTH(S6)-MONTH(Assumption!$E$14)+1,0)</f>
        <v>0</v>
      </c>
      <c r="T12" s="238" t="n">
        <f aca="false">IF(T11=1,(YEAR(T6)-YEAR(Assumption!$E$14))*12+MONTH(T6)-MONTH(Assumption!$E$14)+1,0)</f>
        <v>0</v>
      </c>
      <c r="U12" s="238" t="n">
        <f aca="false">IF(U11=1,(YEAR(U6)-YEAR(Assumption!$E$14))*12+MONTH(U6)-MONTH(Assumption!$E$14)+1,0)</f>
        <v>0</v>
      </c>
      <c r="V12" s="238" t="n">
        <f aca="false">IF(V11=1,(YEAR(V6)-YEAR(Assumption!$E$14))*12+MONTH(V6)-MONTH(Assumption!$E$14)+1,0)</f>
        <v>0</v>
      </c>
      <c r="W12" s="238" t="n">
        <f aca="false">IF(W11=1,(YEAR(W6)-YEAR(Assumption!$E$14))*12+MONTH(W6)-MONTH(Assumption!$E$14)+1,0)</f>
        <v>1</v>
      </c>
      <c r="X12" s="238" t="n">
        <f aca="false">IF(X11=1,(YEAR(X6)-YEAR(Assumption!$E$14))*12+MONTH(X6)-MONTH(Assumption!$E$14)+1,0)</f>
        <v>2</v>
      </c>
      <c r="Y12" s="238" t="n">
        <f aca="false">IF(Y11=1,(YEAR(Y6)-YEAR(Assumption!$E$14))*12+MONTH(Y6)-MONTH(Assumption!$E$14)+1,0)</f>
        <v>3</v>
      </c>
      <c r="Z12" s="238" t="n">
        <f aca="false">IF(Z11=1,(YEAR(Z6)-YEAR(Assumption!$E$14))*12+MONTH(Z6)-MONTH(Assumption!$E$14)+1,0)</f>
        <v>4</v>
      </c>
      <c r="AA12" s="238" t="n">
        <f aca="false">IF(AA11=1,(YEAR(AA6)-YEAR(Assumption!$E$14))*12+MONTH(AA6)-MONTH(Assumption!$E$14)+1,0)</f>
        <v>5</v>
      </c>
      <c r="AB12" s="238" t="n">
        <f aca="false">IF(AB11=1,(YEAR(AB6)-YEAR(Assumption!$E$14))*12+MONTH(AB6)-MONTH(Assumption!$E$14)+1,0)</f>
        <v>6</v>
      </c>
      <c r="AC12" s="238" t="n">
        <f aca="false">IF(AC11=1,(YEAR(AC6)-YEAR(Assumption!$E$14))*12+MONTH(AC6)-MONTH(Assumption!$E$14)+1,0)</f>
        <v>7</v>
      </c>
      <c r="AD12" s="238" t="n">
        <f aca="false">IF(AD11=1,(YEAR(AD6)-YEAR(Assumption!$E$14))*12+MONTH(AD6)-MONTH(Assumption!$E$14)+1,0)</f>
        <v>8</v>
      </c>
      <c r="AE12" s="238" t="n">
        <f aca="false">IF(AE11=1,(YEAR(AE6)-YEAR(Assumption!$E$14))*12+MONTH(AE6)-MONTH(Assumption!$E$14)+1,0)</f>
        <v>9</v>
      </c>
      <c r="AF12" s="238" t="n">
        <f aca="false">IF(AF11=1,(YEAR(AF6)-YEAR(Assumption!$E$14))*12+MONTH(AF6)-MONTH(Assumption!$E$14)+1,0)</f>
        <v>10</v>
      </c>
      <c r="AG12" s="238" t="n">
        <f aca="false">IF(AG11=1,(YEAR(AG6)-YEAR(Assumption!$E$14))*12+MONTH(AG6)-MONTH(Assumption!$E$14)+1,0)</f>
        <v>11</v>
      </c>
      <c r="AH12" s="238" t="n">
        <f aca="false">IF(AH11=1,(YEAR(AH6)-YEAR(Assumption!$E$14))*12+MONTH(AH6)-MONTH(Assumption!$E$14)+1,0)</f>
        <v>12</v>
      </c>
      <c r="AI12" s="238" t="n">
        <f aca="false">IF(AI11=1,(YEAR(AI6)-YEAR(Assumption!$E$14))*12+MONTH(AI6)-MONTH(Assumption!$E$14)+1,0)</f>
        <v>13</v>
      </c>
      <c r="AJ12" s="238" t="n">
        <f aca="false">IF(AJ11=1,(YEAR(AJ6)-YEAR(Assumption!$E$14))*12+MONTH(AJ6)-MONTH(Assumption!$E$14)+1,0)</f>
        <v>14</v>
      </c>
      <c r="AK12" s="238" t="n">
        <f aca="false">IF(AK11=1,(YEAR(AK6)-YEAR(Assumption!$E$14))*12+MONTH(AK6)-MONTH(Assumption!$E$14)+1,0)</f>
        <v>15</v>
      </c>
      <c r="AL12" s="238" t="n">
        <f aca="false">IF(AL11=1,(YEAR(AL6)-YEAR(Assumption!$E$14))*12+MONTH(AL6)-MONTH(Assumption!$E$14)+1,0)</f>
        <v>16</v>
      </c>
      <c r="AM12" s="238" t="n">
        <f aca="false">IF(AM11=1,(YEAR(AM6)-YEAR(Assumption!$E$14))*12+MONTH(AM6)-MONTH(Assumption!$E$14)+1,0)</f>
        <v>17</v>
      </c>
      <c r="AN12" s="238" t="n">
        <f aca="false">IF(AN11=1,(YEAR(AN6)-YEAR(Assumption!$E$14))*12+MONTH(AN6)-MONTH(Assumption!$E$14)+1,0)</f>
        <v>18</v>
      </c>
      <c r="AO12" s="238" t="n">
        <f aca="false">IF(AO11=1,(YEAR(AO6)-YEAR(Assumption!$E$14))*12+MONTH(AO6)-MONTH(Assumption!$E$14)+1,0)</f>
        <v>19</v>
      </c>
      <c r="AP12" s="238" t="n">
        <f aca="false">IF(AP11=1,(YEAR(AP6)-YEAR(Assumption!$E$14))*12+MONTH(AP6)-MONTH(Assumption!$E$14)+1,0)</f>
        <v>20</v>
      </c>
      <c r="AQ12" s="238" t="n">
        <f aca="false">IF(AQ11=1,(YEAR(AQ6)-YEAR(Assumption!$E$14))*12+MONTH(AQ6)-MONTH(Assumption!$E$14)+1,0)</f>
        <v>21</v>
      </c>
      <c r="AR12" s="238" t="n">
        <f aca="false">IF(AR11=1,(YEAR(AR6)-YEAR(Assumption!$E$14))*12+MONTH(AR6)-MONTH(Assumption!$E$14)+1,0)</f>
        <v>22</v>
      </c>
      <c r="AS12" s="238" t="n">
        <f aca="false">IF(AS11=1,(YEAR(AS6)-YEAR(Assumption!$E$14))*12+MONTH(AS6)-MONTH(Assumption!$E$14)+1,0)</f>
        <v>23</v>
      </c>
      <c r="AT12" s="238" t="n">
        <f aca="false">IF(AT11=1,(YEAR(AT6)-YEAR(Assumption!$E$14))*12+MONTH(AT6)-MONTH(Assumption!$E$14)+1,0)</f>
        <v>24</v>
      </c>
      <c r="AU12" s="238" t="n">
        <f aca="false">IF(AU11=1,(YEAR(AU6)-YEAR(Assumption!$E$14))*12+MONTH(AU6)-MONTH(Assumption!$E$14)+1,0)</f>
        <v>25</v>
      </c>
      <c r="AV12" s="238" t="n">
        <f aca="false">IF(AV11=1,(YEAR(AV6)-YEAR(Assumption!$E$14))*12+MONTH(AV6)-MONTH(Assumption!$E$14)+1,0)</f>
        <v>26</v>
      </c>
      <c r="AW12" s="238" t="n">
        <f aca="false">IF(AW11=1,(YEAR(AW6)-YEAR(Assumption!$E$14))*12+MONTH(AW6)-MONTH(Assumption!$E$14)+1,0)</f>
        <v>27</v>
      </c>
      <c r="AX12" s="238" t="n">
        <f aca="false">IF(AX11=1,(YEAR(AX6)-YEAR(Assumption!$E$14))*12+MONTH(AX6)-MONTH(Assumption!$E$14)+1,0)</f>
        <v>28</v>
      </c>
      <c r="AY12" s="238" t="n">
        <f aca="false">IF(AY11=1,(YEAR(AY6)-YEAR(Assumption!$E$14))*12+MONTH(AY6)-MONTH(Assumption!$E$14)+1,0)</f>
        <v>29</v>
      </c>
      <c r="AZ12" s="238" t="n">
        <f aca="false">IF(AZ11=1,(YEAR(AZ6)-YEAR(Assumption!$E$14))*12+MONTH(AZ6)-MONTH(Assumption!$E$14)+1,0)</f>
        <v>30</v>
      </c>
      <c r="BA12" s="238" t="n">
        <f aca="false">IF(BA11=1,(YEAR(BA6)-YEAR(Assumption!$E$14))*12+MONTH(BA6)-MONTH(Assumption!$E$14)+1,0)</f>
        <v>31</v>
      </c>
      <c r="BB12" s="238" t="n">
        <f aca="false">IF(BB11=1,(YEAR(BB6)-YEAR(Assumption!$E$14))*12+MONTH(BB6)-MONTH(Assumption!$E$14)+1,0)</f>
        <v>32</v>
      </c>
      <c r="BC12" s="238" t="n">
        <f aca="false">IF(BC11=1,(YEAR(BC6)-YEAR(Assumption!$E$14))*12+MONTH(BC6)-MONTH(Assumption!$E$14)+1,0)</f>
        <v>33</v>
      </c>
      <c r="BD12" s="238" t="n">
        <f aca="false">IF(BD11=1,(YEAR(BD6)-YEAR(Assumption!$E$14))*12+MONTH(BD6)-MONTH(Assumption!$E$14)+1,0)</f>
        <v>34</v>
      </c>
      <c r="BE12" s="238" t="n">
        <f aca="false">IF(BE11=1,(YEAR(BE6)-YEAR(Assumption!$E$14))*12+MONTH(BE6)-MONTH(Assumption!$E$14)+1,0)</f>
        <v>35</v>
      </c>
      <c r="BF12" s="238" t="n">
        <f aca="false">IF(BF11=1,(YEAR(BF6)-YEAR(Assumption!$E$14))*12+MONTH(BF6)-MONTH(Assumption!$E$14)+1,0)</f>
        <v>36</v>
      </c>
      <c r="BG12" s="238" t="n">
        <f aca="false">IF(BG11=1,(YEAR(BG6)-YEAR(Assumption!$E$14))*12+MONTH(BG6)-MONTH(Assumption!$E$14)+1,0)</f>
        <v>37</v>
      </c>
      <c r="BH12" s="238" t="n">
        <f aca="false">IF(BH11=1,(YEAR(BH6)-YEAR(Assumption!$E$14))*12+MONTH(BH6)-MONTH(Assumption!$E$14)+1,0)</f>
        <v>38</v>
      </c>
      <c r="BI12" s="238" t="n">
        <f aca="false">IF(BI11=1,(YEAR(BI6)-YEAR(Assumption!$E$14))*12+MONTH(BI6)-MONTH(Assumption!$E$14)+1,0)</f>
        <v>39</v>
      </c>
      <c r="BJ12" s="238" t="n">
        <f aca="false">IF(BJ11=1,(YEAR(BJ6)-YEAR(Assumption!$E$14))*12+MONTH(BJ6)-MONTH(Assumption!$E$14)+1,0)</f>
        <v>40</v>
      </c>
      <c r="BK12" s="238" t="n">
        <f aca="false">IF(BK11=1,(YEAR(BK6)-YEAR(Assumption!$E$14))*12+MONTH(BK6)-MONTH(Assumption!$E$14)+1,0)</f>
        <v>41</v>
      </c>
      <c r="BL12" s="238" t="n">
        <f aca="false">IF(BL11=1,(YEAR(BL6)-YEAR(Assumption!$E$14))*12+MONTH(BL6)-MONTH(Assumption!$E$14)+1,0)</f>
        <v>42</v>
      </c>
      <c r="BM12" s="238" t="n">
        <f aca="false">IF(BM11=1,(YEAR(BM6)-YEAR(Assumption!$E$14))*12+MONTH(BM6)-MONTH(Assumption!$E$14)+1,0)</f>
        <v>0</v>
      </c>
      <c r="BN12" s="238" t="n">
        <f aca="false">IF(BN11=1,(YEAR(BN6)-YEAR(Assumption!$E$14))*12+MONTH(BN6)-MONTH(Assumption!$E$14)+1,0)</f>
        <v>0</v>
      </c>
      <c r="BO12" s="238" t="n">
        <f aca="false">IF(BO11=1,(YEAR(BO6)-YEAR(Assumption!$E$14))*12+MONTH(BO6)-MONTH(Assumption!$E$14)+1,0)</f>
        <v>0</v>
      </c>
      <c r="BP12" s="238" t="n">
        <f aca="false">IF(BP11=1,(YEAR(BP6)-YEAR(Assumption!$E$14))*12+MONTH(BP6)-MONTH(Assumption!$E$14)+1,0)</f>
        <v>0</v>
      </c>
      <c r="BQ12" s="238" t="n">
        <f aca="false">IF(BQ11=1,(YEAR(BQ6)-YEAR(Assumption!$E$14))*12+MONTH(BQ6)-MONTH(Assumption!$E$14)+1,0)</f>
        <v>0</v>
      </c>
      <c r="BR12" s="238" t="n">
        <f aca="false">IF(BR11=1,(YEAR(BR6)-YEAR(Assumption!$E$14))*12+MONTH(BR6)-MONTH(Assumption!$E$14)+1,0)</f>
        <v>0</v>
      </c>
      <c r="BS12" s="238" t="n">
        <f aca="false">IF(BS11=1,(YEAR(BS6)-YEAR(Assumption!$E$14))*12+MONTH(BS6)-MONTH(Assumption!$E$14)+1,0)</f>
        <v>0</v>
      </c>
      <c r="BT12" s="238" t="n">
        <f aca="false">IF(BT11=1,(YEAR(BT6)-YEAR(Assumption!$E$14))*12+MONTH(BT6)-MONTH(Assumption!$E$14)+1,0)</f>
        <v>0</v>
      </c>
      <c r="BU12" s="238" t="n">
        <f aca="false">IF(BU11=1,(YEAR(BU6)-YEAR(Assumption!$E$14))*12+MONTH(BU6)-MONTH(Assumption!$E$14)+1,0)</f>
        <v>0</v>
      </c>
      <c r="BV12" s="238" t="n">
        <f aca="false">IF(BV11=1,(YEAR(BV6)-YEAR(Assumption!$E$14))*12+MONTH(BV6)-MONTH(Assumption!$E$14)+1,0)</f>
        <v>0</v>
      </c>
      <c r="BW12" s="238" t="n">
        <f aca="false">IF(BW11=1,(YEAR(BW6)-YEAR(Assumption!$E$14))*12+MONTH(BW6)-MONTH(Assumption!$E$14)+1,0)</f>
        <v>0</v>
      </c>
      <c r="BX12" s="238" t="n">
        <f aca="false">IF(BX11=1,(YEAR(BX6)-YEAR(Assumption!$E$14))*12+MONTH(BX6)-MONTH(Assumption!$E$14)+1,0)</f>
        <v>0</v>
      </c>
      <c r="BY12" s="238" t="n">
        <f aca="false">IF(BY11=1,(YEAR(BY6)-YEAR(Assumption!$E$14))*12+MONTH(BY6)-MONTH(Assumption!$E$14)+1,0)</f>
        <v>0</v>
      </c>
      <c r="BZ12" s="238" t="n">
        <f aca="false">IF(BZ11=1,(YEAR(BZ6)-YEAR(Assumption!$E$14))*12+MONTH(BZ6)-MONTH(Assumption!$E$14)+1,0)</f>
        <v>0</v>
      </c>
      <c r="CA12" s="238" t="n">
        <f aca="false">IF(CA11=1,(YEAR(CA6)-YEAR(Assumption!$E$14))*12+MONTH(CA6)-MONTH(Assumption!$E$14)+1,0)</f>
        <v>0</v>
      </c>
      <c r="CB12" s="238" t="n">
        <f aca="false">IF(CB11=1,(YEAR(CB6)-YEAR(Assumption!$E$14))*12+MONTH(CB6)-MONTH(Assumption!$E$14)+1,0)</f>
        <v>0</v>
      </c>
      <c r="CC12" s="238" t="n">
        <f aca="false">IF(CC11=1,(YEAR(CC6)-YEAR(Assumption!$E$14))*12+MONTH(CC6)-MONTH(Assumption!$E$14)+1,0)</f>
        <v>0</v>
      </c>
      <c r="CD12" s="238" t="n">
        <f aca="false">IF(CD11=1,(YEAR(CD6)-YEAR(Assumption!$E$14))*12+MONTH(CD6)-MONTH(Assumption!$E$14)+1,0)</f>
        <v>0</v>
      </c>
      <c r="CE12" s="238" t="n">
        <f aca="false">IF(CE11=1,(YEAR(CE6)-YEAR(Assumption!$E$14))*12+MONTH(CE6)-MONTH(Assumption!$E$14)+1,0)</f>
        <v>0</v>
      </c>
      <c r="CF12" s="238" t="n">
        <f aca="false">IF(CF11=1,(YEAR(CF6)-YEAR(Assumption!$E$14))*12+MONTH(CF6)-MONTH(Assumption!$E$14)+1,0)</f>
        <v>0</v>
      </c>
      <c r="CG12" s="238" t="n">
        <f aca="false">IF(CG11=1,(YEAR(CG6)-YEAR(Assumption!$E$14))*12+MONTH(CG6)-MONTH(Assumption!$E$14)+1,0)</f>
        <v>0</v>
      </c>
      <c r="CH12" s="238" t="n">
        <f aca="false">IF(CH11=1,(YEAR(CH6)-YEAR(Assumption!$E$14))*12+MONTH(CH6)-MONTH(Assumption!$E$14)+1,0)</f>
        <v>0</v>
      </c>
      <c r="CI12" s="238" t="n">
        <f aca="false">IF(CI11=1,(YEAR(CI6)-YEAR(Assumption!$E$14))*12+MONTH(CI6)-MONTH(Assumption!$E$14)+1,0)</f>
        <v>0</v>
      </c>
      <c r="CJ12" s="238" t="n">
        <f aca="false">IF(CJ11=1,(YEAR(CJ6)-YEAR(Assumption!$E$14))*12+MONTH(CJ6)-MONTH(Assumption!$E$14)+1,0)</f>
        <v>0</v>
      </c>
      <c r="CK12" s="238" t="n">
        <f aca="false">IF(CK11=1,(YEAR(CK6)-YEAR(Assumption!$E$14))*12+MONTH(CK6)-MONTH(Assumption!$E$14)+1,0)</f>
        <v>0</v>
      </c>
      <c r="CL12" s="238" t="n">
        <f aca="false">IF(CL11=1,(YEAR(CL6)-YEAR(Assumption!$E$14))*12+MONTH(CL6)-MONTH(Assumption!$E$14)+1,0)</f>
        <v>0</v>
      </c>
      <c r="CM12" s="238" t="n">
        <f aca="false">IF(CM11=1,(YEAR(CM6)-YEAR(Assumption!$E$14))*12+MONTH(CM6)-MONTH(Assumption!$E$14)+1,0)</f>
        <v>0</v>
      </c>
      <c r="CN12" s="238" t="n">
        <f aca="false">IF(CN11=1,(YEAR(CN6)-YEAR(Assumption!$E$14))*12+MONTH(CN6)-MONTH(Assumption!$E$14)+1,0)</f>
        <v>0</v>
      </c>
      <c r="CO12" s="238" t="n">
        <f aca="false">IF(CO11=1,(YEAR(CO6)-YEAR(Assumption!$E$14))*12+MONTH(CO6)-MONTH(Assumption!$E$14)+1,0)</f>
        <v>0</v>
      </c>
      <c r="CP12" s="238" t="n">
        <f aca="false">IF(CP11=1,(YEAR(CP6)-YEAR(Assumption!$E$14))*12+MONTH(CP6)-MONTH(Assumption!$E$14)+1,0)</f>
        <v>0</v>
      </c>
      <c r="CQ12" s="238" t="n">
        <f aca="false">IF(CQ11=1,(YEAR(CQ6)-YEAR(Assumption!$E$14))*12+MONTH(CQ6)-MONTH(Assumption!$E$14)+1,0)</f>
        <v>0</v>
      </c>
      <c r="CR12" s="238" t="n">
        <f aca="false">IF(CR11=1,(YEAR(CR6)-YEAR(Assumption!$E$14))*12+MONTH(CR6)-MONTH(Assumption!$E$14)+1,0)</f>
        <v>0</v>
      </c>
      <c r="CS12" s="238" t="n">
        <f aca="false">IF(CS11=1,(YEAR(CS6)-YEAR(Assumption!$E$14))*12+MONTH(CS6)-MONTH(Assumption!$E$14)+1,0)</f>
        <v>0</v>
      </c>
      <c r="CT12" s="238" t="n">
        <f aca="false">IF(CT11=1,(YEAR(CT6)-YEAR(Assumption!$E$14))*12+MONTH(CT6)-MONTH(Assumption!$E$14)+1,0)</f>
        <v>0</v>
      </c>
      <c r="CU12" s="238" t="n">
        <f aca="false">IF(CU11=1,(YEAR(CU6)-YEAR(Assumption!$E$14))*12+MONTH(CU6)-MONTH(Assumption!$E$14)+1,0)</f>
        <v>0</v>
      </c>
      <c r="CV12" s="238" t="n">
        <f aca="false">IF(CV11=1,(YEAR(CV6)-YEAR(Assumption!$E$14))*12+MONTH(CV6)-MONTH(Assumption!$E$14)+1,0)</f>
        <v>0</v>
      </c>
      <c r="CW12" s="238" t="n">
        <f aca="false">IF(CW11=1,(YEAR(CW6)-YEAR(Assumption!$E$14))*12+MONTH(CW6)-MONTH(Assumption!$E$14)+1,0)</f>
        <v>0</v>
      </c>
      <c r="CX12" s="238" t="n">
        <f aca="false">IF(CX11=1,(YEAR(CX6)-YEAR(Assumption!$E$14))*12+MONTH(CX6)-MONTH(Assumption!$E$14)+1,0)</f>
        <v>0</v>
      </c>
      <c r="CY12" s="238" t="n">
        <f aca="false">IF(CY11=1,(YEAR(CY6)-YEAR(Assumption!$E$14))*12+MONTH(CY6)-MONTH(Assumption!$E$14)+1,0)</f>
        <v>0</v>
      </c>
      <c r="CZ12" s="238" t="n">
        <f aca="false">IF(CZ11=1,(YEAR(CZ6)-YEAR(Assumption!$E$14))*12+MONTH(CZ6)-MONTH(Assumption!$E$14)+1,0)</f>
        <v>0</v>
      </c>
      <c r="DA12" s="238" t="n">
        <f aca="false">IF(DA11=1,(YEAR(DA6)-YEAR(Assumption!$E$14))*12+MONTH(DA6)-MONTH(Assumption!$E$14)+1,0)</f>
        <v>0</v>
      </c>
      <c r="DB12" s="238" t="n">
        <f aca="false">IF(DB11=1,(YEAR(DB6)-YEAR(Assumption!$E$14))*12+MONTH(DB6)-MONTH(Assumption!$E$14)+1,0)</f>
        <v>0</v>
      </c>
      <c r="DC12" s="238" t="n">
        <f aca="false">IF(DC11=1,(YEAR(DC6)-YEAR(Assumption!$E$14))*12+MONTH(DC6)-MONTH(Assumption!$E$14)+1,0)</f>
        <v>0</v>
      </c>
      <c r="DD12" s="238" t="n">
        <f aca="false">IF(DD11=1,(YEAR(DD6)-YEAR(Assumption!$E$14))*12+MONTH(DD6)-MONTH(Assumption!$E$14)+1,0)</f>
        <v>0</v>
      </c>
      <c r="DE12" s="238" t="n">
        <f aca="false">IF(DE11=1,(YEAR(DE6)-YEAR(Assumption!$E$14))*12+MONTH(DE6)-MONTH(Assumption!$E$14)+1,0)</f>
        <v>0</v>
      </c>
      <c r="DF12" s="238" t="n">
        <f aca="false">IF(DF11=1,(YEAR(DF6)-YEAR(Assumption!$E$14))*12+MONTH(DF6)-MONTH(Assumption!$E$14)+1,0)</f>
        <v>0</v>
      </c>
      <c r="DG12" s="238" t="n">
        <f aca="false">IF(DG11=1,(YEAR(DG6)-YEAR(Assumption!$E$14))*12+MONTH(DG6)-MONTH(Assumption!$E$14)+1,0)</f>
        <v>0</v>
      </c>
      <c r="DH12" s="238" t="n">
        <f aca="false">IF(DH11=1,(YEAR(DH6)-YEAR(Assumption!$E$14))*12+MONTH(DH6)-MONTH(Assumption!$E$14)+1,0)</f>
        <v>0</v>
      </c>
      <c r="DI12" s="238" t="n">
        <f aca="false">IF(DI11=1,(YEAR(DI6)-YEAR(Assumption!$E$14))*12+MONTH(DI6)-MONTH(Assumption!$E$14)+1,0)</f>
        <v>0</v>
      </c>
      <c r="DJ12" s="238" t="n">
        <f aca="false">IF(DJ11=1,(YEAR(DJ6)-YEAR(Assumption!$E$14))*12+MONTH(DJ6)-MONTH(Assumption!$E$14)+1,0)</f>
        <v>0</v>
      </c>
      <c r="DK12" s="238" t="n">
        <f aca="false">IF(DK11=1,(YEAR(DK6)-YEAR(Assumption!$E$14))*12+MONTH(DK6)-MONTH(Assumption!$E$14)+1,0)</f>
        <v>0</v>
      </c>
      <c r="DL12" s="238" t="n">
        <f aca="false">IF(DL11=1,(YEAR(DL6)-YEAR(Assumption!$E$14))*12+MONTH(DL6)-MONTH(Assumption!$E$14)+1,0)</f>
        <v>0</v>
      </c>
      <c r="DM12" s="238" t="n">
        <f aca="false">IF(DM11=1,(YEAR(DM6)-YEAR(Assumption!$E$14))*12+MONTH(DM6)-MONTH(Assumption!$E$14)+1,0)</f>
        <v>0</v>
      </c>
      <c r="DN12" s="238" t="n">
        <f aca="false">IF(DN11=1,(YEAR(DN6)-YEAR(Assumption!$E$14))*12+MONTH(DN6)-MONTH(Assumption!$E$14)+1,0)</f>
        <v>0</v>
      </c>
      <c r="DO12" s="238" t="n">
        <f aca="false">IF(DO11=1,(YEAR(DO6)-YEAR(Assumption!$E$14))*12+MONTH(DO6)-MONTH(Assumption!$E$14)+1,0)</f>
        <v>0</v>
      </c>
      <c r="DP12" s="238" t="n">
        <f aca="false">IF(DP11=1,(YEAR(DP6)-YEAR(Assumption!$E$14))*12+MONTH(DP6)-MONTH(Assumption!$E$14)+1,0)</f>
        <v>0</v>
      </c>
      <c r="DQ12" s="238" t="n">
        <f aca="false">IF(DQ11=1,(YEAR(DQ6)-YEAR(Assumption!$E$14))*12+MONTH(DQ6)-MONTH(Assumption!$E$14)+1,0)</f>
        <v>0</v>
      </c>
      <c r="DR12" s="238" t="n">
        <f aca="false">IF(DR11=1,(YEAR(DR6)-YEAR(Assumption!$E$14))*12+MONTH(DR6)-MONTH(Assumption!$E$14)+1,0)</f>
        <v>0</v>
      </c>
      <c r="DS12" s="238" t="n">
        <f aca="false">IF(DS11=1,(YEAR(DS6)-YEAR(Assumption!$E$14))*12+MONTH(DS6)-MONTH(Assumption!$E$14)+1,0)</f>
        <v>0</v>
      </c>
      <c r="DT12" s="238" t="n">
        <f aca="false">IF(DT11=1,(YEAR(DT6)-YEAR(Assumption!$E$14))*12+MONTH(DT6)-MONTH(Assumption!$E$14)+1,0)</f>
        <v>0</v>
      </c>
      <c r="DU12" s="238" t="n">
        <f aca="false">IF(DU11=1,(YEAR(DU6)-YEAR(Assumption!$E$14))*12+MONTH(DU6)-MONTH(Assumption!$E$14)+1,0)</f>
        <v>0</v>
      </c>
      <c r="DV12" s="238" t="n">
        <f aca="false">IF(DV11=1,(YEAR(DV6)-YEAR(Assumption!$E$14))*12+MONTH(DV6)-MONTH(Assumption!$E$14)+1,0)</f>
        <v>0</v>
      </c>
      <c r="DW12" s="238" t="n">
        <f aca="false">IF(DW11=1,(YEAR(DW6)-YEAR(Assumption!$E$14))*12+MONTH(DW6)-MONTH(Assumption!$E$14)+1,0)</f>
        <v>0</v>
      </c>
      <c r="DX12" s="238" t="n">
        <f aca="false">IF(DX11=1,(YEAR(DX6)-YEAR(Assumption!$E$14))*12+MONTH(DX6)-MONTH(Assumption!$E$14)+1,0)</f>
        <v>0</v>
      </c>
      <c r="DY12" s="238" t="n">
        <f aca="false">IF(DY11=1,(YEAR(DY6)-YEAR(Assumption!$E$14))*12+MONTH(DY6)-MONTH(Assumption!$E$14)+1,0)</f>
        <v>0</v>
      </c>
      <c r="DZ12" s="238" t="n">
        <f aca="false">IF(DZ11=1,(YEAR(DZ6)-YEAR(Assumption!$E$14))*12+MONTH(DZ6)-MONTH(Assumption!$E$14)+1,0)</f>
        <v>0</v>
      </c>
      <c r="EA12" s="238" t="n">
        <f aca="false">IF(EA11=1,(YEAR(EA6)-YEAR(Assumption!$E$14))*12+MONTH(EA6)-MONTH(Assumption!$E$14)+1,0)</f>
        <v>0</v>
      </c>
      <c r="EB12" s="238" t="n">
        <f aca="false">IF(EB11=1,(YEAR(EB6)-YEAR(Assumption!$E$14))*12+MONTH(EB6)-MONTH(Assumption!$E$14)+1,0)</f>
        <v>0</v>
      </c>
      <c r="EC12" s="238" t="n">
        <f aca="false">IF(EC11=1,(YEAR(EC6)-YEAR(Assumption!$E$14))*12+MONTH(EC6)-MONTH(Assumption!$E$14)+1,0)</f>
        <v>0</v>
      </c>
      <c r="ED12" s="238" t="n">
        <f aca="false">IF(ED11=1,(YEAR(ED6)-YEAR(Assumption!$E$14))*12+MONTH(ED6)-MONTH(Assumption!$E$14)+1,0)</f>
        <v>0</v>
      </c>
      <c r="EE12" s="238" t="n">
        <f aca="false">IF(EE11=1,(YEAR(EE6)-YEAR(Assumption!$E$14))*12+MONTH(EE6)-MONTH(Assumption!$E$14)+1,0)</f>
        <v>0</v>
      </c>
      <c r="EF12" s="238" t="n">
        <f aca="false">IF(EF11=1,(YEAR(EF6)-YEAR(Assumption!$E$14))*12+MONTH(EF6)-MONTH(Assumption!$E$14)+1,0)</f>
        <v>0</v>
      </c>
    </row>
    <row r="13" customFormat="false" ht="15" hidden="false" customHeight="false" outlineLevel="0" collapsed="false">
      <c r="A13" s="112" t="s">
        <v>485</v>
      </c>
      <c r="B13" s="236" t="s">
        <v>124</v>
      </c>
      <c r="C13" s="240" t="n">
        <f aca="false">SUM(E13:EF13)</f>
        <v>1</v>
      </c>
      <c r="E13" s="150" t="n">
        <f aca="false">IF(E12&gt;0,(COS(PI()*(E12-1)/Assumption!$E$15)-COS(PI()*E12/Assumption!$E$15))/2,0)</f>
        <v>0</v>
      </c>
      <c r="F13" s="150" t="n">
        <f aca="false">IF(F12&gt;0,(COS(PI()*(F12-1)/Assumption!$E$15)-COS(PI()*F12/Assumption!$E$15))/2,0)</f>
        <v>0</v>
      </c>
      <c r="G13" s="150" t="n">
        <f aca="false">IF(G12&gt;0,(COS(PI()*(G12-1)/Assumption!$E$15)-COS(PI()*G12/Assumption!$E$15))/2,0)</f>
        <v>0</v>
      </c>
      <c r="H13" s="150" t="n">
        <f aca="false">IF(H12&gt;0,(COS(PI()*(H12-1)/Assumption!$E$15)-COS(PI()*H12/Assumption!$E$15))/2,0)</f>
        <v>0</v>
      </c>
      <c r="I13" s="150" t="n">
        <f aca="false">IF(I12&gt;0,(COS(PI()*(I12-1)/Assumption!$E$15)-COS(PI()*I12/Assumption!$E$15))/2,0)</f>
        <v>0</v>
      </c>
      <c r="J13" s="150" t="n">
        <f aca="false">IF(J12&gt;0,(COS(PI()*(J12-1)/Assumption!$E$15)-COS(PI()*J12/Assumption!$E$15))/2,0)</f>
        <v>0</v>
      </c>
      <c r="K13" s="150" t="n">
        <f aca="false">IF(K12&gt;0,(COS(PI()*(K12-1)/Assumption!$E$15)-COS(PI()*K12/Assumption!$E$15))/2,0)</f>
        <v>0</v>
      </c>
      <c r="L13" s="150" t="n">
        <f aca="false">IF(L12&gt;0,(COS(PI()*(L12-1)/Assumption!$E$15)-COS(PI()*L12/Assumption!$E$15))/2,0)</f>
        <v>0</v>
      </c>
      <c r="M13" s="150" t="n">
        <f aca="false">IF(M12&gt;0,(COS(PI()*(M12-1)/Assumption!$E$15)-COS(PI()*M12/Assumption!$E$15))/2,0)</f>
        <v>0</v>
      </c>
      <c r="N13" s="150" t="n">
        <f aca="false">IF(N12&gt;0,(COS(PI()*(N12-1)/Assumption!$E$15)-COS(PI()*N12/Assumption!$E$15))/2,0)</f>
        <v>0</v>
      </c>
      <c r="O13" s="150" t="n">
        <f aca="false">IF(O12&gt;0,(COS(PI()*(O12-1)/Assumption!$E$15)-COS(PI()*O12/Assumption!$E$15))/2,0)</f>
        <v>0</v>
      </c>
      <c r="P13" s="150" t="n">
        <f aca="false">IF(P12&gt;0,(COS(PI()*(P12-1)/Assumption!$E$15)-COS(PI()*P12/Assumption!$E$15))/2,0)</f>
        <v>0</v>
      </c>
      <c r="Q13" s="150" t="n">
        <f aca="false">IF(Q12&gt;0,(COS(PI()*(Q12-1)/Assumption!$E$15)-COS(PI()*Q12/Assumption!$E$15))/2,0)</f>
        <v>0</v>
      </c>
      <c r="R13" s="150" t="n">
        <f aca="false">IF(R12&gt;0,(COS(PI()*(R12-1)/Assumption!$E$15)-COS(PI()*R12/Assumption!$E$15))/2,0)</f>
        <v>0</v>
      </c>
      <c r="S13" s="150" t="n">
        <f aca="false">IF(S12&gt;0,(COS(PI()*(S12-1)/Assumption!$E$15)-COS(PI()*S12/Assumption!$E$15))/2,0)</f>
        <v>0</v>
      </c>
      <c r="T13" s="150" t="n">
        <f aca="false">IF(T12&gt;0,(COS(PI()*(T12-1)/Assumption!$E$15)-COS(PI()*T12/Assumption!$E$15))/2,0)</f>
        <v>0</v>
      </c>
      <c r="U13" s="150" t="n">
        <f aca="false">IF(U12&gt;0,(COS(PI()*(U12-1)/Assumption!$E$15)-COS(PI()*U12/Assumption!$E$15))/2,0)</f>
        <v>0</v>
      </c>
      <c r="V13" s="150" t="n">
        <f aca="false">IF(V12&gt;0,(COS(PI()*(V12-1)/Assumption!$E$15)-COS(PI()*V12/Assumption!$E$15))/2,0)</f>
        <v>0</v>
      </c>
      <c r="W13" s="150" t="n">
        <f aca="false">IF(W12&gt;0,(COS(PI()*(W12-1)/Assumption!$E$15)-COS(PI()*W12/Assumption!$E$15))/2,0)</f>
        <v>0.00139810140940994</v>
      </c>
      <c r="X13" s="150" t="n">
        <f aca="false">IF(X12&gt;0,(COS(PI()*(X12-1)/Assumption!$E$15)-COS(PI()*X12/Assumption!$E$15))/2,0)</f>
        <v>0.0041864854780258</v>
      </c>
      <c r="Y13" s="150" t="n">
        <f aca="false">IF(Y12&gt;0,(COS(PI()*(Y12-1)/Assumption!$E$15)-COS(PI()*Y12/Assumption!$E$15))/2,0)</f>
        <v>0.00695145702165245</v>
      </c>
      <c r="Z13" s="150" t="n">
        <f aca="false">IF(Z12&gt;0,(COS(PI()*(Z12-1)/Assumption!$E$15)-COS(PI()*Z12/Assumption!$E$15))/2,0)</f>
        <v>0.00967755319784147</v>
      </c>
      <c r="AA13" s="150" t="n">
        <f aca="false">IF(AA12&gt;0,(COS(PI()*(AA12-1)/Assumption!$E$15)-COS(PI()*AA12/Assumption!$E$15))/2,0)</f>
        <v>0.0123495285709682</v>
      </c>
      <c r="AB13" s="150" t="n">
        <f aca="false">IF(AB12&gt;0,(COS(PI()*(AB12-1)/Assumption!$E$15)-COS(PI()*AB12/Assumption!$E$15))/2,0)</f>
        <v>0.0149524403708926</v>
      </c>
      <c r="AC13" s="150" t="n">
        <f aca="false">IF(AC12&gt;0,(COS(PI()*(AC12-1)/Assumption!$E$15)-COS(PI()*AC12/Assumption!$E$15))/2,0)</f>
        <v>0.0174717320589902</v>
      </c>
      <c r="AD13" s="150" t="n">
        <f aca="false">IF(AD12&gt;0,(COS(PI()*(AD12-1)/Assumption!$E$15)-COS(PI()*AD12/Assumption!$E$15))/2,0)</f>
        <v>0.0198933147342219</v>
      </c>
      <c r="AE13" s="150" t="n">
        <f aca="false">IF(AE12&gt;0,(COS(PI()*(AE12-1)/Assumption!$E$15)-COS(PI()*AE12/Assumption!$E$15))/2,0)</f>
        <v>0.0222036459239826</v>
      </c>
      <c r="AF13" s="150" t="n">
        <f aca="false">IF(AF12&gt;0,(COS(PI()*(AF12-1)/Assumption!$E$15)-COS(PI()*AF12/Assumption!$E$15))/2,0)</f>
        <v>0.0243898053191017</v>
      </c>
      <c r="AG13" s="150" t="n">
        <f aca="false">IF(AG12&gt;0,(COS(PI()*(AG12-1)/Assumption!$E$15)-COS(PI()*AG12/Assumption!$E$15))/2,0)</f>
        <v>0.0264395670294534</v>
      </c>
      <c r="AH13" s="150" t="n">
        <f aca="false">IF(AH12&gt;0,(COS(PI()*(AH12-1)/Assumption!$E$15)-COS(PI()*AH12/Assumption!$E$15))/2,0)</f>
        <v>0.0283414679560929</v>
      </c>
      <c r="AI13" s="150" t="n">
        <f aca="false">IF(AI12&gt;0,(COS(PI()*(AI12-1)/Assumption!$E$15)-COS(PI()*AI12/Assumption!$E$15))/2,0)</f>
        <v>0.0300848718975558</v>
      </c>
      <c r="AJ13" s="150" t="n">
        <f aca="false">IF(AJ12&gt;0,(COS(PI()*(AJ12-1)/Assumption!$E$15)-COS(PI()*AJ12/Assumption!$E$15))/2,0)</f>
        <v>0.0316600290318109</v>
      </c>
      <c r="AK13" s="150" t="n">
        <f aca="false">IF(AK12&gt;0,(COS(PI()*(AK12-1)/Assumption!$E$15)-COS(PI()*AK12/Assumption!$E$15))/2,0)</f>
        <v>0.033058130441221</v>
      </c>
      <c r="AL13" s="150" t="n">
        <f aca="false">IF(AL12&gt;0,(COS(PI()*(AL12-1)/Assumption!$E$15)-COS(PI()*AL12/Assumption!$E$15))/2,0)</f>
        <v>0.0342713573755816</v>
      </c>
      <c r="AM13" s="150" t="n">
        <f aca="false">IF(AM12&gt;0,(COS(PI()*(AM12-1)/Assumption!$E$15)-COS(PI()*AM12/Assumption!$E$15))/2,0)</f>
        <v>0.0352929249777454</v>
      </c>
      <c r="AN13" s="150" t="n">
        <f aca="false">IF(AN12&gt;0,(COS(PI()*(AN12-1)/Assumption!$E$15)-COS(PI()*AN12/Assumption!$E$15))/2,0)</f>
        <v>0.0361171202272948</v>
      </c>
      <c r="AO13" s="150" t="n">
        <f aca="false">IF(AO12&gt;0,(COS(PI()*(AO12-1)/Assumption!$E$15)-COS(PI()*AO12/Assumption!$E$15))/2,0)</f>
        <v>0.0367393338900699</v>
      </c>
      <c r="AP13" s="150" t="n">
        <f aca="false">IF(AP12&gt;0,(COS(PI()*(AP12-1)/Assumption!$E$15)-COS(PI()*AP12/Assumption!$E$15))/2,0)</f>
        <v>0.0371560862948751</v>
      </c>
      <c r="AQ13" s="150" t="n">
        <f aca="false">IF(AQ12&gt;0,(COS(PI()*(AQ12-1)/Assumption!$E$15)-COS(PI()*AQ12/Assumption!$E$15))/2,0)</f>
        <v>0.0373650467932122</v>
      </c>
      <c r="AR13" s="150" t="n">
        <f aca="false">IF(AR12&gt;0,(COS(PI()*(AR12-1)/Assumption!$E$15)-COS(PI()*AR12/Assumption!$E$15))/2,0)</f>
        <v>0.0373650467932121</v>
      </c>
      <c r="AS13" s="150" t="n">
        <f aca="false">IF(AS12&gt;0,(COS(PI()*(AS12-1)/Assumption!$E$15)-COS(PI()*AS12/Assumption!$E$15))/2,0)</f>
        <v>0.0371560862948751</v>
      </c>
      <c r="AT13" s="150" t="n">
        <f aca="false">IF(AT12&gt;0,(COS(PI()*(AT12-1)/Assumption!$E$15)-COS(PI()*AT12/Assumption!$E$15))/2,0)</f>
        <v>0.03673933389007</v>
      </c>
      <c r="AU13" s="150" t="n">
        <f aca="false">IF(AU12&gt;0,(COS(PI()*(AU12-1)/Assumption!$E$15)-COS(PI()*AU12/Assumption!$E$15))/2,0)</f>
        <v>0.0361171202272949</v>
      </c>
      <c r="AV13" s="150" t="n">
        <f aca="false">IF(AV12&gt;0,(COS(PI()*(AV12-1)/Assumption!$E$15)-COS(PI()*AV12/Assumption!$E$15))/2,0)</f>
        <v>0.0352929249777454</v>
      </c>
      <c r="AW13" s="150" t="n">
        <f aca="false">IF(AW12&gt;0,(COS(PI()*(AW12-1)/Assumption!$E$15)-COS(PI()*AW12/Assumption!$E$15))/2,0)</f>
        <v>0.0342713573755815</v>
      </c>
      <c r="AX13" s="150" t="n">
        <f aca="false">IF(AX12&gt;0,(COS(PI()*(AX12-1)/Assumption!$E$15)-COS(PI()*AX12/Assumption!$E$15))/2,0)</f>
        <v>0.0330581304412209</v>
      </c>
      <c r="AY13" s="150" t="n">
        <f aca="false">IF(AY12&gt;0,(COS(PI()*(AY12-1)/Assumption!$E$15)-COS(PI()*AY12/Assumption!$E$15))/2,0)</f>
        <v>0.0316600290318111</v>
      </c>
      <c r="AZ13" s="150" t="n">
        <f aca="false">IF(AZ12&gt;0,(COS(PI()*(AZ12-1)/Assumption!$E$15)-COS(PI()*AZ12/Assumption!$E$15))/2,0)</f>
        <v>0.0300848718975557</v>
      </c>
      <c r="BA13" s="150" t="n">
        <f aca="false">IF(BA12&gt;0,(COS(PI()*(BA12-1)/Assumption!$E$15)-COS(PI()*BA12/Assumption!$E$15))/2,0)</f>
        <v>0.0283414679560929</v>
      </c>
      <c r="BB13" s="150" t="n">
        <f aca="false">IF(BB12&gt;0,(COS(PI()*(BB12-1)/Assumption!$E$15)-COS(PI()*BB12/Assumption!$E$15))/2,0)</f>
        <v>0.0264395670294535</v>
      </c>
      <c r="BC13" s="150" t="n">
        <f aca="false">IF(BC12&gt;0,(COS(PI()*(BC12-1)/Assumption!$E$15)-COS(PI()*BC12/Assumption!$E$15))/2,0)</f>
        <v>0.0243898053191017</v>
      </c>
      <c r="BD13" s="150" t="n">
        <f aca="false">IF(BD12&gt;0,(COS(PI()*(BD12-1)/Assumption!$E$15)-COS(PI()*BD12/Assumption!$E$15))/2,0)</f>
        <v>0.0222036459239826</v>
      </c>
      <c r="BE13" s="150" t="n">
        <f aca="false">IF(BE12&gt;0,(COS(PI()*(BE12-1)/Assumption!$E$15)-COS(PI()*BE12/Assumption!$E$15))/2,0)</f>
        <v>0.0198933147342217</v>
      </c>
      <c r="BF13" s="150" t="n">
        <f aca="false">IF(BF12&gt;0,(COS(PI()*(BF12-1)/Assumption!$E$15)-COS(PI()*BF12/Assumption!$E$15))/2,0)</f>
        <v>0.0174717320589903</v>
      </c>
      <c r="BG13" s="150" t="n">
        <f aca="false">IF(BG12&gt;0,(COS(PI()*(BG12-1)/Assumption!$E$15)-COS(PI()*BG12/Assumption!$E$15))/2,0)</f>
        <v>0.0149524403708927</v>
      </c>
      <c r="BH13" s="150" t="n">
        <f aca="false">IF(BH12&gt;0,(COS(PI()*(BH12-1)/Assumption!$E$15)-COS(PI()*BH12/Assumption!$E$15))/2,0)</f>
        <v>0.0123495285709681</v>
      </c>
      <c r="BI13" s="150" t="n">
        <f aca="false">IF(BI12&gt;0,(COS(PI()*(BI12-1)/Assumption!$E$15)-COS(PI()*BI12/Assumption!$E$15))/2,0)</f>
        <v>0.00967755319784153</v>
      </c>
      <c r="BJ13" s="150" t="n">
        <f aca="false">IF(BJ12&gt;0,(COS(PI()*(BJ12-1)/Assumption!$E$15)-COS(PI()*BJ12/Assumption!$E$15))/2,0)</f>
        <v>0.00695145702165245</v>
      </c>
      <c r="BK13" s="150" t="n">
        <f aca="false">IF(BK12&gt;0,(COS(PI()*(BK12-1)/Assumption!$E$15)-COS(PI()*BK12/Assumption!$E$15))/2,0)</f>
        <v>0.0041864854780258</v>
      </c>
      <c r="BL13" s="150" t="n">
        <f aca="false">IF(BL12&gt;0,(COS(PI()*(BL12-1)/Assumption!$E$15)-COS(PI()*BL12/Assumption!$E$15))/2,0)</f>
        <v>0.00139810140940994</v>
      </c>
      <c r="BM13" s="150" t="n">
        <f aca="false">IF(BM12&gt;0,(COS(PI()*(BM12-1)/Assumption!$E$15)-COS(PI()*BM12/Assumption!$E$15))/2,0)</f>
        <v>0</v>
      </c>
      <c r="BN13" s="150" t="n">
        <f aca="false">IF(BN12&gt;0,(COS(PI()*(BN12-1)/Assumption!$E$15)-COS(PI()*BN12/Assumption!$E$15))/2,0)</f>
        <v>0</v>
      </c>
      <c r="BO13" s="150" t="n">
        <f aca="false">IF(BO12&gt;0,(COS(PI()*(BO12-1)/Assumption!$E$15)-COS(PI()*BO12/Assumption!$E$15))/2,0)</f>
        <v>0</v>
      </c>
      <c r="BP13" s="150" t="n">
        <f aca="false">IF(BP12&gt;0,(COS(PI()*(BP12-1)/Assumption!$E$15)-COS(PI()*BP12/Assumption!$E$15))/2,0)</f>
        <v>0</v>
      </c>
      <c r="BQ13" s="150" t="n">
        <f aca="false">IF(BQ12&gt;0,(COS(PI()*(BQ12-1)/Assumption!$E$15)-COS(PI()*BQ12/Assumption!$E$15))/2,0)</f>
        <v>0</v>
      </c>
      <c r="BR13" s="150" t="n">
        <f aca="false">IF(BR12&gt;0,(COS(PI()*(BR12-1)/Assumption!$E$15)-COS(PI()*BR12/Assumption!$E$15))/2,0)</f>
        <v>0</v>
      </c>
      <c r="BS13" s="150" t="n">
        <f aca="false">IF(BS12&gt;0,(COS(PI()*(BS12-1)/Assumption!$E$15)-COS(PI()*BS12/Assumption!$E$15))/2,0)</f>
        <v>0</v>
      </c>
      <c r="BT13" s="150" t="n">
        <f aca="false">IF(BT12&gt;0,(COS(PI()*(BT12-1)/Assumption!$E$15)-COS(PI()*BT12/Assumption!$E$15))/2,0)</f>
        <v>0</v>
      </c>
      <c r="BU13" s="150" t="n">
        <f aca="false">IF(BU12&gt;0,(COS(PI()*(BU12-1)/Assumption!$E$15)-COS(PI()*BU12/Assumption!$E$15))/2,0)</f>
        <v>0</v>
      </c>
      <c r="BV13" s="150" t="n">
        <f aca="false">IF(BV12&gt;0,(COS(PI()*(BV12-1)/Assumption!$E$15)-COS(PI()*BV12/Assumption!$E$15))/2,0)</f>
        <v>0</v>
      </c>
      <c r="BW13" s="150" t="n">
        <f aca="false">IF(BW12&gt;0,(COS(PI()*(BW12-1)/Assumption!$E$15)-COS(PI()*BW12/Assumption!$E$15))/2,0)</f>
        <v>0</v>
      </c>
      <c r="BX13" s="150" t="n">
        <f aca="false">IF(BX12&gt;0,(COS(PI()*(BX12-1)/Assumption!$E$15)-COS(PI()*BX12/Assumption!$E$15))/2,0)</f>
        <v>0</v>
      </c>
      <c r="BY13" s="150" t="n">
        <f aca="false">IF(BY12&gt;0,(COS(PI()*(BY12-1)/Assumption!$E$15)-COS(PI()*BY12/Assumption!$E$15))/2,0)</f>
        <v>0</v>
      </c>
      <c r="BZ13" s="150" t="n">
        <f aca="false">IF(BZ12&gt;0,(COS(PI()*(BZ12-1)/Assumption!$E$15)-COS(PI()*BZ12/Assumption!$E$15))/2,0)</f>
        <v>0</v>
      </c>
      <c r="CA13" s="150" t="n">
        <f aca="false">IF(CA12&gt;0,(COS(PI()*(CA12-1)/Assumption!$E$15)-COS(PI()*CA12/Assumption!$E$15))/2,0)</f>
        <v>0</v>
      </c>
      <c r="CB13" s="150" t="n">
        <f aca="false">IF(CB12&gt;0,(COS(PI()*(CB12-1)/Assumption!$E$15)-COS(PI()*CB12/Assumption!$E$15))/2,0)</f>
        <v>0</v>
      </c>
      <c r="CC13" s="150" t="n">
        <f aca="false">IF(CC12&gt;0,(COS(PI()*(CC12-1)/Assumption!$E$15)-COS(PI()*CC12/Assumption!$E$15))/2,0)</f>
        <v>0</v>
      </c>
      <c r="CD13" s="150" t="n">
        <f aca="false">IF(CD12&gt;0,(COS(PI()*(CD12-1)/Assumption!$E$15)-COS(PI()*CD12/Assumption!$E$15))/2,0)</f>
        <v>0</v>
      </c>
      <c r="CE13" s="150" t="n">
        <f aca="false">IF(CE12&gt;0,(COS(PI()*(CE12-1)/Assumption!$E$15)-COS(PI()*CE12/Assumption!$E$15))/2,0)</f>
        <v>0</v>
      </c>
      <c r="CF13" s="150" t="n">
        <f aca="false">IF(CF12&gt;0,(COS(PI()*(CF12-1)/Assumption!$E$15)-COS(PI()*CF12/Assumption!$E$15))/2,0)</f>
        <v>0</v>
      </c>
      <c r="CG13" s="150" t="n">
        <f aca="false">IF(CG12&gt;0,(COS(PI()*(CG12-1)/Assumption!$E$15)-COS(PI()*CG12/Assumption!$E$15))/2,0)</f>
        <v>0</v>
      </c>
      <c r="CH13" s="150" t="n">
        <f aca="false">IF(CH12&gt;0,(COS(PI()*(CH12-1)/Assumption!$E$15)-COS(PI()*CH12/Assumption!$E$15))/2,0)</f>
        <v>0</v>
      </c>
      <c r="CI13" s="150" t="n">
        <f aca="false">IF(CI12&gt;0,(COS(PI()*(CI12-1)/Assumption!$E$15)-COS(PI()*CI12/Assumption!$E$15))/2,0)</f>
        <v>0</v>
      </c>
      <c r="CJ13" s="150" t="n">
        <f aca="false">IF(CJ12&gt;0,(COS(PI()*(CJ12-1)/Assumption!$E$15)-COS(PI()*CJ12/Assumption!$E$15))/2,0)</f>
        <v>0</v>
      </c>
      <c r="CK13" s="150" t="n">
        <f aca="false">IF(CK12&gt;0,(COS(PI()*(CK12-1)/Assumption!$E$15)-COS(PI()*CK12/Assumption!$E$15))/2,0)</f>
        <v>0</v>
      </c>
      <c r="CL13" s="150" t="n">
        <f aca="false">IF(CL12&gt;0,(COS(PI()*(CL12-1)/Assumption!$E$15)-COS(PI()*CL12/Assumption!$E$15))/2,0)</f>
        <v>0</v>
      </c>
      <c r="CM13" s="150" t="n">
        <f aca="false">IF(CM12&gt;0,(COS(PI()*(CM12-1)/Assumption!$E$15)-COS(PI()*CM12/Assumption!$E$15))/2,0)</f>
        <v>0</v>
      </c>
      <c r="CN13" s="150" t="n">
        <f aca="false">IF(CN12&gt;0,(COS(PI()*(CN12-1)/Assumption!$E$15)-COS(PI()*CN12/Assumption!$E$15))/2,0)</f>
        <v>0</v>
      </c>
      <c r="CO13" s="150" t="n">
        <f aca="false">IF(CO12&gt;0,(COS(PI()*(CO12-1)/Assumption!$E$15)-COS(PI()*CO12/Assumption!$E$15))/2,0)</f>
        <v>0</v>
      </c>
      <c r="CP13" s="150" t="n">
        <f aca="false">IF(CP12&gt;0,(COS(PI()*(CP12-1)/Assumption!$E$15)-COS(PI()*CP12/Assumption!$E$15))/2,0)</f>
        <v>0</v>
      </c>
      <c r="CQ13" s="150" t="n">
        <f aca="false">IF(CQ12&gt;0,(COS(PI()*(CQ12-1)/Assumption!$E$15)-COS(PI()*CQ12/Assumption!$E$15))/2,0)</f>
        <v>0</v>
      </c>
      <c r="CR13" s="150" t="n">
        <f aca="false">IF(CR12&gt;0,(COS(PI()*(CR12-1)/Assumption!$E$15)-COS(PI()*CR12/Assumption!$E$15))/2,0)</f>
        <v>0</v>
      </c>
      <c r="CS13" s="150" t="n">
        <f aca="false">IF(CS12&gt;0,(COS(PI()*(CS12-1)/Assumption!$E$15)-COS(PI()*CS12/Assumption!$E$15))/2,0)</f>
        <v>0</v>
      </c>
      <c r="CT13" s="150" t="n">
        <f aca="false">IF(CT12&gt;0,(COS(PI()*(CT12-1)/Assumption!$E$15)-COS(PI()*CT12/Assumption!$E$15))/2,0)</f>
        <v>0</v>
      </c>
      <c r="CU13" s="150" t="n">
        <f aca="false">IF(CU12&gt;0,(COS(PI()*(CU12-1)/Assumption!$E$15)-COS(PI()*CU12/Assumption!$E$15))/2,0)</f>
        <v>0</v>
      </c>
      <c r="CV13" s="150" t="n">
        <f aca="false">IF(CV12&gt;0,(COS(PI()*(CV12-1)/Assumption!$E$15)-COS(PI()*CV12/Assumption!$E$15))/2,0)</f>
        <v>0</v>
      </c>
      <c r="CW13" s="150" t="n">
        <f aca="false">IF(CW12&gt;0,(COS(PI()*(CW12-1)/Assumption!$E$15)-COS(PI()*CW12/Assumption!$E$15))/2,0)</f>
        <v>0</v>
      </c>
      <c r="CX13" s="150" t="n">
        <f aca="false">IF(CX12&gt;0,(COS(PI()*(CX12-1)/Assumption!$E$15)-COS(PI()*CX12/Assumption!$E$15))/2,0)</f>
        <v>0</v>
      </c>
      <c r="CY13" s="150" t="n">
        <f aca="false">IF(CY12&gt;0,(COS(PI()*(CY12-1)/Assumption!$E$15)-COS(PI()*CY12/Assumption!$E$15))/2,0)</f>
        <v>0</v>
      </c>
      <c r="CZ13" s="150" t="n">
        <f aca="false">IF(CZ12&gt;0,(COS(PI()*(CZ12-1)/Assumption!$E$15)-COS(PI()*CZ12/Assumption!$E$15))/2,0)</f>
        <v>0</v>
      </c>
      <c r="DA13" s="150" t="n">
        <f aca="false">IF(DA12&gt;0,(COS(PI()*(DA12-1)/Assumption!$E$15)-COS(PI()*DA12/Assumption!$E$15))/2,0)</f>
        <v>0</v>
      </c>
      <c r="DB13" s="150" t="n">
        <f aca="false">IF(DB12&gt;0,(COS(PI()*(DB12-1)/Assumption!$E$15)-COS(PI()*DB12/Assumption!$E$15))/2,0)</f>
        <v>0</v>
      </c>
      <c r="DC13" s="150" t="n">
        <f aca="false">IF(DC12&gt;0,(COS(PI()*(DC12-1)/Assumption!$E$15)-COS(PI()*DC12/Assumption!$E$15))/2,0)</f>
        <v>0</v>
      </c>
      <c r="DD13" s="150" t="n">
        <f aca="false">IF(DD12&gt;0,(COS(PI()*(DD12-1)/Assumption!$E$15)-COS(PI()*DD12/Assumption!$E$15))/2,0)</f>
        <v>0</v>
      </c>
      <c r="DE13" s="150" t="n">
        <f aca="false">IF(DE12&gt;0,(COS(PI()*(DE12-1)/Assumption!$E$15)-COS(PI()*DE12/Assumption!$E$15))/2,0)</f>
        <v>0</v>
      </c>
      <c r="DF13" s="150" t="n">
        <f aca="false">IF(DF12&gt;0,(COS(PI()*(DF12-1)/Assumption!$E$15)-COS(PI()*DF12/Assumption!$E$15))/2,0)</f>
        <v>0</v>
      </c>
      <c r="DG13" s="150" t="n">
        <f aca="false">IF(DG12&gt;0,(COS(PI()*(DG12-1)/Assumption!$E$15)-COS(PI()*DG12/Assumption!$E$15))/2,0)</f>
        <v>0</v>
      </c>
      <c r="DH13" s="150" t="n">
        <f aca="false">IF(DH12&gt;0,(COS(PI()*(DH12-1)/Assumption!$E$15)-COS(PI()*DH12/Assumption!$E$15))/2,0)</f>
        <v>0</v>
      </c>
      <c r="DI13" s="150" t="n">
        <f aca="false">IF(DI12&gt;0,(COS(PI()*(DI12-1)/Assumption!$E$15)-COS(PI()*DI12/Assumption!$E$15))/2,0)</f>
        <v>0</v>
      </c>
      <c r="DJ13" s="150" t="n">
        <f aca="false">IF(DJ12&gt;0,(COS(PI()*(DJ12-1)/Assumption!$E$15)-COS(PI()*DJ12/Assumption!$E$15))/2,0)</f>
        <v>0</v>
      </c>
      <c r="DK13" s="150" t="n">
        <f aca="false">IF(DK12&gt;0,(COS(PI()*(DK12-1)/Assumption!$E$15)-COS(PI()*DK12/Assumption!$E$15))/2,0)</f>
        <v>0</v>
      </c>
      <c r="DL13" s="150" t="n">
        <f aca="false">IF(DL12&gt;0,(COS(PI()*(DL12-1)/Assumption!$E$15)-COS(PI()*DL12/Assumption!$E$15))/2,0)</f>
        <v>0</v>
      </c>
      <c r="DM13" s="150" t="n">
        <f aca="false">IF(DM12&gt;0,(COS(PI()*(DM12-1)/Assumption!$E$15)-COS(PI()*DM12/Assumption!$E$15))/2,0)</f>
        <v>0</v>
      </c>
      <c r="DN13" s="150" t="n">
        <f aca="false">IF(DN12&gt;0,(COS(PI()*(DN12-1)/Assumption!$E$15)-COS(PI()*DN12/Assumption!$E$15))/2,0)</f>
        <v>0</v>
      </c>
      <c r="DO13" s="150" t="n">
        <f aca="false">IF(DO12&gt;0,(COS(PI()*(DO12-1)/Assumption!$E$15)-COS(PI()*DO12/Assumption!$E$15))/2,0)</f>
        <v>0</v>
      </c>
      <c r="DP13" s="150" t="n">
        <f aca="false">IF(DP12&gt;0,(COS(PI()*(DP12-1)/Assumption!$E$15)-COS(PI()*DP12/Assumption!$E$15))/2,0)</f>
        <v>0</v>
      </c>
      <c r="DQ13" s="150" t="n">
        <f aca="false">IF(DQ12&gt;0,(COS(PI()*(DQ12-1)/Assumption!$E$15)-COS(PI()*DQ12/Assumption!$E$15))/2,0)</f>
        <v>0</v>
      </c>
      <c r="DR13" s="150" t="n">
        <f aca="false">IF(DR12&gt;0,(COS(PI()*(DR12-1)/Assumption!$E$15)-COS(PI()*DR12/Assumption!$E$15))/2,0)</f>
        <v>0</v>
      </c>
      <c r="DS13" s="150" t="n">
        <f aca="false">IF(DS12&gt;0,(COS(PI()*(DS12-1)/Assumption!$E$15)-COS(PI()*DS12/Assumption!$E$15))/2,0)</f>
        <v>0</v>
      </c>
      <c r="DT13" s="150" t="n">
        <f aca="false">IF(DT12&gt;0,(COS(PI()*(DT12-1)/Assumption!$E$15)-COS(PI()*DT12/Assumption!$E$15))/2,0)</f>
        <v>0</v>
      </c>
      <c r="DU13" s="150" t="n">
        <f aca="false">IF(DU12&gt;0,(COS(PI()*(DU12-1)/Assumption!$E$15)-COS(PI()*DU12/Assumption!$E$15))/2,0)</f>
        <v>0</v>
      </c>
      <c r="DV13" s="150" t="n">
        <f aca="false">IF(DV12&gt;0,(COS(PI()*(DV12-1)/Assumption!$E$15)-COS(PI()*DV12/Assumption!$E$15))/2,0)</f>
        <v>0</v>
      </c>
      <c r="DW13" s="150" t="n">
        <f aca="false">IF(DW12&gt;0,(COS(PI()*(DW12-1)/Assumption!$E$15)-COS(PI()*DW12/Assumption!$E$15))/2,0)</f>
        <v>0</v>
      </c>
      <c r="DX13" s="150" t="n">
        <f aca="false">IF(DX12&gt;0,(COS(PI()*(DX12-1)/Assumption!$E$15)-COS(PI()*DX12/Assumption!$E$15))/2,0)</f>
        <v>0</v>
      </c>
      <c r="DY13" s="150" t="n">
        <f aca="false">IF(DY12&gt;0,(COS(PI()*(DY12-1)/Assumption!$E$15)-COS(PI()*DY12/Assumption!$E$15))/2,0)</f>
        <v>0</v>
      </c>
      <c r="DZ13" s="150" t="n">
        <f aca="false">IF(DZ12&gt;0,(COS(PI()*(DZ12-1)/Assumption!$E$15)-COS(PI()*DZ12/Assumption!$E$15))/2,0)</f>
        <v>0</v>
      </c>
      <c r="EA13" s="150" t="n">
        <f aca="false">IF(EA12&gt;0,(COS(PI()*(EA12-1)/Assumption!$E$15)-COS(PI()*EA12/Assumption!$E$15))/2,0)</f>
        <v>0</v>
      </c>
      <c r="EB13" s="150" t="n">
        <f aca="false">IF(EB12&gt;0,(COS(PI()*(EB12-1)/Assumption!$E$15)-COS(PI()*EB12/Assumption!$E$15))/2,0)</f>
        <v>0</v>
      </c>
      <c r="EC13" s="150" t="n">
        <f aca="false">IF(EC12&gt;0,(COS(PI()*(EC12-1)/Assumption!$E$15)-COS(PI()*EC12/Assumption!$E$15))/2,0)</f>
        <v>0</v>
      </c>
      <c r="ED13" s="150" t="n">
        <f aca="false">IF(ED12&gt;0,(COS(PI()*(ED12-1)/Assumption!$E$15)-COS(PI()*ED12/Assumption!$E$15))/2,0)</f>
        <v>0</v>
      </c>
      <c r="EE13" s="150" t="n">
        <f aca="false">IF(EE12&gt;0,(COS(PI()*(EE12-1)/Assumption!$E$15)-COS(PI()*EE12/Assumption!$E$15))/2,0)</f>
        <v>0</v>
      </c>
      <c r="EF13" s="150" t="n">
        <f aca="false">IF(EF12&gt;0,(COS(PI()*(EF12-1)/Assumption!$E$15)-COS(PI()*EF12/Assumption!$E$15))/2,0)</f>
        <v>0</v>
      </c>
    </row>
    <row r="14" customFormat="false" ht="15" hidden="false" customHeight="false" outlineLevel="0" collapsed="false">
      <c r="A14" s="35" t="s">
        <v>486</v>
      </c>
      <c r="B14" s="236"/>
      <c r="E14" s="239" t="n">
        <f aca="false">IF(AND(E6&gt;=Assumption!$E$18,E6&lt;=Assumption!$E$20),1,0)</f>
        <v>0</v>
      </c>
      <c r="F14" s="239" t="n">
        <f aca="false">IF(AND(F6&gt;=Assumption!$E$18,F6&lt;=Assumption!$E$20),1,0)</f>
        <v>0</v>
      </c>
      <c r="G14" s="239" t="n">
        <f aca="false">IF(AND(G6&gt;=Assumption!$E$18,G6&lt;=Assumption!$E$20),1,0)</f>
        <v>0</v>
      </c>
      <c r="H14" s="239" t="n">
        <f aca="false">IF(AND(H6&gt;=Assumption!$E$18,H6&lt;=Assumption!$E$20),1,0)</f>
        <v>0</v>
      </c>
      <c r="I14" s="239" t="n">
        <f aca="false">IF(AND(I6&gt;=Assumption!$E$18,I6&lt;=Assumption!$E$20),1,0)</f>
        <v>0</v>
      </c>
      <c r="J14" s="239" t="n">
        <f aca="false">IF(AND(J6&gt;=Assumption!$E$18,J6&lt;=Assumption!$E$20),1,0)</f>
        <v>0</v>
      </c>
      <c r="K14" s="239" t="n">
        <f aca="false">IF(AND(K6&gt;=Assumption!$E$18,K6&lt;=Assumption!$E$20),1,0)</f>
        <v>0</v>
      </c>
      <c r="L14" s="239" t="n">
        <f aca="false">IF(AND(L6&gt;=Assumption!$E$18,L6&lt;=Assumption!$E$20),1,0)</f>
        <v>0</v>
      </c>
      <c r="M14" s="239" t="n">
        <f aca="false">IF(AND(M6&gt;=Assumption!$E$18,M6&lt;=Assumption!$E$20),1,0)</f>
        <v>0</v>
      </c>
      <c r="N14" s="239" t="n">
        <f aca="false">IF(AND(N6&gt;=Assumption!$E$18,N6&lt;=Assumption!$E$20),1,0)</f>
        <v>0</v>
      </c>
      <c r="O14" s="239" t="n">
        <f aca="false">IF(AND(O6&gt;=Assumption!$E$18,O6&lt;=Assumption!$E$20),1,0)</f>
        <v>0</v>
      </c>
      <c r="P14" s="239" t="n">
        <f aca="false">IF(AND(P6&gt;=Assumption!$E$18,P6&lt;=Assumption!$E$20),1,0)</f>
        <v>0</v>
      </c>
      <c r="Q14" s="239" t="n">
        <f aca="false">IF(AND(Q6&gt;=Assumption!$E$18,Q6&lt;=Assumption!$E$20),1,0)</f>
        <v>0</v>
      </c>
      <c r="R14" s="239" t="n">
        <f aca="false">IF(AND(R6&gt;=Assumption!$E$18,R6&lt;=Assumption!$E$20),1,0)</f>
        <v>0</v>
      </c>
      <c r="S14" s="239" t="n">
        <f aca="false">IF(AND(S6&gt;=Assumption!$E$18,S6&lt;=Assumption!$E$20),1,0)</f>
        <v>0</v>
      </c>
      <c r="T14" s="239" t="n">
        <f aca="false">IF(AND(T6&gt;=Assumption!$E$18,T6&lt;=Assumption!$E$20),1,0)</f>
        <v>0</v>
      </c>
      <c r="U14" s="239" t="n">
        <f aca="false">IF(AND(U6&gt;=Assumption!$E$18,U6&lt;=Assumption!$E$20),1,0)</f>
        <v>0</v>
      </c>
      <c r="V14" s="239" t="n">
        <f aca="false">IF(AND(V6&gt;=Assumption!$E$18,V6&lt;=Assumption!$E$20),1,0)</f>
        <v>0</v>
      </c>
      <c r="W14" s="239" t="n">
        <f aca="false">IF(AND(W6&gt;=Assumption!$E$18,W6&lt;=Assumption!$E$20),1,0)</f>
        <v>0</v>
      </c>
      <c r="X14" s="239" t="n">
        <f aca="false">IF(AND(X6&gt;=Assumption!$E$18,X6&lt;=Assumption!$E$20),1,0)</f>
        <v>0</v>
      </c>
      <c r="Y14" s="239" t="n">
        <f aca="false">IF(AND(Y6&gt;=Assumption!$E$18,Y6&lt;=Assumption!$E$20),1,0)</f>
        <v>0</v>
      </c>
      <c r="Z14" s="239" t="n">
        <f aca="false">IF(AND(Z6&gt;=Assumption!$E$18,Z6&lt;=Assumption!$E$20),1,0)</f>
        <v>0</v>
      </c>
      <c r="AA14" s="239" t="n">
        <f aca="false">IF(AND(AA6&gt;=Assumption!$E$18,AA6&lt;=Assumption!$E$20),1,0)</f>
        <v>0</v>
      </c>
      <c r="AB14" s="239" t="n">
        <f aca="false">IF(AND(AB6&gt;=Assumption!$E$18,AB6&lt;=Assumption!$E$20),1,0)</f>
        <v>0</v>
      </c>
      <c r="AC14" s="239" t="n">
        <f aca="false">IF(AND(AC6&gt;=Assumption!$E$18,AC6&lt;=Assumption!$E$20),1,0)</f>
        <v>0</v>
      </c>
      <c r="AD14" s="239" t="n">
        <f aca="false">IF(AND(AD6&gt;=Assumption!$E$18,AD6&lt;=Assumption!$E$20),1,0)</f>
        <v>0</v>
      </c>
      <c r="AE14" s="239" t="n">
        <f aca="false">IF(AND(AE6&gt;=Assumption!$E$18,AE6&lt;=Assumption!$E$20),1,0)</f>
        <v>0</v>
      </c>
      <c r="AF14" s="239" t="n">
        <f aca="false">IF(AND(AF6&gt;=Assumption!$E$18,AF6&lt;=Assumption!$E$20),1,0)</f>
        <v>0</v>
      </c>
      <c r="AG14" s="239" t="n">
        <f aca="false">IF(AND(AG6&gt;=Assumption!$E$18,AG6&lt;=Assumption!$E$20),1,0)</f>
        <v>0</v>
      </c>
      <c r="AH14" s="239" t="n">
        <f aca="false">IF(AND(AH6&gt;=Assumption!$E$18,AH6&lt;=Assumption!$E$20),1,0)</f>
        <v>0</v>
      </c>
      <c r="AI14" s="239" t="n">
        <f aca="false">IF(AND(AI6&gt;=Assumption!$E$18,AI6&lt;=Assumption!$E$20),1,0)</f>
        <v>0</v>
      </c>
      <c r="AJ14" s="239" t="n">
        <f aca="false">IF(AND(AJ6&gt;=Assumption!$E$18,AJ6&lt;=Assumption!$E$20),1,0)</f>
        <v>0</v>
      </c>
      <c r="AK14" s="239" t="n">
        <f aca="false">IF(AND(AK6&gt;=Assumption!$E$18,AK6&lt;=Assumption!$E$20),1,0)</f>
        <v>0</v>
      </c>
      <c r="AL14" s="239" t="n">
        <f aca="false">IF(AND(AL6&gt;=Assumption!$E$18,AL6&lt;=Assumption!$E$20),1,0)</f>
        <v>0</v>
      </c>
      <c r="AM14" s="239" t="n">
        <f aca="false">IF(AND(AM6&gt;=Assumption!$E$18,AM6&lt;=Assumption!$E$20),1,0)</f>
        <v>0</v>
      </c>
      <c r="AN14" s="239" t="n">
        <f aca="false">IF(AND(AN6&gt;=Assumption!$E$18,AN6&lt;=Assumption!$E$20),1,0)</f>
        <v>0</v>
      </c>
      <c r="AO14" s="239" t="n">
        <f aca="false">IF(AND(AO6&gt;=Assumption!$E$18,AO6&lt;=Assumption!$E$20),1,0)</f>
        <v>0</v>
      </c>
      <c r="AP14" s="239" t="n">
        <f aca="false">IF(AND(AP6&gt;=Assumption!$E$18,AP6&lt;=Assumption!$E$20),1,0)</f>
        <v>0</v>
      </c>
      <c r="AQ14" s="239" t="n">
        <f aca="false">IF(AND(AQ6&gt;=Assumption!$E$18,AQ6&lt;=Assumption!$E$20),1,0)</f>
        <v>0</v>
      </c>
      <c r="AR14" s="239" t="n">
        <f aca="false">IF(AND(AR6&gt;=Assumption!$E$18,AR6&lt;=Assumption!$E$20),1,0)</f>
        <v>0</v>
      </c>
      <c r="AS14" s="239" t="n">
        <f aca="false">IF(AND(AS6&gt;=Assumption!$E$18,AS6&lt;=Assumption!$E$20),1,0)</f>
        <v>0</v>
      </c>
      <c r="AT14" s="239" t="n">
        <f aca="false">IF(AND(AT6&gt;=Assumption!$E$18,AT6&lt;=Assumption!$E$20),1,0)</f>
        <v>0</v>
      </c>
      <c r="AU14" s="239" t="n">
        <f aca="false">IF(AND(AU6&gt;=Assumption!$E$18,AU6&lt;=Assumption!$E$20),1,0)</f>
        <v>0</v>
      </c>
      <c r="AV14" s="239" t="n">
        <f aca="false">IF(AND(AV6&gt;=Assumption!$E$18,AV6&lt;=Assumption!$E$20),1,0)</f>
        <v>0</v>
      </c>
      <c r="AW14" s="239" t="n">
        <f aca="false">IF(AND(AW6&gt;=Assumption!$E$18,AW6&lt;=Assumption!$E$20),1,0)</f>
        <v>0</v>
      </c>
      <c r="AX14" s="239" t="n">
        <f aca="false">IF(AND(AX6&gt;=Assumption!$E$18,AX6&lt;=Assumption!$E$20),1,0)</f>
        <v>0</v>
      </c>
      <c r="AY14" s="239" t="n">
        <f aca="false">IF(AND(AY6&gt;=Assumption!$E$18,AY6&lt;=Assumption!$E$20),1,0)</f>
        <v>0</v>
      </c>
      <c r="AZ14" s="239" t="n">
        <f aca="false">IF(AND(AZ6&gt;=Assumption!$E$18,AZ6&lt;=Assumption!$E$20),1,0)</f>
        <v>0</v>
      </c>
      <c r="BA14" s="239" t="n">
        <f aca="false">IF(AND(BA6&gt;=Assumption!$E$18,BA6&lt;=Assumption!$E$20),1,0)</f>
        <v>0</v>
      </c>
      <c r="BB14" s="239" t="n">
        <f aca="false">IF(AND(BB6&gt;=Assumption!$E$18,BB6&lt;=Assumption!$E$20),1,0)</f>
        <v>0</v>
      </c>
      <c r="BC14" s="239" t="n">
        <f aca="false">IF(AND(BC6&gt;=Assumption!$E$18,BC6&lt;=Assumption!$E$20),1,0)</f>
        <v>0</v>
      </c>
      <c r="BD14" s="239" t="n">
        <f aca="false">IF(AND(BD6&gt;=Assumption!$E$18,BD6&lt;=Assumption!$E$20),1,0)</f>
        <v>0</v>
      </c>
      <c r="BE14" s="239" t="n">
        <f aca="false">IF(AND(BE6&gt;=Assumption!$E$18,BE6&lt;=Assumption!$E$20),1,0)</f>
        <v>0</v>
      </c>
      <c r="BF14" s="239" t="n">
        <f aca="false">IF(AND(BF6&gt;=Assumption!$E$18,BF6&lt;=Assumption!$E$20),1,0)</f>
        <v>0</v>
      </c>
      <c r="BG14" s="239" t="n">
        <f aca="false">IF(AND(BG6&gt;=Assumption!$E$18,BG6&lt;=Assumption!$E$20),1,0)</f>
        <v>0</v>
      </c>
      <c r="BH14" s="239" t="n">
        <f aca="false">IF(AND(BH6&gt;=Assumption!$E$18,BH6&lt;=Assumption!$E$20),1,0)</f>
        <v>0</v>
      </c>
      <c r="BI14" s="239" t="n">
        <f aca="false">IF(AND(BI6&gt;=Assumption!$E$18,BI6&lt;=Assumption!$E$20),1,0)</f>
        <v>0</v>
      </c>
      <c r="BJ14" s="239" t="n">
        <f aca="false">IF(AND(BJ6&gt;=Assumption!$E$18,BJ6&lt;=Assumption!$E$20),1,0)</f>
        <v>0</v>
      </c>
      <c r="BK14" s="239" t="n">
        <f aca="false">IF(AND(BK6&gt;=Assumption!$E$18,BK6&lt;=Assumption!$E$20),1,0)</f>
        <v>0</v>
      </c>
      <c r="BL14" s="239" t="n">
        <f aca="false">IF(AND(BL6&gt;=Assumption!$E$18,BL6&lt;=Assumption!$E$20),1,0)</f>
        <v>0</v>
      </c>
      <c r="BM14" s="239" t="n">
        <f aca="false">IF(AND(BM6&gt;=Assumption!$E$18,BM6&lt;=Assumption!$E$20),1,0)</f>
        <v>1</v>
      </c>
      <c r="BN14" s="239" t="n">
        <f aca="false">IF(AND(BN6&gt;=Assumption!$E$18,BN6&lt;=Assumption!$E$20),1,0)</f>
        <v>1</v>
      </c>
      <c r="BO14" s="239" t="n">
        <f aca="false">IF(AND(BO6&gt;=Assumption!$E$18,BO6&lt;=Assumption!$E$20),1,0)</f>
        <v>1</v>
      </c>
      <c r="BP14" s="239" t="n">
        <f aca="false">IF(AND(BP6&gt;=Assumption!$E$18,BP6&lt;=Assumption!$E$20),1,0)</f>
        <v>1</v>
      </c>
      <c r="BQ14" s="239" t="n">
        <f aca="false">IF(AND(BQ6&gt;=Assumption!$E$18,BQ6&lt;=Assumption!$E$20),1,0)</f>
        <v>1</v>
      </c>
      <c r="BR14" s="239" t="n">
        <f aca="false">IF(AND(BR6&gt;=Assumption!$E$18,BR6&lt;=Assumption!$E$20),1,0)</f>
        <v>1</v>
      </c>
      <c r="BS14" s="239" t="n">
        <f aca="false">IF(AND(BS6&gt;=Assumption!$E$18,BS6&lt;=Assumption!$E$20),1,0)</f>
        <v>1</v>
      </c>
      <c r="BT14" s="239" t="n">
        <f aca="false">IF(AND(BT6&gt;=Assumption!$E$18,BT6&lt;=Assumption!$E$20),1,0)</f>
        <v>1</v>
      </c>
      <c r="BU14" s="239" t="n">
        <f aca="false">IF(AND(BU6&gt;=Assumption!$E$18,BU6&lt;=Assumption!$E$20),1,0)</f>
        <v>1</v>
      </c>
      <c r="BV14" s="239" t="n">
        <f aca="false">IF(AND(BV6&gt;=Assumption!$E$18,BV6&lt;=Assumption!$E$20),1,0)</f>
        <v>1</v>
      </c>
      <c r="BW14" s="239" t="n">
        <f aca="false">IF(AND(BW6&gt;=Assumption!$E$18,BW6&lt;=Assumption!$E$20),1,0)</f>
        <v>1</v>
      </c>
      <c r="BX14" s="239" t="n">
        <f aca="false">IF(AND(BX6&gt;=Assumption!$E$18,BX6&lt;=Assumption!$E$20),1,0)</f>
        <v>1</v>
      </c>
      <c r="BY14" s="239" t="n">
        <f aca="false">IF(AND(BY6&gt;=Assumption!$E$18,BY6&lt;=Assumption!$E$20),1,0)</f>
        <v>1</v>
      </c>
      <c r="BZ14" s="239" t="n">
        <f aca="false">IF(AND(BZ6&gt;=Assumption!$E$18,BZ6&lt;=Assumption!$E$20),1,0)</f>
        <v>1</v>
      </c>
      <c r="CA14" s="239" t="n">
        <f aca="false">IF(AND(CA6&gt;=Assumption!$E$18,CA6&lt;=Assumption!$E$20),1,0)</f>
        <v>1</v>
      </c>
      <c r="CB14" s="239" t="n">
        <f aca="false">IF(AND(CB6&gt;=Assumption!$E$18,CB6&lt;=Assumption!$E$20),1,0)</f>
        <v>1</v>
      </c>
      <c r="CC14" s="239" t="n">
        <f aca="false">IF(AND(CC6&gt;=Assumption!$E$18,CC6&lt;=Assumption!$E$20),1,0)</f>
        <v>1</v>
      </c>
      <c r="CD14" s="239" t="n">
        <f aca="false">IF(AND(CD6&gt;=Assumption!$E$18,CD6&lt;=Assumption!$E$20),1,0)</f>
        <v>1</v>
      </c>
      <c r="CE14" s="239" t="n">
        <f aca="false">IF(AND(CE6&gt;=Assumption!$E$18,CE6&lt;=Assumption!$E$20),1,0)</f>
        <v>1</v>
      </c>
      <c r="CF14" s="239" t="n">
        <f aca="false">IF(AND(CF6&gt;=Assumption!$E$18,CF6&lt;=Assumption!$E$20),1,0)</f>
        <v>1</v>
      </c>
      <c r="CG14" s="239" t="n">
        <f aca="false">IF(AND(CG6&gt;=Assumption!$E$18,CG6&lt;=Assumption!$E$20),1,0)</f>
        <v>1</v>
      </c>
      <c r="CH14" s="239" t="n">
        <f aca="false">IF(AND(CH6&gt;=Assumption!$E$18,CH6&lt;=Assumption!$E$20),1,0)</f>
        <v>1</v>
      </c>
      <c r="CI14" s="239" t="n">
        <f aca="false">IF(AND(CI6&gt;=Assumption!$E$18,CI6&lt;=Assumption!$E$20),1,0)</f>
        <v>1</v>
      </c>
      <c r="CJ14" s="239" t="n">
        <f aca="false">IF(AND(CJ6&gt;=Assumption!$E$18,CJ6&lt;=Assumption!$E$20),1,0)</f>
        <v>1</v>
      </c>
      <c r="CK14" s="239" t="n">
        <f aca="false">IF(AND(CK6&gt;=Assumption!$E$18,CK6&lt;=Assumption!$E$20),1,0)</f>
        <v>1</v>
      </c>
      <c r="CL14" s="239" t="n">
        <f aca="false">IF(AND(CL6&gt;=Assumption!$E$18,CL6&lt;=Assumption!$E$20),1,0)</f>
        <v>1</v>
      </c>
      <c r="CM14" s="239" t="n">
        <f aca="false">IF(AND(CM6&gt;=Assumption!$E$18,CM6&lt;=Assumption!$E$20),1,0)</f>
        <v>1</v>
      </c>
      <c r="CN14" s="239" t="n">
        <f aca="false">IF(AND(CN6&gt;=Assumption!$E$18,CN6&lt;=Assumption!$E$20),1,0)</f>
        <v>1</v>
      </c>
      <c r="CO14" s="239" t="n">
        <f aca="false">IF(AND(CO6&gt;=Assumption!$E$18,CO6&lt;=Assumption!$E$20),1,0)</f>
        <v>1</v>
      </c>
      <c r="CP14" s="239" t="n">
        <f aca="false">IF(AND(CP6&gt;=Assumption!$E$18,CP6&lt;=Assumption!$E$20),1,0)</f>
        <v>1</v>
      </c>
      <c r="CQ14" s="239" t="n">
        <f aca="false">IF(AND(CQ6&gt;=Assumption!$E$18,CQ6&lt;=Assumption!$E$20),1,0)</f>
        <v>1</v>
      </c>
      <c r="CR14" s="239" t="n">
        <f aca="false">IF(AND(CR6&gt;=Assumption!$E$18,CR6&lt;=Assumption!$E$20),1,0)</f>
        <v>1</v>
      </c>
      <c r="CS14" s="239" t="n">
        <f aca="false">IF(AND(CS6&gt;=Assumption!$E$18,CS6&lt;=Assumption!$E$20),1,0)</f>
        <v>1</v>
      </c>
      <c r="CT14" s="239" t="n">
        <f aca="false">IF(AND(CT6&gt;=Assumption!$E$18,CT6&lt;=Assumption!$E$20),1,0)</f>
        <v>1</v>
      </c>
      <c r="CU14" s="239" t="n">
        <f aca="false">IF(AND(CU6&gt;=Assumption!$E$18,CU6&lt;=Assumption!$E$20),1,0)</f>
        <v>1</v>
      </c>
      <c r="CV14" s="239" t="n">
        <f aca="false">IF(AND(CV6&gt;=Assumption!$E$18,CV6&lt;=Assumption!$E$20),1,0)</f>
        <v>1</v>
      </c>
      <c r="CW14" s="239" t="n">
        <f aca="false">IF(AND(CW6&gt;=Assumption!$E$18,CW6&lt;=Assumption!$E$20),1,0)</f>
        <v>1</v>
      </c>
      <c r="CX14" s="239" t="n">
        <f aca="false">IF(AND(CX6&gt;=Assumption!$E$18,CX6&lt;=Assumption!$E$20),1,0)</f>
        <v>1</v>
      </c>
      <c r="CY14" s="239" t="n">
        <f aca="false">IF(AND(CY6&gt;=Assumption!$E$18,CY6&lt;=Assumption!$E$20),1,0)</f>
        <v>1</v>
      </c>
      <c r="CZ14" s="239" t="n">
        <f aca="false">IF(AND(CZ6&gt;=Assumption!$E$18,CZ6&lt;=Assumption!$E$20),1,0)</f>
        <v>1</v>
      </c>
      <c r="DA14" s="239" t="n">
        <f aca="false">IF(AND(DA6&gt;=Assumption!$E$18,DA6&lt;=Assumption!$E$20),1,0)</f>
        <v>1</v>
      </c>
      <c r="DB14" s="239" t="n">
        <f aca="false">IF(AND(DB6&gt;=Assumption!$E$18,DB6&lt;=Assumption!$E$20),1,0)</f>
        <v>1</v>
      </c>
      <c r="DC14" s="239" t="n">
        <f aca="false">IF(AND(DC6&gt;=Assumption!$E$18,DC6&lt;=Assumption!$E$20),1,0)</f>
        <v>1</v>
      </c>
      <c r="DD14" s="239" t="n">
        <f aca="false">IF(AND(DD6&gt;=Assumption!$E$18,DD6&lt;=Assumption!$E$20),1,0)</f>
        <v>1</v>
      </c>
      <c r="DE14" s="239" t="n">
        <f aca="false">IF(AND(DE6&gt;=Assumption!$E$18,DE6&lt;=Assumption!$E$20),1,0)</f>
        <v>1</v>
      </c>
      <c r="DF14" s="239" t="n">
        <f aca="false">IF(AND(DF6&gt;=Assumption!$E$18,DF6&lt;=Assumption!$E$20),1,0)</f>
        <v>1</v>
      </c>
      <c r="DG14" s="239" t="n">
        <f aca="false">IF(AND(DG6&gt;=Assumption!$E$18,DG6&lt;=Assumption!$E$20),1,0)</f>
        <v>1</v>
      </c>
      <c r="DH14" s="239" t="n">
        <f aca="false">IF(AND(DH6&gt;=Assumption!$E$18,DH6&lt;=Assumption!$E$20),1,0)</f>
        <v>1</v>
      </c>
      <c r="DI14" s="239" t="n">
        <f aca="false">IF(AND(DI6&gt;=Assumption!$E$18,DI6&lt;=Assumption!$E$20),1,0)</f>
        <v>1</v>
      </c>
      <c r="DJ14" s="239" t="n">
        <f aca="false">IF(AND(DJ6&gt;=Assumption!$E$18,DJ6&lt;=Assumption!$E$20),1,0)</f>
        <v>1</v>
      </c>
      <c r="DK14" s="239" t="n">
        <f aca="false">IF(AND(DK6&gt;=Assumption!$E$18,DK6&lt;=Assumption!$E$20),1,0)</f>
        <v>1</v>
      </c>
      <c r="DL14" s="239" t="n">
        <f aca="false">IF(AND(DL6&gt;=Assumption!$E$18,DL6&lt;=Assumption!$E$20),1,0)</f>
        <v>1</v>
      </c>
      <c r="DM14" s="239" t="n">
        <f aca="false">IF(AND(DM6&gt;=Assumption!$E$18,DM6&lt;=Assumption!$E$20),1,0)</f>
        <v>1</v>
      </c>
      <c r="DN14" s="239" t="n">
        <f aca="false">IF(AND(DN6&gt;=Assumption!$E$18,DN6&lt;=Assumption!$E$20),1,0)</f>
        <v>1</v>
      </c>
      <c r="DO14" s="239" t="n">
        <f aca="false">IF(AND(DO6&gt;=Assumption!$E$18,DO6&lt;=Assumption!$E$20),1,0)</f>
        <v>1</v>
      </c>
      <c r="DP14" s="239" t="n">
        <f aca="false">IF(AND(DP6&gt;=Assumption!$E$18,DP6&lt;=Assumption!$E$20),1,0)</f>
        <v>1</v>
      </c>
      <c r="DQ14" s="239" t="n">
        <f aca="false">IF(AND(DQ6&gt;=Assumption!$E$18,DQ6&lt;=Assumption!$E$20),1,0)</f>
        <v>1</v>
      </c>
      <c r="DR14" s="239" t="n">
        <f aca="false">IF(AND(DR6&gt;=Assumption!$E$18,DR6&lt;=Assumption!$E$20),1,0)</f>
        <v>1</v>
      </c>
      <c r="DS14" s="239" t="n">
        <f aca="false">IF(AND(DS6&gt;=Assumption!$E$18,DS6&lt;=Assumption!$E$20),1,0)</f>
        <v>1</v>
      </c>
      <c r="DT14" s="239" t="n">
        <f aca="false">IF(AND(DT6&gt;=Assumption!$E$18,DT6&lt;=Assumption!$E$20),1,0)</f>
        <v>1</v>
      </c>
      <c r="DU14" s="239" t="n">
        <f aca="false">IF(AND(DU6&gt;=Assumption!$E$18,DU6&lt;=Assumption!$E$20),1,0)</f>
        <v>0</v>
      </c>
      <c r="DV14" s="239" t="n">
        <f aca="false">IF(AND(DV6&gt;=Assumption!$E$18,DV6&lt;=Assumption!$E$20),1,0)</f>
        <v>0</v>
      </c>
      <c r="DW14" s="239" t="n">
        <f aca="false">IF(AND(DW6&gt;=Assumption!$E$18,DW6&lt;=Assumption!$E$20),1,0)</f>
        <v>0</v>
      </c>
      <c r="DX14" s="239" t="n">
        <f aca="false">IF(AND(DX6&gt;=Assumption!$E$18,DX6&lt;=Assumption!$E$20),1,0)</f>
        <v>0</v>
      </c>
      <c r="DY14" s="239" t="n">
        <f aca="false">IF(AND(DY6&gt;=Assumption!$E$18,DY6&lt;=Assumption!$E$20),1,0)</f>
        <v>0</v>
      </c>
      <c r="DZ14" s="239" t="n">
        <f aca="false">IF(AND(DZ6&gt;=Assumption!$E$18,DZ6&lt;=Assumption!$E$20),1,0)</f>
        <v>0</v>
      </c>
      <c r="EA14" s="239" t="n">
        <f aca="false">IF(AND(EA6&gt;=Assumption!$E$18,EA6&lt;=Assumption!$E$20),1,0)</f>
        <v>0</v>
      </c>
      <c r="EB14" s="239" t="n">
        <f aca="false">IF(AND(EB6&gt;=Assumption!$E$18,EB6&lt;=Assumption!$E$20),1,0)</f>
        <v>0</v>
      </c>
      <c r="EC14" s="239" t="n">
        <f aca="false">IF(AND(EC6&gt;=Assumption!$E$18,EC6&lt;=Assumption!$E$20),1,0)</f>
        <v>0</v>
      </c>
      <c r="ED14" s="239" t="n">
        <f aca="false">IF(AND(ED6&gt;=Assumption!$E$18,ED6&lt;=Assumption!$E$20),1,0)</f>
        <v>0</v>
      </c>
      <c r="EE14" s="239" t="n">
        <f aca="false">IF(AND(EE6&gt;=Assumption!$E$18,EE6&lt;=Assumption!$E$20),1,0)</f>
        <v>0</v>
      </c>
      <c r="EF14" s="239" t="n">
        <f aca="false">IF(AND(EF6&gt;=Assumption!$E$18,EF6&lt;=Assumption!$E$20),1,0)</f>
        <v>0</v>
      </c>
    </row>
    <row r="15" customFormat="false" ht="15" hidden="false" customHeight="false" outlineLevel="0" collapsed="false">
      <c r="A15" s="35" t="s">
        <v>487</v>
      </c>
      <c r="B15" s="236"/>
      <c r="E15" s="238" t="n">
        <f aca="false">IF(E14=1,(YEAR(E6)-YEAR(Assumption!$E$18))*12+MONTH(E6)-MONTH(Assumption!$E$18)+1,0)</f>
        <v>0</v>
      </c>
      <c r="F15" s="238" t="n">
        <f aca="false">IF(F14=1,(YEAR(F6)-YEAR(Assumption!$E$18))*12+MONTH(F6)-MONTH(Assumption!$E$18)+1,0)</f>
        <v>0</v>
      </c>
      <c r="G15" s="238" t="n">
        <f aca="false">IF(G14=1,(YEAR(G6)-YEAR(Assumption!$E$18))*12+MONTH(G6)-MONTH(Assumption!$E$18)+1,0)</f>
        <v>0</v>
      </c>
      <c r="H15" s="238" t="n">
        <f aca="false">IF(H14=1,(YEAR(H6)-YEAR(Assumption!$E$18))*12+MONTH(H6)-MONTH(Assumption!$E$18)+1,0)</f>
        <v>0</v>
      </c>
      <c r="I15" s="238" t="n">
        <f aca="false">IF(I14=1,(YEAR(I6)-YEAR(Assumption!$E$18))*12+MONTH(I6)-MONTH(Assumption!$E$18)+1,0)</f>
        <v>0</v>
      </c>
      <c r="J15" s="238" t="n">
        <f aca="false">IF(J14=1,(YEAR(J6)-YEAR(Assumption!$E$18))*12+MONTH(J6)-MONTH(Assumption!$E$18)+1,0)</f>
        <v>0</v>
      </c>
      <c r="K15" s="238" t="n">
        <f aca="false">IF(K14=1,(YEAR(K6)-YEAR(Assumption!$E$18))*12+MONTH(K6)-MONTH(Assumption!$E$18)+1,0)</f>
        <v>0</v>
      </c>
      <c r="L15" s="238" t="n">
        <f aca="false">IF(L14=1,(YEAR(L6)-YEAR(Assumption!$E$18))*12+MONTH(L6)-MONTH(Assumption!$E$18)+1,0)</f>
        <v>0</v>
      </c>
      <c r="M15" s="238" t="n">
        <f aca="false">IF(M14=1,(YEAR(M6)-YEAR(Assumption!$E$18))*12+MONTH(M6)-MONTH(Assumption!$E$18)+1,0)</f>
        <v>0</v>
      </c>
      <c r="N15" s="238" t="n">
        <f aca="false">IF(N14=1,(YEAR(N6)-YEAR(Assumption!$E$18))*12+MONTH(N6)-MONTH(Assumption!$E$18)+1,0)</f>
        <v>0</v>
      </c>
      <c r="O15" s="238" t="n">
        <f aca="false">IF(O14=1,(YEAR(O6)-YEAR(Assumption!$E$18))*12+MONTH(O6)-MONTH(Assumption!$E$18)+1,0)</f>
        <v>0</v>
      </c>
      <c r="P15" s="238" t="n">
        <f aca="false">IF(P14=1,(YEAR(P6)-YEAR(Assumption!$E$18))*12+MONTH(P6)-MONTH(Assumption!$E$18)+1,0)</f>
        <v>0</v>
      </c>
      <c r="Q15" s="238" t="n">
        <f aca="false">IF(Q14=1,(YEAR(Q6)-YEAR(Assumption!$E$18))*12+MONTH(Q6)-MONTH(Assumption!$E$18)+1,0)</f>
        <v>0</v>
      </c>
      <c r="R15" s="238" t="n">
        <f aca="false">IF(R14=1,(YEAR(R6)-YEAR(Assumption!$E$18))*12+MONTH(R6)-MONTH(Assumption!$E$18)+1,0)</f>
        <v>0</v>
      </c>
      <c r="S15" s="238" t="n">
        <f aca="false">IF(S14=1,(YEAR(S6)-YEAR(Assumption!$E$18))*12+MONTH(S6)-MONTH(Assumption!$E$18)+1,0)</f>
        <v>0</v>
      </c>
      <c r="T15" s="238" t="n">
        <f aca="false">IF(T14=1,(YEAR(T6)-YEAR(Assumption!$E$18))*12+MONTH(T6)-MONTH(Assumption!$E$18)+1,0)</f>
        <v>0</v>
      </c>
      <c r="U15" s="238" t="n">
        <f aca="false">IF(U14=1,(YEAR(U6)-YEAR(Assumption!$E$18))*12+MONTH(U6)-MONTH(Assumption!$E$18)+1,0)</f>
        <v>0</v>
      </c>
      <c r="V15" s="238" t="n">
        <f aca="false">IF(V14=1,(YEAR(V6)-YEAR(Assumption!$E$18))*12+MONTH(V6)-MONTH(Assumption!$E$18)+1,0)</f>
        <v>0</v>
      </c>
      <c r="W15" s="238" t="n">
        <f aca="false">IF(W14=1,(YEAR(W6)-YEAR(Assumption!$E$18))*12+MONTH(W6)-MONTH(Assumption!$E$18)+1,0)</f>
        <v>0</v>
      </c>
      <c r="X15" s="238" t="n">
        <f aca="false">IF(X14=1,(YEAR(X6)-YEAR(Assumption!$E$18))*12+MONTH(X6)-MONTH(Assumption!$E$18)+1,0)</f>
        <v>0</v>
      </c>
      <c r="Y15" s="238" t="n">
        <f aca="false">IF(Y14=1,(YEAR(Y6)-YEAR(Assumption!$E$18))*12+MONTH(Y6)-MONTH(Assumption!$E$18)+1,0)</f>
        <v>0</v>
      </c>
      <c r="Z15" s="238" t="n">
        <f aca="false">IF(Z14=1,(YEAR(Z6)-YEAR(Assumption!$E$18))*12+MONTH(Z6)-MONTH(Assumption!$E$18)+1,0)</f>
        <v>0</v>
      </c>
      <c r="AA15" s="238" t="n">
        <f aca="false">IF(AA14=1,(YEAR(AA6)-YEAR(Assumption!$E$18))*12+MONTH(AA6)-MONTH(Assumption!$E$18)+1,0)</f>
        <v>0</v>
      </c>
      <c r="AB15" s="238" t="n">
        <f aca="false">IF(AB14=1,(YEAR(AB6)-YEAR(Assumption!$E$18))*12+MONTH(AB6)-MONTH(Assumption!$E$18)+1,0)</f>
        <v>0</v>
      </c>
      <c r="AC15" s="238" t="n">
        <f aca="false">IF(AC14=1,(YEAR(AC6)-YEAR(Assumption!$E$18))*12+MONTH(AC6)-MONTH(Assumption!$E$18)+1,0)</f>
        <v>0</v>
      </c>
      <c r="AD15" s="238" t="n">
        <f aca="false">IF(AD14=1,(YEAR(AD6)-YEAR(Assumption!$E$18))*12+MONTH(AD6)-MONTH(Assumption!$E$18)+1,0)</f>
        <v>0</v>
      </c>
      <c r="AE15" s="238" t="n">
        <f aca="false">IF(AE14=1,(YEAR(AE6)-YEAR(Assumption!$E$18))*12+MONTH(AE6)-MONTH(Assumption!$E$18)+1,0)</f>
        <v>0</v>
      </c>
      <c r="AF15" s="238" t="n">
        <f aca="false">IF(AF14=1,(YEAR(AF6)-YEAR(Assumption!$E$18))*12+MONTH(AF6)-MONTH(Assumption!$E$18)+1,0)</f>
        <v>0</v>
      </c>
      <c r="AG15" s="238" t="n">
        <f aca="false">IF(AG14=1,(YEAR(AG6)-YEAR(Assumption!$E$18))*12+MONTH(AG6)-MONTH(Assumption!$E$18)+1,0)</f>
        <v>0</v>
      </c>
      <c r="AH15" s="238" t="n">
        <f aca="false">IF(AH14=1,(YEAR(AH6)-YEAR(Assumption!$E$18))*12+MONTH(AH6)-MONTH(Assumption!$E$18)+1,0)</f>
        <v>0</v>
      </c>
      <c r="AI15" s="238" t="n">
        <f aca="false">IF(AI14=1,(YEAR(AI6)-YEAR(Assumption!$E$18))*12+MONTH(AI6)-MONTH(Assumption!$E$18)+1,0)</f>
        <v>0</v>
      </c>
      <c r="AJ15" s="238" t="n">
        <f aca="false">IF(AJ14=1,(YEAR(AJ6)-YEAR(Assumption!$E$18))*12+MONTH(AJ6)-MONTH(Assumption!$E$18)+1,0)</f>
        <v>0</v>
      </c>
      <c r="AK15" s="238" t="n">
        <f aca="false">IF(AK14=1,(YEAR(AK6)-YEAR(Assumption!$E$18))*12+MONTH(AK6)-MONTH(Assumption!$E$18)+1,0)</f>
        <v>0</v>
      </c>
      <c r="AL15" s="238" t="n">
        <f aca="false">IF(AL14=1,(YEAR(AL6)-YEAR(Assumption!$E$18))*12+MONTH(AL6)-MONTH(Assumption!$E$18)+1,0)</f>
        <v>0</v>
      </c>
      <c r="AM15" s="238" t="n">
        <f aca="false">IF(AM14=1,(YEAR(AM6)-YEAR(Assumption!$E$18))*12+MONTH(AM6)-MONTH(Assumption!$E$18)+1,0)</f>
        <v>0</v>
      </c>
      <c r="AN15" s="238" t="n">
        <f aca="false">IF(AN14=1,(YEAR(AN6)-YEAR(Assumption!$E$18))*12+MONTH(AN6)-MONTH(Assumption!$E$18)+1,0)</f>
        <v>0</v>
      </c>
      <c r="AO15" s="238" t="n">
        <f aca="false">IF(AO14=1,(YEAR(AO6)-YEAR(Assumption!$E$18))*12+MONTH(AO6)-MONTH(Assumption!$E$18)+1,0)</f>
        <v>0</v>
      </c>
      <c r="AP15" s="238" t="n">
        <f aca="false">IF(AP14=1,(YEAR(AP6)-YEAR(Assumption!$E$18))*12+MONTH(AP6)-MONTH(Assumption!$E$18)+1,0)</f>
        <v>0</v>
      </c>
      <c r="AQ15" s="238" t="n">
        <f aca="false">IF(AQ14=1,(YEAR(AQ6)-YEAR(Assumption!$E$18))*12+MONTH(AQ6)-MONTH(Assumption!$E$18)+1,0)</f>
        <v>0</v>
      </c>
      <c r="AR15" s="238" t="n">
        <f aca="false">IF(AR14=1,(YEAR(AR6)-YEAR(Assumption!$E$18))*12+MONTH(AR6)-MONTH(Assumption!$E$18)+1,0)</f>
        <v>0</v>
      </c>
      <c r="AS15" s="238" t="n">
        <f aca="false">IF(AS14=1,(YEAR(AS6)-YEAR(Assumption!$E$18))*12+MONTH(AS6)-MONTH(Assumption!$E$18)+1,0)</f>
        <v>0</v>
      </c>
      <c r="AT15" s="238" t="n">
        <f aca="false">IF(AT14=1,(YEAR(AT6)-YEAR(Assumption!$E$18))*12+MONTH(AT6)-MONTH(Assumption!$E$18)+1,0)</f>
        <v>0</v>
      </c>
      <c r="AU15" s="238" t="n">
        <f aca="false">IF(AU14=1,(YEAR(AU6)-YEAR(Assumption!$E$18))*12+MONTH(AU6)-MONTH(Assumption!$E$18)+1,0)</f>
        <v>0</v>
      </c>
      <c r="AV15" s="238" t="n">
        <f aca="false">IF(AV14=1,(YEAR(AV6)-YEAR(Assumption!$E$18))*12+MONTH(AV6)-MONTH(Assumption!$E$18)+1,0)</f>
        <v>0</v>
      </c>
      <c r="AW15" s="238" t="n">
        <f aca="false">IF(AW14=1,(YEAR(AW6)-YEAR(Assumption!$E$18))*12+MONTH(AW6)-MONTH(Assumption!$E$18)+1,0)</f>
        <v>0</v>
      </c>
      <c r="AX15" s="238" t="n">
        <f aca="false">IF(AX14=1,(YEAR(AX6)-YEAR(Assumption!$E$18))*12+MONTH(AX6)-MONTH(Assumption!$E$18)+1,0)</f>
        <v>0</v>
      </c>
      <c r="AY15" s="238" t="n">
        <f aca="false">IF(AY14=1,(YEAR(AY6)-YEAR(Assumption!$E$18))*12+MONTH(AY6)-MONTH(Assumption!$E$18)+1,0)</f>
        <v>0</v>
      </c>
      <c r="AZ15" s="238" t="n">
        <f aca="false">IF(AZ14=1,(YEAR(AZ6)-YEAR(Assumption!$E$18))*12+MONTH(AZ6)-MONTH(Assumption!$E$18)+1,0)</f>
        <v>0</v>
      </c>
      <c r="BA15" s="238" t="n">
        <f aca="false">IF(BA14=1,(YEAR(BA6)-YEAR(Assumption!$E$18))*12+MONTH(BA6)-MONTH(Assumption!$E$18)+1,0)</f>
        <v>0</v>
      </c>
      <c r="BB15" s="238" t="n">
        <f aca="false">IF(BB14=1,(YEAR(BB6)-YEAR(Assumption!$E$18))*12+MONTH(BB6)-MONTH(Assumption!$E$18)+1,0)</f>
        <v>0</v>
      </c>
      <c r="BC15" s="238" t="n">
        <f aca="false">IF(BC14=1,(YEAR(BC6)-YEAR(Assumption!$E$18))*12+MONTH(BC6)-MONTH(Assumption!$E$18)+1,0)</f>
        <v>0</v>
      </c>
      <c r="BD15" s="238" t="n">
        <f aca="false">IF(BD14=1,(YEAR(BD6)-YEAR(Assumption!$E$18))*12+MONTH(BD6)-MONTH(Assumption!$E$18)+1,0)</f>
        <v>0</v>
      </c>
      <c r="BE15" s="238" t="n">
        <f aca="false">IF(BE14=1,(YEAR(BE6)-YEAR(Assumption!$E$18))*12+MONTH(BE6)-MONTH(Assumption!$E$18)+1,0)</f>
        <v>0</v>
      </c>
      <c r="BF15" s="238" t="n">
        <f aca="false">IF(BF14=1,(YEAR(BF6)-YEAR(Assumption!$E$18))*12+MONTH(BF6)-MONTH(Assumption!$E$18)+1,0)</f>
        <v>0</v>
      </c>
      <c r="BG15" s="238" t="n">
        <f aca="false">IF(BG14=1,(YEAR(BG6)-YEAR(Assumption!$E$18))*12+MONTH(BG6)-MONTH(Assumption!$E$18)+1,0)</f>
        <v>0</v>
      </c>
      <c r="BH15" s="238" t="n">
        <f aca="false">IF(BH14=1,(YEAR(BH6)-YEAR(Assumption!$E$18))*12+MONTH(BH6)-MONTH(Assumption!$E$18)+1,0)</f>
        <v>0</v>
      </c>
      <c r="BI15" s="238" t="n">
        <f aca="false">IF(BI14=1,(YEAR(BI6)-YEAR(Assumption!$E$18))*12+MONTH(BI6)-MONTH(Assumption!$E$18)+1,0)</f>
        <v>0</v>
      </c>
      <c r="BJ15" s="238" t="n">
        <f aca="false">IF(BJ14=1,(YEAR(BJ6)-YEAR(Assumption!$E$18))*12+MONTH(BJ6)-MONTH(Assumption!$E$18)+1,0)</f>
        <v>0</v>
      </c>
      <c r="BK15" s="238" t="n">
        <f aca="false">IF(BK14=1,(YEAR(BK6)-YEAR(Assumption!$E$18))*12+MONTH(BK6)-MONTH(Assumption!$E$18)+1,0)</f>
        <v>0</v>
      </c>
      <c r="BL15" s="238" t="n">
        <f aca="false">IF(BL14=1,(YEAR(BL6)-YEAR(Assumption!$E$18))*12+MONTH(BL6)-MONTH(Assumption!$E$18)+1,0)</f>
        <v>0</v>
      </c>
      <c r="BM15" s="238" t="n">
        <f aca="false">IF(BM14=1,(YEAR(BM6)-YEAR(Assumption!$E$18))*12+MONTH(BM6)-MONTH(Assumption!$E$18)+1,0)</f>
        <v>1</v>
      </c>
      <c r="BN15" s="238" t="n">
        <f aca="false">IF(BN14=1,(YEAR(BN6)-YEAR(Assumption!$E$18))*12+MONTH(BN6)-MONTH(Assumption!$E$18)+1,0)</f>
        <v>2</v>
      </c>
      <c r="BO15" s="238" t="n">
        <f aca="false">IF(BO14=1,(YEAR(BO6)-YEAR(Assumption!$E$18))*12+MONTH(BO6)-MONTH(Assumption!$E$18)+1,0)</f>
        <v>3</v>
      </c>
      <c r="BP15" s="238" t="n">
        <f aca="false">IF(BP14=1,(YEAR(BP6)-YEAR(Assumption!$E$18))*12+MONTH(BP6)-MONTH(Assumption!$E$18)+1,0)</f>
        <v>4</v>
      </c>
      <c r="BQ15" s="238" t="n">
        <f aca="false">IF(BQ14=1,(YEAR(BQ6)-YEAR(Assumption!$E$18))*12+MONTH(BQ6)-MONTH(Assumption!$E$18)+1,0)</f>
        <v>5</v>
      </c>
      <c r="BR15" s="238" t="n">
        <f aca="false">IF(BR14=1,(YEAR(BR6)-YEAR(Assumption!$E$18))*12+MONTH(BR6)-MONTH(Assumption!$E$18)+1,0)</f>
        <v>6</v>
      </c>
      <c r="BS15" s="238" t="n">
        <f aca="false">IF(BS14=1,(YEAR(BS6)-YEAR(Assumption!$E$18))*12+MONTH(BS6)-MONTH(Assumption!$E$18)+1,0)</f>
        <v>7</v>
      </c>
      <c r="BT15" s="238" t="n">
        <f aca="false">IF(BT14=1,(YEAR(BT6)-YEAR(Assumption!$E$18))*12+MONTH(BT6)-MONTH(Assumption!$E$18)+1,0)</f>
        <v>8</v>
      </c>
      <c r="BU15" s="238" t="n">
        <f aca="false">IF(BU14=1,(YEAR(BU6)-YEAR(Assumption!$E$18))*12+MONTH(BU6)-MONTH(Assumption!$E$18)+1,0)</f>
        <v>9</v>
      </c>
      <c r="BV15" s="238" t="n">
        <f aca="false">IF(BV14=1,(YEAR(BV6)-YEAR(Assumption!$E$18))*12+MONTH(BV6)-MONTH(Assumption!$E$18)+1,0)</f>
        <v>10</v>
      </c>
      <c r="BW15" s="238" t="n">
        <f aca="false">IF(BW14=1,(YEAR(BW6)-YEAR(Assumption!$E$18))*12+MONTH(BW6)-MONTH(Assumption!$E$18)+1,0)</f>
        <v>11</v>
      </c>
      <c r="BX15" s="238" t="n">
        <f aca="false">IF(BX14=1,(YEAR(BX6)-YEAR(Assumption!$E$18))*12+MONTH(BX6)-MONTH(Assumption!$E$18)+1,0)</f>
        <v>12</v>
      </c>
      <c r="BY15" s="238" t="n">
        <f aca="false">IF(BY14=1,(YEAR(BY6)-YEAR(Assumption!$E$18))*12+MONTH(BY6)-MONTH(Assumption!$E$18)+1,0)</f>
        <v>13</v>
      </c>
      <c r="BZ15" s="238" t="n">
        <f aca="false">IF(BZ14=1,(YEAR(BZ6)-YEAR(Assumption!$E$18))*12+MONTH(BZ6)-MONTH(Assumption!$E$18)+1,0)</f>
        <v>14</v>
      </c>
      <c r="CA15" s="238" t="n">
        <f aca="false">IF(CA14=1,(YEAR(CA6)-YEAR(Assumption!$E$18))*12+MONTH(CA6)-MONTH(Assumption!$E$18)+1,0)</f>
        <v>15</v>
      </c>
      <c r="CB15" s="238" t="n">
        <f aca="false">IF(CB14=1,(YEAR(CB6)-YEAR(Assumption!$E$18))*12+MONTH(CB6)-MONTH(Assumption!$E$18)+1,0)</f>
        <v>16</v>
      </c>
      <c r="CC15" s="238" t="n">
        <f aca="false">IF(CC14=1,(YEAR(CC6)-YEAR(Assumption!$E$18))*12+MONTH(CC6)-MONTH(Assumption!$E$18)+1,0)</f>
        <v>17</v>
      </c>
      <c r="CD15" s="238" t="n">
        <f aca="false">IF(CD14=1,(YEAR(CD6)-YEAR(Assumption!$E$18))*12+MONTH(CD6)-MONTH(Assumption!$E$18)+1,0)</f>
        <v>18</v>
      </c>
      <c r="CE15" s="238" t="n">
        <f aca="false">IF(CE14=1,(YEAR(CE6)-YEAR(Assumption!$E$18))*12+MONTH(CE6)-MONTH(Assumption!$E$18)+1,0)</f>
        <v>19</v>
      </c>
      <c r="CF15" s="238" t="n">
        <f aca="false">IF(CF14=1,(YEAR(CF6)-YEAR(Assumption!$E$18))*12+MONTH(CF6)-MONTH(Assumption!$E$18)+1,0)</f>
        <v>20</v>
      </c>
      <c r="CG15" s="238" t="n">
        <f aca="false">IF(CG14=1,(YEAR(CG6)-YEAR(Assumption!$E$18))*12+MONTH(CG6)-MONTH(Assumption!$E$18)+1,0)</f>
        <v>21</v>
      </c>
      <c r="CH15" s="238" t="n">
        <f aca="false">IF(CH14=1,(YEAR(CH6)-YEAR(Assumption!$E$18))*12+MONTH(CH6)-MONTH(Assumption!$E$18)+1,0)</f>
        <v>22</v>
      </c>
      <c r="CI15" s="238" t="n">
        <f aca="false">IF(CI14=1,(YEAR(CI6)-YEAR(Assumption!$E$18))*12+MONTH(CI6)-MONTH(Assumption!$E$18)+1,0)</f>
        <v>23</v>
      </c>
      <c r="CJ15" s="238" t="n">
        <f aca="false">IF(CJ14=1,(YEAR(CJ6)-YEAR(Assumption!$E$18))*12+MONTH(CJ6)-MONTH(Assumption!$E$18)+1,0)</f>
        <v>24</v>
      </c>
      <c r="CK15" s="238" t="n">
        <f aca="false">IF(CK14=1,(YEAR(CK6)-YEAR(Assumption!$E$18))*12+MONTH(CK6)-MONTH(Assumption!$E$18)+1,0)</f>
        <v>25</v>
      </c>
      <c r="CL15" s="238" t="n">
        <f aca="false">IF(CL14=1,(YEAR(CL6)-YEAR(Assumption!$E$18))*12+MONTH(CL6)-MONTH(Assumption!$E$18)+1,0)</f>
        <v>26</v>
      </c>
      <c r="CM15" s="238" t="n">
        <f aca="false">IF(CM14=1,(YEAR(CM6)-YEAR(Assumption!$E$18))*12+MONTH(CM6)-MONTH(Assumption!$E$18)+1,0)</f>
        <v>27</v>
      </c>
      <c r="CN15" s="238" t="n">
        <f aca="false">IF(CN14=1,(YEAR(CN6)-YEAR(Assumption!$E$18))*12+MONTH(CN6)-MONTH(Assumption!$E$18)+1,0)</f>
        <v>28</v>
      </c>
      <c r="CO15" s="238" t="n">
        <f aca="false">IF(CO14=1,(YEAR(CO6)-YEAR(Assumption!$E$18))*12+MONTH(CO6)-MONTH(Assumption!$E$18)+1,0)</f>
        <v>29</v>
      </c>
      <c r="CP15" s="238" t="n">
        <f aca="false">IF(CP14=1,(YEAR(CP6)-YEAR(Assumption!$E$18))*12+MONTH(CP6)-MONTH(Assumption!$E$18)+1,0)</f>
        <v>30</v>
      </c>
      <c r="CQ15" s="238" t="n">
        <f aca="false">IF(CQ14=1,(YEAR(CQ6)-YEAR(Assumption!$E$18))*12+MONTH(CQ6)-MONTH(Assumption!$E$18)+1,0)</f>
        <v>31</v>
      </c>
      <c r="CR15" s="238" t="n">
        <f aca="false">IF(CR14=1,(YEAR(CR6)-YEAR(Assumption!$E$18))*12+MONTH(CR6)-MONTH(Assumption!$E$18)+1,0)</f>
        <v>32</v>
      </c>
      <c r="CS15" s="238" t="n">
        <f aca="false">IF(CS14=1,(YEAR(CS6)-YEAR(Assumption!$E$18))*12+MONTH(CS6)-MONTH(Assumption!$E$18)+1,0)</f>
        <v>33</v>
      </c>
      <c r="CT15" s="238" t="n">
        <f aca="false">IF(CT14=1,(YEAR(CT6)-YEAR(Assumption!$E$18))*12+MONTH(CT6)-MONTH(Assumption!$E$18)+1,0)</f>
        <v>34</v>
      </c>
      <c r="CU15" s="238" t="n">
        <f aca="false">IF(CU14=1,(YEAR(CU6)-YEAR(Assumption!$E$18))*12+MONTH(CU6)-MONTH(Assumption!$E$18)+1,0)</f>
        <v>35</v>
      </c>
      <c r="CV15" s="238" t="n">
        <f aca="false">IF(CV14=1,(YEAR(CV6)-YEAR(Assumption!$E$18))*12+MONTH(CV6)-MONTH(Assumption!$E$18)+1,0)</f>
        <v>36</v>
      </c>
      <c r="CW15" s="238" t="n">
        <f aca="false">IF(CW14=1,(YEAR(CW6)-YEAR(Assumption!$E$18))*12+MONTH(CW6)-MONTH(Assumption!$E$18)+1,0)</f>
        <v>37</v>
      </c>
      <c r="CX15" s="238" t="n">
        <f aca="false">IF(CX14=1,(YEAR(CX6)-YEAR(Assumption!$E$18))*12+MONTH(CX6)-MONTH(Assumption!$E$18)+1,0)</f>
        <v>38</v>
      </c>
      <c r="CY15" s="238" t="n">
        <f aca="false">IF(CY14=1,(YEAR(CY6)-YEAR(Assumption!$E$18))*12+MONTH(CY6)-MONTH(Assumption!$E$18)+1,0)</f>
        <v>39</v>
      </c>
      <c r="CZ15" s="238" t="n">
        <f aca="false">IF(CZ14=1,(YEAR(CZ6)-YEAR(Assumption!$E$18))*12+MONTH(CZ6)-MONTH(Assumption!$E$18)+1,0)</f>
        <v>40</v>
      </c>
      <c r="DA15" s="238" t="n">
        <f aca="false">IF(DA14=1,(YEAR(DA6)-YEAR(Assumption!$E$18))*12+MONTH(DA6)-MONTH(Assumption!$E$18)+1,0)</f>
        <v>41</v>
      </c>
      <c r="DB15" s="238" t="n">
        <f aca="false">IF(DB14=1,(YEAR(DB6)-YEAR(Assumption!$E$18))*12+MONTH(DB6)-MONTH(Assumption!$E$18)+1,0)</f>
        <v>42</v>
      </c>
      <c r="DC15" s="238" t="n">
        <f aca="false">IF(DC14=1,(YEAR(DC6)-YEAR(Assumption!$E$18))*12+MONTH(DC6)-MONTH(Assumption!$E$18)+1,0)</f>
        <v>43</v>
      </c>
      <c r="DD15" s="238" t="n">
        <f aca="false">IF(DD14=1,(YEAR(DD6)-YEAR(Assumption!$E$18))*12+MONTH(DD6)-MONTH(Assumption!$E$18)+1,0)</f>
        <v>44</v>
      </c>
      <c r="DE15" s="238" t="n">
        <f aca="false">IF(DE14=1,(YEAR(DE6)-YEAR(Assumption!$E$18))*12+MONTH(DE6)-MONTH(Assumption!$E$18)+1,0)</f>
        <v>45</v>
      </c>
      <c r="DF15" s="238" t="n">
        <f aca="false">IF(DF14=1,(YEAR(DF6)-YEAR(Assumption!$E$18))*12+MONTH(DF6)-MONTH(Assumption!$E$18)+1,0)</f>
        <v>46</v>
      </c>
      <c r="DG15" s="238" t="n">
        <f aca="false">IF(DG14=1,(YEAR(DG6)-YEAR(Assumption!$E$18))*12+MONTH(DG6)-MONTH(Assumption!$E$18)+1,0)</f>
        <v>47</v>
      </c>
      <c r="DH15" s="238" t="n">
        <f aca="false">IF(DH14=1,(YEAR(DH6)-YEAR(Assumption!$E$18))*12+MONTH(DH6)-MONTH(Assumption!$E$18)+1,0)</f>
        <v>48</v>
      </c>
      <c r="DI15" s="238" t="n">
        <f aca="false">IF(DI14=1,(YEAR(DI6)-YEAR(Assumption!$E$18))*12+MONTH(DI6)-MONTH(Assumption!$E$18)+1,0)</f>
        <v>49</v>
      </c>
      <c r="DJ15" s="238" t="n">
        <f aca="false">IF(DJ14=1,(YEAR(DJ6)-YEAR(Assumption!$E$18))*12+MONTH(DJ6)-MONTH(Assumption!$E$18)+1,0)</f>
        <v>50</v>
      </c>
      <c r="DK15" s="238" t="n">
        <f aca="false">IF(DK14=1,(YEAR(DK6)-YEAR(Assumption!$E$18))*12+MONTH(DK6)-MONTH(Assumption!$E$18)+1,0)</f>
        <v>51</v>
      </c>
      <c r="DL15" s="238" t="n">
        <f aca="false">IF(DL14=1,(YEAR(DL6)-YEAR(Assumption!$E$18))*12+MONTH(DL6)-MONTH(Assumption!$E$18)+1,0)</f>
        <v>52</v>
      </c>
      <c r="DM15" s="238" t="n">
        <f aca="false">IF(DM14=1,(YEAR(DM6)-YEAR(Assumption!$E$18))*12+MONTH(DM6)-MONTH(Assumption!$E$18)+1,0)</f>
        <v>53</v>
      </c>
      <c r="DN15" s="238" t="n">
        <f aca="false">IF(DN14=1,(YEAR(DN6)-YEAR(Assumption!$E$18))*12+MONTH(DN6)-MONTH(Assumption!$E$18)+1,0)</f>
        <v>54</v>
      </c>
      <c r="DO15" s="238" t="n">
        <f aca="false">IF(DO14=1,(YEAR(DO6)-YEAR(Assumption!$E$18))*12+MONTH(DO6)-MONTH(Assumption!$E$18)+1,0)</f>
        <v>55</v>
      </c>
      <c r="DP15" s="238" t="n">
        <f aca="false">IF(DP14=1,(YEAR(DP6)-YEAR(Assumption!$E$18))*12+MONTH(DP6)-MONTH(Assumption!$E$18)+1,0)</f>
        <v>56</v>
      </c>
      <c r="DQ15" s="238" t="n">
        <f aca="false">IF(DQ14=1,(YEAR(DQ6)-YEAR(Assumption!$E$18))*12+MONTH(DQ6)-MONTH(Assumption!$E$18)+1,0)</f>
        <v>57</v>
      </c>
      <c r="DR15" s="238" t="n">
        <f aca="false">IF(DR14=1,(YEAR(DR6)-YEAR(Assumption!$E$18))*12+MONTH(DR6)-MONTH(Assumption!$E$18)+1,0)</f>
        <v>58</v>
      </c>
      <c r="DS15" s="238" t="n">
        <f aca="false">IF(DS14=1,(YEAR(DS6)-YEAR(Assumption!$E$18))*12+MONTH(DS6)-MONTH(Assumption!$E$18)+1,0)</f>
        <v>59</v>
      </c>
      <c r="DT15" s="238" t="n">
        <f aca="false">IF(DT14=1,(YEAR(DT6)-YEAR(Assumption!$E$18))*12+MONTH(DT6)-MONTH(Assumption!$E$18)+1,0)</f>
        <v>60</v>
      </c>
      <c r="DU15" s="238" t="n">
        <f aca="false">IF(DU14=1,(YEAR(DU6)-YEAR(Assumption!$E$18))*12+MONTH(DU6)-MONTH(Assumption!$E$18)+1,0)</f>
        <v>0</v>
      </c>
      <c r="DV15" s="238" t="n">
        <f aca="false">IF(DV14=1,(YEAR(DV6)-YEAR(Assumption!$E$18))*12+MONTH(DV6)-MONTH(Assumption!$E$18)+1,0)</f>
        <v>0</v>
      </c>
      <c r="DW15" s="238" t="n">
        <f aca="false">IF(DW14=1,(YEAR(DW6)-YEAR(Assumption!$E$18))*12+MONTH(DW6)-MONTH(Assumption!$E$18)+1,0)</f>
        <v>0</v>
      </c>
      <c r="DX15" s="238" t="n">
        <f aca="false">IF(DX14=1,(YEAR(DX6)-YEAR(Assumption!$E$18))*12+MONTH(DX6)-MONTH(Assumption!$E$18)+1,0)</f>
        <v>0</v>
      </c>
      <c r="DY15" s="238" t="n">
        <f aca="false">IF(DY14=1,(YEAR(DY6)-YEAR(Assumption!$E$18))*12+MONTH(DY6)-MONTH(Assumption!$E$18)+1,0)</f>
        <v>0</v>
      </c>
      <c r="DZ15" s="238" t="n">
        <f aca="false">IF(DZ14=1,(YEAR(DZ6)-YEAR(Assumption!$E$18))*12+MONTH(DZ6)-MONTH(Assumption!$E$18)+1,0)</f>
        <v>0</v>
      </c>
      <c r="EA15" s="238" t="n">
        <f aca="false">IF(EA14=1,(YEAR(EA6)-YEAR(Assumption!$E$18))*12+MONTH(EA6)-MONTH(Assumption!$E$18)+1,0)</f>
        <v>0</v>
      </c>
      <c r="EB15" s="238" t="n">
        <f aca="false">IF(EB14=1,(YEAR(EB6)-YEAR(Assumption!$E$18))*12+MONTH(EB6)-MONTH(Assumption!$E$18)+1,0)</f>
        <v>0</v>
      </c>
      <c r="EC15" s="238" t="n">
        <f aca="false">IF(EC14=1,(YEAR(EC6)-YEAR(Assumption!$E$18))*12+MONTH(EC6)-MONTH(Assumption!$E$18)+1,0)</f>
        <v>0</v>
      </c>
      <c r="ED15" s="238" t="n">
        <f aca="false">IF(ED14=1,(YEAR(ED6)-YEAR(Assumption!$E$18))*12+MONTH(ED6)-MONTH(Assumption!$E$18)+1,0)</f>
        <v>0</v>
      </c>
      <c r="EE15" s="238" t="n">
        <f aca="false">IF(EE14=1,(YEAR(EE6)-YEAR(Assumption!$E$18))*12+MONTH(EE6)-MONTH(Assumption!$E$18)+1,0)</f>
        <v>0</v>
      </c>
      <c r="EF15" s="238" t="n">
        <f aca="false">IF(EF14=1,(YEAR(EF6)-YEAR(Assumption!$E$18))*12+MONTH(EF6)-MONTH(Assumption!$E$18)+1,0)</f>
        <v>0</v>
      </c>
    </row>
    <row r="16" customFormat="false" ht="15" hidden="false" customHeight="false" outlineLevel="0" collapsed="false">
      <c r="A16" s="35" t="s">
        <v>488</v>
      </c>
      <c r="B16" s="236"/>
      <c r="E16" s="238" t="n">
        <f aca="false">IF(E15&gt;0,INT((E15-1)/12)+1,0)</f>
        <v>0</v>
      </c>
      <c r="F16" s="238" t="n">
        <f aca="false">IF(F15&gt;0,INT((F15-1)/12)+1,0)</f>
        <v>0</v>
      </c>
      <c r="G16" s="238" t="n">
        <f aca="false">IF(G15&gt;0,INT((G15-1)/12)+1,0)</f>
        <v>0</v>
      </c>
      <c r="H16" s="238" t="n">
        <f aca="false">IF(H15&gt;0,INT((H15-1)/12)+1,0)</f>
        <v>0</v>
      </c>
      <c r="I16" s="238" t="n">
        <f aca="false">IF(I15&gt;0,INT((I15-1)/12)+1,0)</f>
        <v>0</v>
      </c>
      <c r="J16" s="238" t="n">
        <f aca="false">IF(J15&gt;0,INT((J15-1)/12)+1,0)</f>
        <v>0</v>
      </c>
      <c r="K16" s="238" t="n">
        <f aca="false">IF(K15&gt;0,INT((K15-1)/12)+1,0)</f>
        <v>0</v>
      </c>
      <c r="L16" s="238" t="n">
        <f aca="false">IF(L15&gt;0,INT((L15-1)/12)+1,0)</f>
        <v>0</v>
      </c>
      <c r="M16" s="238" t="n">
        <f aca="false">IF(M15&gt;0,INT((M15-1)/12)+1,0)</f>
        <v>0</v>
      </c>
      <c r="N16" s="238" t="n">
        <f aca="false">IF(N15&gt;0,INT((N15-1)/12)+1,0)</f>
        <v>0</v>
      </c>
      <c r="O16" s="238" t="n">
        <f aca="false">IF(O15&gt;0,INT((O15-1)/12)+1,0)</f>
        <v>0</v>
      </c>
      <c r="P16" s="238" t="n">
        <f aca="false">IF(P15&gt;0,INT((P15-1)/12)+1,0)</f>
        <v>0</v>
      </c>
      <c r="Q16" s="238" t="n">
        <f aca="false">IF(Q15&gt;0,INT((Q15-1)/12)+1,0)</f>
        <v>0</v>
      </c>
      <c r="R16" s="238" t="n">
        <f aca="false">IF(R15&gt;0,INT((R15-1)/12)+1,0)</f>
        <v>0</v>
      </c>
      <c r="S16" s="238" t="n">
        <f aca="false">IF(S15&gt;0,INT((S15-1)/12)+1,0)</f>
        <v>0</v>
      </c>
      <c r="T16" s="238" t="n">
        <f aca="false">IF(T15&gt;0,INT((T15-1)/12)+1,0)</f>
        <v>0</v>
      </c>
      <c r="U16" s="238" t="n">
        <f aca="false">IF(U15&gt;0,INT((U15-1)/12)+1,0)</f>
        <v>0</v>
      </c>
      <c r="V16" s="238" t="n">
        <f aca="false">IF(V15&gt;0,INT((V15-1)/12)+1,0)</f>
        <v>0</v>
      </c>
      <c r="W16" s="238" t="n">
        <f aca="false">IF(W15&gt;0,INT((W15-1)/12)+1,0)</f>
        <v>0</v>
      </c>
      <c r="X16" s="238" t="n">
        <f aca="false">IF(X15&gt;0,INT((X15-1)/12)+1,0)</f>
        <v>0</v>
      </c>
      <c r="Y16" s="238" t="n">
        <f aca="false">IF(Y15&gt;0,INT((Y15-1)/12)+1,0)</f>
        <v>0</v>
      </c>
      <c r="Z16" s="238" t="n">
        <f aca="false">IF(Z15&gt;0,INT((Z15-1)/12)+1,0)</f>
        <v>0</v>
      </c>
      <c r="AA16" s="238" t="n">
        <f aca="false">IF(AA15&gt;0,INT((AA15-1)/12)+1,0)</f>
        <v>0</v>
      </c>
      <c r="AB16" s="238" t="n">
        <f aca="false">IF(AB15&gt;0,INT((AB15-1)/12)+1,0)</f>
        <v>0</v>
      </c>
      <c r="AC16" s="238" t="n">
        <f aca="false">IF(AC15&gt;0,INT((AC15-1)/12)+1,0)</f>
        <v>0</v>
      </c>
      <c r="AD16" s="238" t="n">
        <f aca="false">IF(AD15&gt;0,INT((AD15-1)/12)+1,0)</f>
        <v>0</v>
      </c>
      <c r="AE16" s="238" t="n">
        <f aca="false">IF(AE15&gt;0,INT((AE15-1)/12)+1,0)</f>
        <v>0</v>
      </c>
      <c r="AF16" s="238" t="n">
        <f aca="false">IF(AF15&gt;0,INT((AF15-1)/12)+1,0)</f>
        <v>0</v>
      </c>
      <c r="AG16" s="238" t="n">
        <f aca="false">IF(AG15&gt;0,INT((AG15-1)/12)+1,0)</f>
        <v>0</v>
      </c>
      <c r="AH16" s="238" t="n">
        <f aca="false">IF(AH15&gt;0,INT((AH15-1)/12)+1,0)</f>
        <v>0</v>
      </c>
      <c r="AI16" s="238" t="n">
        <f aca="false">IF(AI15&gt;0,INT((AI15-1)/12)+1,0)</f>
        <v>0</v>
      </c>
      <c r="AJ16" s="238" t="n">
        <f aca="false">IF(AJ15&gt;0,INT((AJ15-1)/12)+1,0)</f>
        <v>0</v>
      </c>
      <c r="AK16" s="238" t="n">
        <f aca="false">IF(AK15&gt;0,INT((AK15-1)/12)+1,0)</f>
        <v>0</v>
      </c>
      <c r="AL16" s="238" t="n">
        <f aca="false">IF(AL15&gt;0,INT((AL15-1)/12)+1,0)</f>
        <v>0</v>
      </c>
      <c r="AM16" s="238" t="n">
        <f aca="false">IF(AM15&gt;0,INT((AM15-1)/12)+1,0)</f>
        <v>0</v>
      </c>
      <c r="AN16" s="238" t="n">
        <f aca="false">IF(AN15&gt;0,INT((AN15-1)/12)+1,0)</f>
        <v>0</v>
      </c>
      <c r="AO16" s="238" t="n">
        <f aca="false">IF(AO15&gt;0,INT((AO15-1)/12)+1,0)</f>
        <v>0</v>
      </c>
      <c r="AP16" s="238" t="n">
        <f aca="false">IF(AP15&gt;0,INT((AP15-1)/12)+1,0)</f>
        <v>0</v>
      </c>
      <c r="AQ16" s="238" t="n">
        <f aca="false">IF(AQ15&gt;0,INT((AQ15-1)/12)+1,0)</f>
        <v>0</v>
      </c>
      <c r="AR16" s="238" t="n">
        <f aca="false">IF(AR15&gt;0,INT((AR15-1)/12)+1,0)</f>
        <v>0</v>
      </c>
      <c r="AS16" s="238" t="n">
        <f aca="false">IF(AS15&gt;0,INT((AS15-1)/12)+1,0)</f>
        <v>0</v>
      </c>
      <c r="AT16" s="238" t="n">
        <f aca="false">IF(AT15&gt;0,INT((AT15-1)/12)+1,0)</f>
        <v>0</v>
      </c>
      <c r="AU16" s="238" t="n">
        <f aca="false">IF(AU15&gt;0,INT((AU15-1)/12)+1,0)</f>
        <v>0</v>
      </c>
      <c r="AV16" s="238" t="n">
        <f aca="false">IF(AV15&gt;0,INT((AV15-1)/12)+1,0)</f>
        <v>0</v>
      </c>
      <c r="AW16" s="238" t="n">
        <f aca="false">IF(AW15&gt;0,INT((AW15-1)/12)+1,0)</f>
        <v>0</v>
      </c>
      <c r="AX16" s="238" t="n">
        <f aca="false">IF(AX15&gt;0,INT((AX15-1)/12)+1,0)</f>
        <v>0</v>
      </c>
      <c r="AY16" s="238" t="n">
        <f aca="false">IF(AY15&gt;0,INT((AY15-1)/12)+1,0)</f>
        <v>0</v>
      </c>
      <c r="AZ16" s="238" t="n">
        <f aca="false">IF(AZ15&gt;0,INT((AZ15-1)/12)+1,0)</f>
        <v>0</v>
      </c>
      <c r="BA16" s="238" t="n">
        <f aca="false">IF(BA15&gt;0,INT((BA15-1)/12)+1,0)</f>
        <v>0</v>
      </c>
      <c r="BB16" s="238" t="n">
        <f aca="false">IF(BB15&gt;0,INT((BB15-1)/12)+1,0)</f>
        <v>0</v>
      </c>
      <c r="BC16" s="238" t="n">
        <f aca="false">IF(BC15&gt;0,INT((BC15-1)/12)+1,0)</f>
        <v>0</v>
      </c>
      <c r="BD16" s="238" t="n">
        <f aca="false">IF(BD15&gt;0,INT((BD15-1)/12)+1,0)</f>
        <v>0</v>
      </c>
      <c r="BE16" s="238" t="n">
        <f aca="false">IF(BE15&gt;0,INT((BE15-1)/12)+1,0)</f>
        <v>0</v>
      </c>
      <c r="BF16" s="238" t="n">
        <f aca="false">IF(BF15&gt;0,INT((BF15-1)/12)+1,0)</f>
        <v>0</v>
      </c>
      <c r="BG16" s="238" t="n">
        <f aca="false">IF(BG15&gt;0,INT((BG15-1)/12)+1,0)</f>
        <v>0</v>
      </c>
      <c r="BH16" s="238" t="n">
        <f aca="false">IF(BH15&gt;0,INT((BH15-1)/12)+1,0)</f>
        <v>0</v>
      </c>
      <c r="BI16" s="238" t="n">
        <f aca="false">IF(BI15&gt;0,INT((BI15-1)/12)+1,0)</f>
        <v>0</v>
      </c>
      <c r="BJ16" s="238" t="n">
        <f aca="false">IF(BJ15&gt;0,INT((BJ15-1)/12)+1,0)</f>
        <v>0</v>
      </c>
      <c r="BK16" s="238" t="n">
        <f aca="false">IF(BK15&gt;0,INT((BK15-1)/12)+1,0)</f>
        <v>0</v>
      </c>
      <c r="BL16" s="238" t="n">
        <f aca="false">IF(BL15&gt;0,INT((BL15-1)/12)+1,0)</f>
        <v>0</v>
      </c>
      <c r="BM16" s="238" t="n">
        <f aca="false">IF(BM15&gt;0,INT((BM15-1)/12)+1,0)</f>
        <v>1</v>
      </c>
      <c r="BN16" s="238" t="n">
        <f aca="false">IF(BN15&gt;0,INT((BN15-1)/12)+1,0)</f>
        <v>1</v>
      </c>
      <c r="BO16" s="238" t="n">
        <f aca="false">IF(BO15&gt;0,INT((BO15-1)/12)+1,0)</f>
        <v>1</v>
      </c>
      <c r="BP16" s="238" t="n">
        <f aca="false">IF(BP15&gt;0,INT((BP15-1)/12)+1,0)</f>
        <v>1</v>
      </c>
      <c r="BQ16" s="238" t="n">
        <f aca="false">IF(BQ15&gt;0,INT((BQ15-1)/12)+1,0)</f>
        <v>1</v>
      </c>
      <c r="BR16" s="238" t="n">
        <f aca="false">IF(BR15&gt;0,INT((BR15-1)/12)+1,0)</f>
        <v>1</v>
      </c>
      <c r="BS16" s="238" t="n">
        <f aca="false">IF(BS15&gt;0,INT((BS15-1)/12)+1,0)</f>
        <v>1</v>
      </c>
      <c r="BT16" s="238" t="n">
        <f aca="false">IF(BT15&gt;0,INT((BT15-1)/12)+1,0)</f>
        <v>1</v>
      </c>
      <c r="BU16" s="238" t="n">
        <f aca="false">IF(BU15&gt;0,INT((BU15-1)/12)+1,0)</f>
        <v>1</v>
      </c>
      <c r="BV16" s="238" t="n">
        <f aca="false">IF(BV15&gt;0,INT((BV15-1)/12)+1,0)</f>
        <v>1</v>
      </c>
      <c r="BW16" s="238" t="n">
        <f aca="false">IF(BW15&gt;0,INT((BW15-1)/12)+1,0)</f>
        <v>1</v>
      </c>
      <c r="BX16" s="238" t="n">
        <f aca="false">IF(BX15&gt;0,INT((BX15-1)/12)+1,0)</f>
        <v>1</v>
      </c>
      <c r="BY16" s="238" t="n">
        <f aca="false">IF(BY15&gt;0,INT((BY15-1)/12)+1,0)</f>
        <v>2</v>
      </c>
      <c r="BZ16" s="238" t="n">
        <f aca="false">IF(BZ15&gt;0,INT((BZ15-1)/12)+1,0)</f>
        <v>2</v>
      </c>
      <c r="CA16" s="238" t="n">
        <f aca="false">IF(CA15&gt;0,INT((CA15-1)/12)+1,0)</f>
        <v>2</v>
      </c>
      <c r="CB16" s="238" t="n">
        <f aca="false">IF(CB15&gt;0,INT((CB15-1)/12)+1,0)</f>
        <v>2</v>
      </c>
      <c r="CC16" s="238" t="n">
        <f aca="false">IF(CC15&gt;0,INT((CC15-1)/12)+1,0)</f>
        <v>2</v>
      </c>
      <c r="CD16" s="238" t="n">
        <f aca="false">IF(CD15&gt;0,INT((CD15-1)/12)+1,0)</f>
        <v>2</v>
      </c>
      <c r="CE16" s="238" t="n">
        <f aca="false">IF(CE15&gt;0,INT((CE15-1)/12)+1,0)</f>
        <v>2</v>
      </c>
      <c r="CF16" s="238" t="n">
        <f aca="false">IF(CF15&gt;0,INT((CF15-1)/12)+1,0)</f>
        <v>2</v>
      </c>
      <c r="CG16" s="238" t="n">
        <f aca="false">IF(CG15&gt;0,INT((CG15-1)/12)+1,0)</f>
        <v>2</v>
      </c>
      <c r="CH16" s="238" t="n">
        <f aca="false">IF(CH15&gt;0,INT((CH15-1)/12)+1,0)</f>
        <v>2</v>
      </c>
      <c r="CI16" s="238" t="n">
        <f aca="false">IF(CI15&gt;0,INT((CI15-1)/12)+1,0)</f>
        <v>2</v>
      </c>
      <c r="CJ16" s="238" t="n">
        <f aca="false">IF(CJ15&gt;0,INT((CJ15-1)/12)+1,0)</f>
        <v>2</v>
      </c>
      <c r="CK16" s="238" t="n">
        <f aca="false">IF(CK15&gt;0,INT((CK15-1)/12)+1,0)</f>
        <v>3</v>
      </c>
      <c r="CL16" s="238" t="n">
        <f aca="false">IF(CL15&gt;0,INT((CL15-1)/12)+1,0)</f>
        <v>3</v>
      </c>
      <c r="CM16" s="238" t="n">
        <f aca="false">IF(CM15&gt;0,INT((CM15-1)/12)+1,0)</f>
        <v>3</v>
      </c>
      <c r="CN16" s="238" t="n">
        <f aca="false">IF(CN15&gt;0,INT((CN15-1)/12)+1,0)</f>
        <v>3</v>
      </c>
      <c r="CO16" s="238" t="n">
        <f aca="false">IF(CO15&gt;0,INT((CO15-1)/12)+1,0)</f>
        <v>3</v>
      </c>
      <c r="CP16" s="238" t="n">
        <f aca="false">IF(CP15&gt;0,INT((CP15-1)/12)+1,0)</f>
        <v>3</v>
      </c>
      <c r="CQ16" s="238" t="n">
        <f aca="false">IF(CQ15&gt;0,INT((CQ15-1)/12)+1,0)</f>
        <v>3</v>
      </c>
      <c r="CR16" s="238" t="n">
        <f aca="false">IF(CR15&gt;0,INT((CR15-1)/12)+1,0)</f>
        <v>3</v>
      </c>
      <c r="CS16" s="238" t="n">
        <f aca="false">IF(CS15&gt;0,INT((CS15-1)/12)+1,0)</f>
        <v>3</v>
      </c>
      <c r="CT16" s="238" t="n">
        <f aca="false">IF(CT15&gt;0,INT((CT15-1)/12)+1,0)</f>
        <v>3</v>
      </c>
      <c r="CU16" s="238" t="n">
        <f aca="false">IF(CU15&gt;0,INT((CU15-1)/12)+1,0)</f>
        <v>3</v>
      </c>
      <c r="CV16" s="238" t="n">
        <f aca="false">IF(CV15&gt;0,INT((CV15-1)/12)+1,0)</f>
        <v>3</v>
      </c>
      <c r="CW16" s="238" t="n">
        <f aca="false">IF(CW15&gt;0,INT((CW15-1)/12)+1,0)</f>
        <v>4</v>
      </c>
      <c r="CX16" s="238" t="n">
        <f aca="false">IF(CX15&gt;0,INT((CX15-1)/12)+1,0)</f>
        <v>4</v>
      </c>
      <c r="CY16" s="238" t="n">
        <f aca="false">IF(CY15&gt;0,INT((CY15-1)/12)+1,0)</f>
        <v>4</v>
      </c>
      <c r="CZ16" s="238" t="n">
        <f aca="false">IF(CZ15&gt;0,INT((CZ15-1)/12)+1,0)</f>
        <v>4</v>
      </c>
      <c r="DA16" s="238" t="n">
        <f aca="false">IF(DA15&gt;0,INT((DA15-1)/12)+1,0)</f>
        <v>4</v>
      </c>
      <c r="DB16" s="238" t="n">
        <f aca="false">IF(DB15&gt;0,INT((DB15-1)/12)+1,0)</f>
        <v>4</v>
      </c>
      <c r="DC16" s="238" t="n">
        <f aca="false">IF(DC15&gt;0,INT((DC15-1)/12)+1,0)</f>
        <v>4</v>
      </c>
      <c r="DD16" s="238" t="n">
        <f aca="false">IF(DD15&gt;0,INT((DD15-1)/12)+1,0)</f>
        <v>4</v>
      </c>
      <c r="DE16" s="238" t="n">
        <f aca="false">IF(DE15&gt;0,INT((DE15-1)/12)+1,0)</f>
        <v>4</v>
      </c>
      <c r="DF16" s="238" t="n">
        <f aca="false">IF(DF15&gt;0,INT((DF15-1)/12)+1,0)</f>
        <v>4</v>
      </c>
      <c r="DG16" s="238" t="n">
        <f aca="false">IF(DG15&gt;0,INT((DG15-1)/12)+1,0)</f>
        <v>4</v>
      </c>
      <c r="DH16" s="238" t="n">
        <f aca="false">IF(DH15&gt;0,INT((DH15-1)/12)+1,0)</f>
        <v>4</v>
      </c>
      <c r="DI16" s="238" t="n">
        <f aca="false">IF(DI15&gt;0,INT((DI15-1)/12)+1,0)</f>
        <v>5</v>
      </c>
      <c r="DJ16" s="238" t="n">
        <f aca="false">IF(DJ15&gt;0,INT((DJ15-1)/12)+1,0)</f>
        <v>5</v>
      </c>
      <c r="DK16" s="238" t="n">
        <f aca="false">IF(DK15&gt;0,INT((DK15-1)/12)+1,0)</f>
        <v>5</v>
      </c>
      <c r="DL16" s="238" t="n">
        <f aca="false">IF(DL15&gt;0,INT((DL15-1)/12)+1,0)</f>
        <v>5</v>
      </c>
      <c r="DM16" s="238" t="n">
        <f aca="false">IF(DM15&gt;0,INT((DM15-1)/12)+1,0)</f>
        <v>5</v>
      </c>
      <c r="DN16" s="238" t="n">
        <f aca="false">IF(DN15&gt;0,INT((DN15-1)/12)+1,0)</f>
        <v>5</v>
      </c>
      <c r="DO16" s="238" t="n">
        <f aca="false">IF(DO15&gt;0,INT((DO15-1)/12)+1,0)</f>
        <v>5</v>
      </c>
      <c r="DP16" s="238" t="n">
        <f aca="false">IF(DP15&gt;0,INT((DP15-1)/12)+1,0)</f>
        <v>5</v>
      </c>
      <c r="DQ16" s="238" t="n">
        <f aca="false">IF(DQ15&gt;0,INT((DQ15-1)/12)+1,0)</f>
        <v>5</v>
      </c>
      <c r="DR16" s="238" t="n">
        <f aca="false">IF(DR15&gt;0,INT((DR15-1)/12)+1,0)</f>
        <v>5</v>
      </c>
      <c r="DS16" s="238" t="n">
        <f aca="false">IF(DS15&gt;0,INT((DS15-1)/12)+1,0)</f>
        <v>5</v>
      </c>
      <c r="DT16" s="238" t="n">
        <f aca="false">IF(DT15&gt;0,INT((DT15-1)/12)+1,0)</f>
        <v>5</v>
      </c>
      <c r="DU16" s="238" t="n">
        <f aca="false">IF(DU15&gt;0,INT((DU15-1)/12)+1,0)</f>
        <v>0</v>
      </c>
      <c r="DV16" s="238" t="n">
        <f aca="false">IF(DV15&gt;0,INT((DV15-1)/12)+1,0)</f>
        <v>0</v>
      </c>
      <c r="DW16" s="238" t="n">
        <f aca="false">IF(DW15&gt;0,INT((DW15-1)/12)+1,0)</f>
        <v>0</v>
      </c>
      <c r="DX16" s="238" t="n">
        <f aca="false">IF(DX15&gt;0,INT((DX15-1)/12)+1,0)</f>
        <v>0</v>
      </c>
      <c r="DY16" s="238" t="n">
        <f aca="false">IF(DY15&gt;0,INT((DY15-1)/12)+1,0)</f>
        <v>0</v>
      </c>
      <c r="DZ16" s="238" t="n">
        <f aca="false">IF(DZ15&gt;0,INT((DZ15-1)/12)+1,0)</f>
        <v>0</v>
      </c>
      <c r="EA16" s="238" t="n">
        <f aca="false">IF(EA15&gt;0,INT((EA15-1)/12)+1,0)</f>
        <v>0</v>
      </c>
      <c r="EB16" s="238" t="n">
        <f aca="false">IF(EB15&gt;0,INT((EB15-1)/12)+1,0)</f>
        <v>0</v>
      </c>
      <c r="EC16" s="238" t="n">
        <f aca="false">IF(EC15&gt;0,INT((EC15-1)/12)+1,0)</f>
        <v>0</v>
      </c>
      <c r="ED16" s="238" t="n">
        <f aca="false">IF(ED15&gt;0,INT((ED15-1)/12)+1,0)</f>
        <v>0</v>
      </c>
      <c r="EE16" s="238" t="n">
        <f aca="false">IF(EE15&gt;0,INT((EE15-1)/12)+1,0)</f>
        <v>0</v>
      </c>
      <c r="EF16" s="238" t="n">
        <f aca="false">IF(EF15&gt;0,INT((EF15-1)/12)+1,0)</f>
        <v>0</v>
      </c>
    </row>
    <row r="17" customFormat="false" ht="15" hidden="false" customHeight="false" outlineLevel="0" collapsed="false">
      <c r="A17" s="35" t="s">
        <v>489</v>
      </c>
      <c r="B17" s="236"/>
      <c r="E17" s="239" t="n">
        <f aca="false">IF(AND(E6&gt;=Assumption!$E$18,E6&lt;=Assumption!$E$24),1,0)</f>
        <v>0</v>
      </c>
      <c r="F17" s="239" t="n">
        <f aca="false">IF(AND(F6&gt;=Assumption!$E$18,F6&lt;=Assumption!$E$24),1,0)</f>
        <v>0</v>
      </c>
      <c r="G17" s="239" t="n">
        <f aca="false">IF(AND(G6&gt;=Assumption!$E$18,G6&lt;=Assumption!$E$24),1,0)</f>
        <v>0</v>
      </c>
      <c r="H17" s="239" t="n">
        <f aca="false">IF(AND(H6&gt;=Assumption!$E$18,H6&lt;=Assumption!$E$24),1,0)</f>
        <v>0</v>
      </c>
      <c r="I17" s="239" t="n">
        <f aca="false">IF(AND(I6&gt;=Assumption!$E$18,I6&lt;=Assumption!$E$24),1,0)</f>
        <v>0</v>
      </c>
      <c r="J17" s="239" t="n">
        <f aca="false">IF(AND(J6&gt;=Assumption!$E$18,J6&lt;=Assumption!$E$24),1,0)</f>
        <v>0</v>
      </c>
      <c r="K17" s="239" t="n">
        <f aca="false">IF(AND(K6&gt;=Assumption!$E$18,K6&lt;=Assumption!$E$24),1,0)</f>
        <v>0</v>
      </c>
      <c r="L17" s="239" t="n">
        <f aca="false">IF(AND(L6&gt;=Assumption!$E$18,L6&lt;=Assumption!$E$24),1,0)</f>
        <v>0</v>
      </c>
      <c r="M17" s="239" t="n">
        <f aca="false">IF(AND(M6&gt;=Assumption!$E$18,M6&lt;=Assumption!$E$24),1,0)</f>
        <v>0</v>
      </c>
      <c r="N17" s="239" t="n">
        <f aca="false">IF(AND(N6&gt;=Assumption!$E$18,N6&lt;=Assumption!$E$24),1,0)</f>
        <v>0</v>
      </c>
      <c r="O17" s="239" t="n">
        <f aca="false">IF(AND(O6&gt;=Assumption!$E$18,O6&lt;=Assumption!$E$24),1,0)</f>
        <v>0</v>
      </c>
      <c r="P17" s="239" t="n">
        <f aca="false">IF(AND(P6&gt;=Assumption!$E$18,P6&lt;=Assumption!$E$24),1,0)</f>
        <v>0</v>
      </c>
      <c r="Q17" s="239" t="n">
        <f aca="false">IF(AND(Q6&gt;=Assumption!$E$18,Q6&lt;=Assumption!$E$24),1,0)</f>
        <v>0</v>
      </c>
      <c r="R17" s="239" t="n">
        <f aca="false">IF(AND(R6&gt;=Assumption!$E$18,R6&lt;=Assumption!$E$24),1,0)</f>
        <v>0</v>
      </c>
      <c r="S17" s="239" t="n">
        <f aca="false">IF(AND(S6&gt;=Assumption!$E$18,S6&lt;=Assumption!$E$24),1,0)</f>
        <v>0</v>
      </c>
      <c r="T17" s="239" t="n">
        <f aca="false">IF(AND(T6&gt;=Assumption!$E$18,T6&lt;=Assumption!$E$24),1,0)</f>
        <v>0</v>
      </c>
      <c r="U17" s="239" t="n">
        <f aca="false">IF(AND(U6&gt;=Assumption!$E$18,U6&lt;=Assumption!$E$24),1,0)</f>
        <v>0</v>
      </c>
      <c r="V17" s="239" t="n">
        <f aca="false">IF(AND(V6&gt;=Assumption!$E$18,V6&lt;=Assumption!$E$24),1,0)</f>
        <v>0</v>
      </c>
      <c r="W17" s="239" t="n">
        <f aca="false">IF(AND(W6&gt;=Assumption!$E$18,W6&lt;=Assumption!$E$24),1,0)</f>
        <v>0</v>
      </c>
      <c r="X17" s="239" t="n">
        <f aca="false">IF(AND(X6&gt;=Assumption!$E$18,X6&lt;=Assumption!$E$24),1,0)</f>
        <v>0</v>
      </c>
      <c r="Y17" s="239" t="n">
        <f aca="false">IF(AND(Y6&gt;=Assumption!$E$18,Y6&lt;=Assumption!$E$24),1,0)</f>
        <v>0</v>
      </c>
      <c r="Z17" s="239" t="n">
        <f aca="false">IF(AND(Z6&gt;=Assumption!$E$18,Z6&lt;=Assumption!$E$24),1,0)</f>
        <v>0</v>
      </c>
      <c r="AA17" s="239" t="n">
        <f aca="false">IF(AND(AA6&gt;=Assumption!$E$18,AA6&lt;=Assumption!$E$24),1,0)</f>
        <v>0</v>
      </c>
      <c r="AB17" s="239" t="n">
        <f aca="false">IF(AND(AB6&gt;=Assumption!$E$18,AB6&lt;=Assumption!$E$24),1,0)</f>
        <v>0</v>
      </c>
      <c r="AC17" s="239" t="n">
        <f aca="false">IF(AND(AC6&gt;=Assumption!$E$18,AC6&lt;=Assumption!$E$24),1,0)</f>
        <v>0</v>
      </c>
      <c r="AD17" s="239" t="n">
        <f aca="false">IF(AND(AD6&gt;=Assumption!$E$18,AD6&lt;=Assumption!$E$24),1,0)</f>
        <v>0</v>
      </c>
      <c r="AE17" s="239" t="n">
        <f aca="false">IF(AND(AE6&gt;=Assumption!$E$18,AE6&lt;=Assumption!$E$24),1,0)</f>
        <v>0</v>
      </c>
      <c r="AF17" s="239" t="n">
        <f aca="false">IF(AND(AF6&gt;=Assumption!$E$18,AF6&lt;=Assumption!$E$24),1,0)</f>
        <v>0</v>
      </c>
      <c r="AG17" s="239" t="n">
        <f aca="false">IF(AND(AG6&gt;=Assumption!$E$18,AG6&lt;=Assumption!$E$24),1,0)</f>
        <v>0</v>
      </c>
      <c r="AH17" s="239" t="n">
        <f aca="false">IF(AND(AH6&gt;=Assumption!$E$18,AH6&lt;=Assumption!$E$24),1,0)</f>
        <v>0</v>
      </c>
      <c r="AI17" s="239" t="n">
        <f aca="false">IF(AND(AI6&gt;=Assumption!$E$18,AI6&lt;=Assumption!$E$24),1,0)</f>
        <v>0</v>
      </c>
      <c r="AJ17" s="239" t="n">
        <f aca="false">IF(AND(AJ6&gt;=Assumption!$E$18,AJ6&lt;=Assumption!$E$24),1,0)</f>
        <v>0</v>
      </c>
      <c r="AK17" s="239" t="n">
        <f aca="false">IF(AND(AK6&gt;=Assumption!$E$18,AK6&lt;=Assumption!$E$24),1,0)</f>
        <v>0</v>
      </c>
      <c r="AL17" s="239" t="n">
        <f aca="false">IF(AND(AL6&gt;=Assumption!$E$18,AL6&lt;=Assumption!$E$24),1,0)</f>
        <v>0</v>
      </c>
      <c r="AM17" s="239" t="n">
        <f aca="false">IF(AND(AM6&gt;=Assumption!$E$18,AM6&lt;=Assumption!$E$24),1,0)</f>
        <v>0</v>
      </c>
      <c r="AN17" s="239" t="n">
        <f aca="false">IF(AND(AN6&gt;=Assumption!$E$18,AN6&lt;=Assumption!$E$24),1,0)</f>
        <v>0</v>
      </c>
      <c r="AO17" s="239" t="n">
        <f aca="false">IF(AND(AO6&gt;=Assumption!$E$18,AO6&lt;=Assumption!$E$24),1,0)</f>
        <v>0</v>
      </c>
      <c r="AP17" s="239" t="n">
        <f aca="false">IF(AND(AP6&gt;=Assumption!$E$18,AP6&lt;=Assumption!$E$24),1,0)</f>
        <v>0</v>
      </c>
      <c r="AQ17" s="239" t="n">
        <f aca="false">IF(AND(AQ6&gt;=Assumption!$E$18,AQ6&lt;=Assumption!$E$24),1,0)</f>
        <v>0</v>
      </c>
      <c r="AR17" s="239" t="n">
        <f aca="false">IF(AND(AR6&gt;=Assumption!$E$18,AR6&lt;=Assumption!$E$24),1,0)</f>
        <v>0</v>
      </c>
      <c r="AS17" s="239" t="n">
        <f aca="false">IF(AND(AS6&gt;=Assumption!$E$18,AS6&lt;=Assumption!$E$24),1,0)</f>
        <v>0</v>
      </c>
      <c r="AT17" s="239" t="n">
        <f aca="false">IF(AND(AT6&gt;=Assumption!$E$18,AT6&lt;=Assumption!$E$24),1,0)</f>
        <v>0</v>
      </c>
      <c r="AU17" s="239" t="n">
        <f aca="false">IF(AND(AU6&gt;=Assumption!$E$18,AU6&lt;=Assumption!$E$24),1,0)</f>
        <v>0</v>
      </c>
      <c r="AV17" s="239" t="n">
        <f aca="false">IF(AND(AV6&gt;=Assumption!$E$18,AV6&lt;=Assumption!$E$24),1,0)</f>
        <v>0</v>
      </c>
      <c r="AW17" s="239" t="n">
        <f aca="false">IF(AND(AW6&gt;=Assumption!$E$18,AW6&lt;=Assumption!$E$24),1,0)</f>
        <v>0</v>
      </c>
      <c r="AX17" s="239" t="n">
        <f aca="false">IF(AND(AX6&gt;=Assumption!$E$18,AX6&lt;=Assumption!$E$24),1,0)</f>
        <v>0</v>
      </c>
      <c r="AY17" s="239" t="n">
        <f aca="false">IF(AND(AY6&gt;=Assumption!$E$18,AY6&lt;=Assumption!$E$24),1,0)</f>
        <v>0</v>
      </c>
      <c r="AZ17" s="239" t="n">
        <f aca="false">IF(AND(AZ6&gt;=Assumption!$E$18,AZ6&lt;=Assumption!$E$24),1,0)</f>
        <v>0</v>
      </c>
      <c r="BA17" s="239" t="n">
        <f aca="false">IF(AND(BA6&gt;=Assumption!$E$18,BA6&lt;=Assumption!$E$24),1,0)</f>
        <v>0</v>
      </c>
      <c r="BB17" s="239" t="n">
        <f aca="false">IF(AND(BB6&gt;=Assumption!$E$18,BB6&lt;=Assumption!$E$24),1,0)</f>
        <v>0</v>
      </c>
      <c r="BC17" s="239" t="n">
        <f aca="false">IF(AND(BC6&gt;=Assumption!$E$18,BC6&lt;=Assumption!$E$24),1,0)</f>
        <v>0</v>
      </c>
      <c r="BD17" s="239" t="n">
        <f aca="false">IF(AND(BD6&gt;=Assumption!$E$18,BD6&lt;=Assumption!$E$24),1,0)</f>
        <v>0</v>
      </c>
      <c r="BE17" s="239" t="n">
        <f aca="false">IF(AND(BE6&gt;=Assumption!$E$18,BE6&lt;=Assumption!$E$24),1,0)</f>
        <v>0</v>
      </c>
      <c r="BF17" s="239" t="n">
        <f aca="false">IF(AND(BF6&gt;=Assumption!$E$18,BF6&lt;=Assumption!$E$24),1,0)</f>
        <v>0</v>
      </c>
      <c r="BG17" s="239" t="n">
        <f aca="false">IF(AND(BG6&gt;=Assumption!$E$18,BG6&lt;=Assumption!$E$24),1,0)</f>
        <v>0</v>
      </c>
      <c r="BH17" s="239" t="n">
        <f aca="false">IF(AND(BH6&gt;=Assumption!$E$18,BH6&lt;=Assumption!$E$24),1,0)</f>
        <v>0</v>
      </c>
      <c r="BI17" s="239" t="n">
        <f aca="false">IF(AND(BI6&gt;=Assumption!$E$18,BI6&lt;=Assumption!$E$24),1,0)</f>
        <v>0</v>
      </c>
      <c r="BJ17" s="239" t="n">
        <f aca="false">IF(AND(BJ6&gt;=Assumption!$E$18,BJ6&lt;=Assumption!$E$24),1,0)</f>
        <v>0</v>
      </c>
      <c r="BK17" s="239" t="n">
        <f aca="false">IF(AND(BK6&gt;=Assumption!$E$18,BK6&lt;=Assumption!$E$24),1,0)</f>
        <v>0</v>
      </c>
      <c r="BL17" s="239" t="n">
        <f aca="false">IF(AND(BL6&gt;=Assumption!$E$18,BL6&lt;=Assumption!$E$24),1,0)</f>
        <v>0</v>
      </c>
      <c r="BM17" s="239" t="n">
        <f aca="false">IF(AND(BM6&gt;=Assumption!$E$18,BM6&lt;=Assumption!$E$24),1,0)</f>
        <v>1</v>
      </c>
      <c r="BN17" s="239" t="n">
        <f aca="false">IF(AND(BN6&gt;=Assumption!$E$18,BN6&lt;=Assumption!$E$24),1,0)</f>
        <v>1</v>
      </c>
      <c r="BO17" s="239" t="n">
        <f aca="false">IF(AND(BO6&gt;=Assumption!$E$18,BO6&lt;=Assumption!$E$24),1,0)</f>
        <v>1</v>
      </c>
      <c r="BP17" s="239" t="n">
        <f aca="false">IF(AND(BP6&gt;=Assumption!$E$18,BP6&lt;=Assumption!$E$24),1,0)</f>
        <v>1</v>
      </c>
      <c r="BQ17" s="239" t="n">
        <f aca="false">IF(AND(BQ6&gt;=Assumption!$E$18,BQ6&lt;=Assumption!$E$24),1,0)</f>
        <v>1</v>
      </c>
      <c r="BR17" s="239" t="n">
        <f aca="false">IF(AND(BR6&gt;=Assumption!$E$18,BR6&lt;=Assumption!$E$24),1,0)</f>
        <v>1</v>
      </c>
      <c r="BS17" s="239" t="n">
        <f aca="false">IF(AND(BS6&gt;=Assumption!$E$18,BS6&lt;=Assumption!$E$24),1,0)</f>
        <v>1</v>
      </c>
      <c r="BT17" s="239" t="n">
        <f aca="false">IF(AND(BT6&gt;=Assumption!$E$18,BT6&lt;=Assumption!$E$24),1,0)</f>
        <v>1</v>
      </c>
      <c r="BU17" s="239" t="n">
        <f aca="false">IF(AND(BU6&gt;=Assumption!$E$18,BU6&lt;=Assumption!$E$24),1,0)</f>
        <v>1</v>
      </c>
      <c r="BV17" s="239" t="n">
        <f aca="false">IF(AND(BV6&gt;=Assumption!$E$18,BV6&lt;=Assumption!$E$24),1,0)</f>
        <v>1</v>
      </c>
      <c r="BW17" s="239" t="n">
        <f aca="false">IF(AND(BW6&gt;=Assumption!$E$18,BW6&lt;=Assumption!$E$24),1,0)</f>
        <v>1</v>
      </c>
      <c r="BX17" s="239" t="n">
        <f aca="false">IF(AND(BX6&gt;=Assumption!$E$18,BX6&lt;=Assumption!$E$24),1,0)</f>
        <v>1</v>
      </c>
      <c r="BY17" s="239" t="n">
        <f aca="false">IF(AND(BY6&gt;=Assumption!$E$18,BY6&lt;=Assumption!$E$24),1,0)</f>
        <v>1</v>
      </c>
      <c r="BZ17" s="239" t="n">
        <f aca="false">IF(AND(BZ6&gt;=Assumption!$E$18,BZ6&lt;=Assumption!$E$24),1,0)</f>
        <v>1</v>
      </c>
      <c r="CA17" s="239" t="n">
        <f aca="false">IF(AND(CA6&gt;=Assumption!$E$18,CA6&lt;=Assumption!$E$24),1,0)</f>
        <v>1</v>
      </c>
      <c r="CB17" s="239" t="n">
        <f aca="false">IF(AND(CB6&gt;=Assumption!$E$18,CB6&lt;=Assumption!$E$24),1,0)</f>
        <v>1</v>
      </c>
      <c r="CC17" s="239" t="n">
        <f aca="false">IF(AND(CC6&gt;=Assumption!$E$18,CC6&lt;=Assumption!$E$24),1,0)</f>
        <v>1</v>
      </c>
      <c r="CD17" s="239" t="n">
        <f aca="false">IF(AND(CD6&gt;=Assumption!$E$18,CD6&lt;=Assumption!$E$24),1,0)</f>
        <v>1</v>
      </c>
      <c r="CE17" s="239" t="n">
        <f aca="false">IF(AND(CE6&gt;=Assumption!$E$18,CE6&lt;=Assumption!$E$24),1,0)</f>
        <v>1</v>
      </c>
      <c r="CF17" s="239" t="n">
        <f aca="false">IF(AND(CF6&gt;=Assumption!$E$18,CF6&lt;=Assumption!$E$24),1,0)</f>
        <v>1</v>
      </c>
      <c r="CG17" s="239" t="n">
        <f aca="false">IF(AND(CG6&gt;=Assumption!$E$18,CG6&lt;=Assumption!$E$24),1,0)</f>
        <v>1</v>
      </c>
      <c r="CH17" s="239" t="n">
        <f aca="false">IF(AND(CH6&gt;=Assumption!$E$18,CH6&lt;=Assumption!$E$24),1,0)</f>
        <v>1</v>
      </c>
      <c r="CI17" s="239" t="n">
        <f aca="false">IF(AND(CI6&gt;=Assumption!$E$18,CI6&lt;=Assumption!$E$24),1,0)</f>
        <v>1</v>
      </c>
      <c r="CJ17" s="239" t="n">
        <f aca="false">IF(AND(CJ6&gt;=Assumption!$E$18,CJ6&lt;=Assumption!$E$24),1,0)</f>
        <v>1</v>
      </c>
      <c r="CK17" s="239" t="n">
        <f aca="false">IF(AND(CK6&gt;=Assumption!$E$18,CK6&lt;=Assumption!$E$24),1,0)</f>
        <v>1</v>
      </c>
      <c r="CL17" s="239" t="n">
        <f aca="false">IF(AND(CL6&gt;=Assumption!$E$18,CL6&lt;=Assumption!$E$24),1,0)</f>
        <v>1</v>
      </c>
      <c r="CM17" s="239" t="n">
        <f aca="false">IF(AND(CM6&gt;=Assumption!$E$18,CM6&lt;=Assumption!$E$24),1,0)</f>
        <v>1</v>
      </c>
      <c r="CN17" s="239" t="n">
        <f aca="false">IF(AND(CN6&gt;=Assumption!$E$18,CN6&lt;=Assumption!$E$24),1,0)</f>
        <v>1</v>
      </c>
      <c r="CO17" s="239" t="n">
        <f aca="false">IF(AND(CO6&gt;=Assumption!$E$18,CO6&lt;=Assumption!$E$24),1,0)</f>
        <v>1</v>
      </c>
      <c r="CP17" s="239" t="n">
        <f aca="false">IF(AND(CP6&gt;=Assumption!$E$18,CP6&lt;=Assumption!$E$24),1,0)</f>
        <v>1</v>
      </c>
      <c r="CQ17" s="239" t="n">
        <f aca="false">IF(AND(CQ6&gt;=Assumption!$E$18,CQ6&lt;=Assumption!$E$24),1,0)</f>
        <v>1</v>
      </c>
      <c r="CR17" s="239" t="n">
        <f aca="false">IF(AND(CR6&gt;=Assumption!$E$18,CR6&lt;=Assumption!$E$24),1,0)</f>
        <v>1</v>
      </c>
      <c r="CS17" s="239" t="n">
        <f aca="false">IF(AND(CS6&gt;=Assumption!$E$18,CS6&lt;=Assumption!$E$24),1,0)</f>
        <v>1</v>
      </c>
      <c r="CT17" s="239" t="n">
        <f aca="false">IF(AND(CT6&gt;=Assumption!$E$18,CT6&lt;=Assumption!$E$24),1,0)</f>
        <v>1</v>
      </c>
      <c r="CU17" s="239" t="n">
        <f aca="false">IF(AND(CU6&gt;=Assumption!$E$18,CU6&lt;=Assumption!$E$24),1,0)</f>
        <v>1</v>
      </c>
      <c r="CV17" s="239" t="n">
        <f aca="false">IF(AND(CV6&gt;=Assumption!$E$18,CV6&lt;=Assumption!$E$24),1,0)</f>
        <v>1</v>
      </c>
      <c r="CW17" s="239" t="n">
        <f aca="false">IF(AND(CW6&gt;=Assumption!$E$18,CW6&lt;=Assumption!$E$24),1,0)</f>
        <v>1</v>
      </c>
      <c r="CX17" s="239" t="n">
        <f aca="false">IF(AND(CX6&gt;=Assumption!$E$18,CX6&lt;=Assumption!$E$24),1,0)</f>
        <v>1</v>
      </c>
      <c r="CY17" s="239" t="n">
        <f aca="false">IF(AND(CY6&gt;=Assumption!$E$18,CY6&lt;=Assumption!$E$24),1,0)</f>
        <v>1</v>
      </c>
      <c r="CZ17" s="239" t="n">
        <f aca="false">IF(AND(CZ6&gt;=Assumption!$E$18,CZ6&lt;=Assumption!$E$24),1,0)</f>
        <v>1</v>
      </c>
      <c r="DA17" s="239" t="n">
        <f aca="false">IF(AND(DA6&gt;=Assumption!$E$18,DA6&lt;=Assumption!$E$24),1,0)</f>
        <v>1</v>
      </c>
      <c r="DB17" s="239" t="n">
        <f aca="false">IF(AND(DB6&gt;=Assumption!$E$18,DB6&lt;=Assumption!$E$24),1,0)</f>
        <v>1</v>
      </c>
      <c r="DC17" s="239" t="n">
        <f aca="false">IF(AND(DC6&gt;=Assumption!$E$18,DC6&lt;=Assumption!$E$24),1,0)</f>
        <v>1</v>
      </c>
      <c r="DD17" s="239" t="n">
        <f aca="false">IF(AND(DD6&gt;=Assumption!$E$18,DD6&lt;=Assumption!$E$24),1,0)</f>
        <v>1</v>
      </c>
      <c r="DE17" s="239" t="n">
        <f aca="false">IF(AND(DE6&gt;=Assumption!$E$18,DE6&lt;=Assumption!$E$24),1,0)</f>
        <v>1</v>
      </c>
      <c r="DF17" s="239" t="n">
        <f aca="false">IF(AND(DF6&gt;=Assumption!$E$18,DF6&lt;=Assumption!$E$24),1,0)</f>
        <v>1</v>
      </c>
      <c r="DG17" s="239" t="n">
        <f aca="false">IF(AND(DG6&gt;=Assumption!$E$18,DG6&lt;=Assumption!$E$24),1,0)</f>
        <v>1</v>
      </c>
      <c r="DH17" s="239" t="n">
        <f aca="false">IF(AND(DH6&gt;=Assumption!$E$18,DH6&lt;=Assumption!$E$24),1,0)</f>
        <v>1</v>
      </c>
      <c r="DI17" s="239" t="n">
        <f aca="false">IF(AND(DI6&gt;=Assumption!$E$18,DI6&lt;=Assumption!$E$24),1,0)</f>
        <v>1</v>
      </c>
      <c r="DJ17" s="239" t="n">
        <f aca="false">IF(AND(DJ6&gt;=Assumption!$E$18,DJ6&lt;=Assumption!$E$24),1,0)</f>
        <v>1</v>
      </c>
      <c r="DK17" s="239" t="n">
        <f aca="false">IF(AND(DK6&gt;=Assumption!$E$18,DK6&lt;=Assumption!$E$24),1,0)</f>
        <v>1</v>
      </c>
      <c r="DL17" s="239" t="n">
        <f aca="false">IF(AND(DL6&gt;=Assumption!$E$18,DL6&lt;=Assumption!$E$24),1,0)</f>
        <v>1</v>
      </c>
      <c r="DM17" s="239" t="n">
        <f aca="false">IF(AND(DM6&gt;=Assumption!$E$18,DM6&lt;=Assumption!$E$24),1,0)</f>
        <v>1</v>
      </c>
      <c r="DN17" s="239" t="n">
        <f aca="false">IF(AND(DN6&gt;=Assumption!$E$18,DN6&lt;=Assumption!$E$24),1,0)</f>
        <v>1</v>
      </c>
      <c r="DO17" s="239" t="n">
        <f aca="false">IF(AND(DO6&gt;=Assumption!$E$18,DO6&lt;=Assumption!$E$24),1,0)</f>
        <v>1</v>
      </c>
      <c r="DP17" s="239" t="n">
        <f aca="false">IF(AND(DP6&gt;=Assumption!$E$18,DP6&lt;=Assumption!$E$24),1,0)</f>
        <v>1</v>
      </c>
      <c r="DQ17" s="239" t="n">
        <f aca="false">IF(AND(DQ6&gt;=Assumption!$E$18,DQ6&lt;=Assumption!$E$24),1,0)</f>
        <v>1</v>
      </c>
      <c r="DR17" s="239" t="n">
        <f aca="false">IF(AND(DR6&gt;=Assumption!$E$18,DR6&lt;=Assumption!$E$24),1,0)</f>
        <v>1</v>
      </c>
      <c r="DS17" s="239" t="n">
        <f aca="false">IF(AND(DS6&gt;=Assumption!$E$18,DS6&lt;=Assumption!$E$24),1,0)</f>
        <v>1</v>
      </c>
      <c r="DT17" s="239" t="n">
        <f aca="false">IF(AND(DT6&gt;=Assumption!$E$18,DT6&lt;=Assumption!$E$24),1,0)</f>
        <v>1</v>
      </c>
      <c r="DU17" s="239" t="n">
        <f aca="false">IF(AND(DU6&gt;=Assumption!$E$18,DU6&lt;=Assumption!$E$24),1,0)</f>
        <v>1</v>
      </c>
      <c r="DV17" s="239" t="n">
        <f aca="false">IF(AND(DV6&gt;=Assumption!$E$18,DV6&lt;=Assumption!$E$24),1,0)</f>
        <v>1</v>
      </c>
      <c r="DW17" s="239" t="n">
        <f aca="false">IF(AND(DW6&gt;=Assumption!$E$18,DW6&lt;=Assumption!$E$24),1,0)</f>
        <v>1</v>
      </c>
      <c r="DX17" s="239" t="n">
        <f aca="false">IF(AND(DX6&gt;=Assumption!$E$18,DX6&lt;=Assumption!$E$24),1,0)</f>
        <v>0</v>
      </c>
      <c r="DY17" s="239" t="n">
        <f aca="false">IF(AND(DY6&gt;=Assumption!$E$18,DY6&lt;=Assumption!$E$24),1,0)</f>
        <v>0</v>
      </c>
      <c r="DZ17" s="239" t="n">
        <f aca="false">IF(AND(DZ6&gt;=Assumption!$E$18,DZ6&lt;=Assumption!$E$24),1,0)</f>
        <v>0</v>
      </c>
      <c r="EA17" s="239" t="n">
        <f aca="false">IF(AND(EA6&gt;=Assumption!$E$18,EA6&lt;=Assumption!$E$24),1,0)</f>
        <v>0</v>
      </c>
      <c r="EB17" s="239" t="n">
        <f aca="false">IF(AND(EB6&gt;=Assumption!$E$18,EB6&lt;=Assumption!$E$24),1,0)</f>
        <v>0</v>
      </c>
      <c r="EC17" s="239" t="n">
        <f aca="false">IF(AND(EC6&gt;=Assumption!$E$18,EC6&lt;=Assumption!$E$24),1,0)</f>
        <v>0</v>
      </c>
      <c r="ED17" s="239" t="n">
        <f aca="false">IF(AND(ED6&gt;=Assumption!$E$18,ED6&lt;=Assumption!$E$24),1,0)</f>
        <v>0</v>
      </c>
      <c r="EE17" s="239" t="n">
        <f aca="false">IF(AND(EE6&gt;=Assumption!$E$18,EE6&lt;=Assumption!$E$24),1,0)</f>
        <v>0</v>
      </c>
      <c r="EF17" s="239" t="n">
        <f aca="false">IF(AND(EF6&gt;=Assumption!$E$18,EF6&lt;=Assumption!$E$24),1,0)</f>
        <v>0</v>
      </c>
    </row>
    <row r="18" customFormat="false" ht="15" hidden="false" customHeight="false" outlineLevel="0" collapsed="false">
      <c r="A18" s="35" t="s">
        <v>490</v>
      </c>
      <c r="B18" s="241" t="s">
        <v>491</v>
      </c>
      <c r="E18" s="238" t="n">
        <f aca="false">DAY(E6)</f>
        <v>31</v>
      </c>
      <c r="F18" s="238" t="n">
        <f aca="false">DAY(F6)</f>
        <v>30</v>
      </c>
      <c r="G18" s="238" t="n">
        <f aca="false">DAY(G6)</f>
        <v>31</v>
      </c>
      <c r="H18" s="238" t="n">
        <f aca="false">DAY(H6)</f>
        <v>30</v>
      </c>
      <c r="I18" s="238" t="n">
        <f aca="false">DAY(I6)</f>
        <v>31</v>
      </c>
      <c r="J18" s="238" t="n">
        <f aca="false">DAY(J6)</f>
        <v>31</v>
      </c>
      <c r="K18" s="238" t="n">
        <f aca="false">DAY(K6)</f>
        <v>30</v>
      </c>
      <c r="L18" s="238" t="n">
        <f aca="false">DAY(L6)</f>
        <v>31</v>
      </c>
      <c r="M18" s="238" t="n">
        <f aca="false">DAY(M6)</f>
        <v>30</v>
      </c>
      <c r="N18" s="238" t="n">
        <f aca="false">DAY(N6)</f>
        <v>31</v>
      </c>
      <c r="O18" s="238" t="n">
        <f aca="false">DAY(O6)</f>
        <v>31</v>
      </c>
      <c r="P18" s="238" t="n">
        <f aca="false">DAY(P6)</f>
        <v>28</v>
      </c>
      <c r="Q18" s="238" t="n">
        <f aca="false">DAY(Q6)</f>
        <v>31</v>
      </c>
      <c r="R18" s="238" t="n">
        <f aca="false">DAY(R6)</f>
        <v>30</v>
      </c>
      <c r="S18" s="238" t="n">
        <f aca="false">DAY(S6)</f>
        <v>31</v>
      </c>
      <c r="T18" s="238" t="n">
        <f aca="false">DAY(T6)</f>
        <v>30</v>
      </c>
      <c r="U18" s="238" t="n">
        <f aca="false">DAY(U6)</f>
        <v>31</v>
      </c>
      <c r="V18" s="238" t="n">
        <f aca="false">DAY(V6)</f>
        <v>31</v>
      </c>
      <c r="W18" s="238" t="n">
        <f aca="false">DAY(W6)</f>
        <v>30</v>
      </c>
      <c r="X18" s="238" t="n">
        <f aca="false">DAY(X6)</f>
        <v>31</v>
      </c>
      <c r="Y18" s="238" t="n">
        <f aca="false">DAY(Y6)</f>
        <v>30</v>
      </c>
      <c r="Z18" s="238" t="n">
        <f aca="false">DAY(Z6)</f>
        <v>31</v>
      </c>
      <c r="AA18" s="238" t="n">
        <f aca="false">DAY(AA6)</f>
        <v>31</v>
      </c>
      <c r="AB18" s="238" t="n">
        <f aca="false">DAY(AB6)</f>
        <v>29</v>
      </c>
      <c r="AC18" s="238" t="n">
        <f aca="false">DAY(AC6)</f>
        <v>31</v>
      </c>
      <c r="AD18" s="238" t="n">
        <f aca="false">DAY(AD6)</f>
        <v>30</v>
      </c>
      <c r="AE18" s="238" t="n">
        <f aca="false">DAY(AE6)</f>
        <v>31</v>
      </c>
      <c r="AF18" s="238" t="n">
        <f aca="false">DAY(AF6)</f>
        <v>30</v>
      </c>
      <c r="AG18" s="238" t="n">
        <f aca="false">DAY(AG6)</f>
        <v>31</v>
      </c>
      <c r="AH18" s="238" t="n">
        <f aca="false">DAY(AH6)</f>
        <v>31</v>
      </c>
      <c r="AI18" s="238" t="n">
        <f aca="false">DAY(AI6)</f>
        <v>30</v>
      </c>
      <c r="AJ18" s="238" t="n">
        <f aca="false">DAY(AJ6)</f>
        <v>31</v>
      </c>
      <c r="AK18" s="238" t="n">
        <f aca="false">DAY(AK6)</f>
        <v>30</v>
      </c>
      <c r="AL18" s="238" t="n">
        <f aca="false">DAY(AL6)</f>
        <v>31</v>
      </c>
      <c r="AM18" s="238" t="n">
        <f aca="false">DAY(AM6)</f>
        <v>31</v>
      </c>
      <c r="AN18" s="238" t="n">
        <f aca="false">DAY(AN6)</f>
        <v>28</v>
      </c>
      <c r="AO18" s="238" t="n">
        <f aca="false">DAY(AO6)</f>
        <v>31</v>
      </c>
      <c r="AP18" s="238" t="n">
        <f aca="false">DAY(AP6)</f>
        <v>30</v>
      </c>
      <c r="AQ18" s="238" t="n">
        <f aca="false">DAY(AQ6)</f>
        <v>31</v>
      </c>
      <c r="AR18" s="238" t="n">
        <f aca="false">DAY(AR6)</f>
        <v>30</v>
      </c>
      <c r="AS18" s="238" t="n">
        <f aca="false">DAY(AS6)</f>
        <v>31</v>
      </c>
      <c r="AT18" s="238" t="n">
        <f aca="false">DAY(AT6)</f>
        <v>31</v>
      </c>
      <c r="AU18" s="238" t="n">
        <f aca="false">DAY(AU6)</f>
        <v>30</v>
      </c>
      <c r="AV18" s="238" t="n">
        <f aca="false">DAY(AV6)</f>
        <v>31</v>
      </c>
      <c r="AW18" s="238" t="n">
        <f aca="false">DAY(AW6)</f>
        <v>30</v>
      </c>
      <c r="AX18" s="238" t="n">
        <f aca="false">DAY(AX6)</f>
        <v>31</v>
      </c>
      <c r="AY18" s="238" t="n">
        <f aca="false">DAY(AY6)</f>
        <v>31</v>
      </c>
      <c r="AZ18" s="238" t="n">
        <f aca="false">DAY(AZ6)</f>
        <v>28</v>
      </c>
      <c r="BA18" s="238" t="n">
        <f aca="false">DAY(BA6)</f>
        <v>31</v>
      </c>
      <c r="BB18" s="238" t="n">
        <f aca="false">DAY(BB6)</f>
        <v>30</v>
      </c>
      <c r="BC18" s="238" t="n">
        <f aca="false">DAY(BC6)</f>
        <v>31</v>
      </c>
      <c r="BD18" s="238" t="n">
        <f aca="false">DAY(BD6)</f>
        <v>30</v>
      </c>
      <c r="BE18" s="238" t="n">
        <f aca="false">DAY(BE6)</f>
        <v>31</v>
      </c>
      <c r="BF18" s="238" t="n">
        <f aca="false">DAY(BF6)</f>
        <v>31</v>
      </c>
      <c r="BG18" s="238" t="n">
        <f aca="false">DAY(BG6)</f>
        <v>30</v>
      </c>
      <c r="BH18" s="238" t="n">
        <f aca="false">DAY(BH6)</f>
        <v>31</v>
      </c>
      <c r="BI18" s="238" t="n">
        <f aca="false">DAY(BI6)</f>
        <v>30</v>
      </c>
      <c r="BJ18" s="238" t="n">
        <f aca="false">DAY(BJ6)</f>
        <v>31</v>
      </c>
      <c r="BK18" s="238" t="n">
        <f aca="false">DAY(BK6)</f>
        <v>31</v>
      </c>
      <c r="BL18" s="238" t="n">
        <f aca="false">DAY(BL6)</f>
        <v>28</v>
      </c>
      <c r="BM18" s="238" t="n">
        <f aca="false">DAY(BM6)</f>
        <v>31</v>
      </c>
      <c r="BN18" s="238" t="n">
        <f aca="false">DAY(BN6)</f>
        <v>30</v>
      </c>
      <c r="BO18" s="238" t="n">
        <f aca="false">DAY(BO6)</f>
        <v>31</v>
      </c>
      <c r="BP18" s="238" t="n">
        <f aca="false">DAY(BP6)</f>
        <v>30</v>
      </c>
      <c r="BQ18" s="238" t="n">
        <f aca="false">DAY(BQ6)</f>
        <v>31</v>
      </c>
      <c r="BR18" s="238" t="n">
        <f aca="false">DAY(BR6)</f>
        <v>31</v>
      </c>
      <c r="BS18" s="238" t="n">
        <f aca="false">DAY(BS6)</f>
        <v>30</v>
      </c>
      <c r="BT18" s="238" t="n">
        <f aca="false">DAY(BT6)</f>
        <v>31</v>
      </c>
      <c r="BU18" s="238" t="n">
        <f aca="false">DAY(BU6)</f>
        <v>30</v>
      </c>
      <c r="BV18" s="238" t="n">
        <f aca="false">DAY(BV6)</f>
        <v>31</v>
      </c>
      <c r="BW18" s="238" t="n">
        <f aca="false">DAY(BW6)</f>
        <v>31</v>
      </c>
      <c r="BX18" s="238" t="n">
        <f aca="false">DAY(BX6)</f>
        <v>29</v>
      </c>
      <c r="BY18" s="238" t="n">
        <f aca="false">DAY(BY6)</f>
        <v>31</v>
      </c>
      <c r="BZ18" s="238" t="n">
        <f aca="false">DAY(BZ6)</f>
        <v>30</v>
      </c>
      <c r="CA18" s="238" t="n">
        <f aca="false">DAY(CA6)</f>
        <v>31</v>
      </c>
      <c r="CB18" s="238" t="n">
        <f aca="false">DAY(CB6)</f>
        <v>30</v>
      </c>
      <c r="CC18" s="238" t="n">
        <f aca="false">DAY(CC6)</f>
        <v>31</v>
      </c>
      <c r="CD18" s="238" t="n">
        <f aca="false">DAY(CD6)</f>
        <v>31</v>
      </c>
      <c r="CE18" s="238" t="n">
        <f aca="false">DAY(CE6)</f>
        <v>30</v>
      </c>
      <c r="CF18" s="238" t="n">
        <f aca="false">DAY(CF6)</f>
        <v>31</v>
      </c>
      <c r="CG18" s="238" t="n">
        <f aca="false">DAY(CG6)</f>
        <v>30</v>
      </c>
      <c r="CH18" s="238" t="n">
        <f aca="false">DAY(CH6)</f>
        <v>31</v>
      </c>
      <c r="CI18" s="238" t="n">
        <f aca="false">DAY(CI6)</f>
        <v>31</v>
      </c>
      <c r="CJ18" s="238" t="n">
        <f aca="false">DAY(CJ6)</f>
        <v>28</v>
      </c>
      <c r="CK18" s="238" t="n">
        <f aca="false">DAY(CK6)</f>
        <v>31</v>
      </c>
      <c r="CL18" s="238" t="n">
        <f aca="false">DAY(CL6)</f>
        <v>30</v>
      </c>
      <c r="CM18" s="238" t="n">
        <f aca="false">DAY(CM6)</f>
        <v>31</v>
      </c>
      <c r="CN18" s="238" t="n">
        <f aca="false">DAY(CN6)</f>
        <v>30</v>
      </c>
      <c r="CO18" s="238" t="n">
        <f aca="false">DAY(CO6)</f>
        <v>31</v>
      </c>
      <c r="CP18" s="238" t="n">
        <f aca="false">DAY(CP6)</f>
        <v>31</v>
      </c>
      <c r="CQ18" s="238" t="n">
        <f aca="false">DAY(CQ6)</f>
        <v>30</v>
      </c>
      <c r="CR18" s="238" t="n">
        <f aca="false">DAY(CR6)</f>
        <v>31</v>
      </c>
      <c r="CS18" s="238" t="n">
        <f aca="false">DAY(CS6)</f>
        <v>30</v>
      </c>
      <c r="CT18" s="238" t="n">
        <f aca="false">DAY(CT6)</f>
        <v>31</v>
      </c>
      <c r="CU18" s="238" t="n">
        <f aca="false">DAY(CU6)</f>
        <v>31</v>
      </c>
      <c r="CV18" s="238" t="n">
        <f aca="false">DAY(CV6)</f>
        <v>28</v>
      </c>
      <c r="CW18" s="238" t="n">
        <f aca="false">DAY(CW6)</f>
        <v>31</v>
      </c>
      <c r="CX18" s="238" t="n">
        <f aca="false">DAY(CX6)</f>
        <v>30</v>
      </c>
      <c r="CY18" s="238" t="n">
        <f aca="false">DAY(CY6)</f>
        <v>31</v>
      </c>
      <c r="CZ18" s="238" t="n">
        <f aca="false">DAY(CZ6)</f>
        <v>30</v>
      </c>
      <c r="DA18" s="238" t="n">
        <f aca="false">DAY(DA6)</f>
        <v>31</v>
      </c>
      <c r="DB18" s="238" t="n">
        <f aca="false">DAY(DB6)</f>
        <v>31</v>
      </c>
      <c r="DC18" s="238" t="n">
        <f aca="false">DAY(DC6)</f>
        <v>30</v>
      </c>
      <c r="DD18" s="238" t="n">
        <f aca="false">DAY(DD6)</f>
        <v>31</v>
      </c>
      <c r="DE18" s="238" t="n">
        <f aca="false">DAY(DE6)</f>
        <v>30</v>
      </c>
      <c r="DF18" s="238" t="n">
        <f aca="false">DAY(DF6)</f>
        <v>31</v>
      </c>
      <c r="DG18" s="238" t="n">
        <f aca="false">DAY(DG6)</f>
        <v>31</v>
      </c>
      <c r="DH18" s="238" t="n">
        <f aca="false">DAY(DH6)</f>
        <v>28</v>
      </c>
      <c r="DI18" s="238" t="n">
        <f aca="false">DAY(DI6)</f>
        <v>31</v>
      </c>
      <c r="DJ18" s="238" t="n">
        <f aca="false">DAY(DJ6)</f>
        <v>30</v>
      </c>
      <c r="DK18" s="238" t="n">
        <f aca="false">DAY(DK6)</f>
        <v>31</v>
      </c>
      <c r="DL18" s="238" t="n">
        <f aca="false">DAY(DL6)</f>
        <v>30</v>
      </c>
      <c r="DM18" s="238" t="n">
        <f aca="false">DAY(DM6)</f>
        <v>31</v>
      </c>
      <c r="DN18" s="238" t="n">
        <f aca="false">DAY(DN6)</f>
        <v>31</v>
      </c>
      <c r="DO18" s="238" t="n">
        <f aca="false">DAY(DO6)</f>
        <v>30</v>
      </c>
      <c r="DP18" s="238" t="n">
        <f aca="false">DAY(DP6)</f>
        <v>31</v>
      </c>
      <c r="DQ18" s="238" t="n">
        <f aca="false">DAY(DQ6)</f>
        <v>30</v>
      </c>
      <c r="DR18" s="238" t="n">
        <f aca="false">DAY(DR6)</f>
        <v>31</v>
      </c>
      <c r="DS18" s="238" t="n">
        <f aca="false">DAY(DS6)</f>
        <v>31</v>
      </c>
      <c r="DT18" s="238" t="n">
        <f aca="false">DAY(DT6)</f>
        <v>29</v>
      </c>
      <c r="DU18" s="238" t="n">
        <f aca="false">DAY(DU6)</f>
        <v>31</v>
      </c>
      <c r="DV18" s="238" t="n">
        <f aca="false">DAY(DV6)</f>
        <v>30</v>
      </c>
      <c r="DW18" s="238" t="n">
        <f aca="false">DAY(DW6)</f>
        <v>31</v>
      </c>
      <c r="DX18" s="238" t="n">
        <f aca="false">DAY(DX6)</f>
        <v>30</v>
      </c>
      <c r="DY18" s="238" t="n">
        <f aca="false">DAY(DY6)</f>
        <v>31</v>
      </c>
      <c r="DZ18" s="238" t="n">
        <f aca="false">DAY(DZ6)</f>
        <v>31</v>
      </c>
      <c r="EA18" s="238" t="n">
        <f aca="false">DAY(EA6)</f>
        <v>30</v>
      </c>
      <c r="EB18" s="238" t="n">
        <f aca="false">DAY(EB6)</f>
        <v>31</v>
      </c>
      <c r="EC18" s="238" t="n">
        <f aca="false">DAY(EC6)</f>
        <v>30</v>
      </c>
      <c r="ED18" s="238" t="n">
        <f aca="false">DAY(ED6)</f>
        <v>31</v>
      </c>
      <c r="EE18" s="238" t="n">
        <f aca="false">DAY(EE6)</f>
        <v>31</v>
      </c>
      <c r="EF18" s="238" t="n">
        <f aca="false">DAY(EF6)</f>
        <v>28</v>
      </c>
    </row>
    <row r="20" customFormat="false" ht="15" hidden="false" customHeight="false" outlineLevel="0" collapsed="false">
      <c r="A20" s="176" t="s">
        <v>106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</row>
    <row r="21" customFormat="false" ht="15" hidden="false" customHeight="false" outlineLevel="0" collapsed="false">
      <c r="A21" s="35" t="s">
        <v>492</v>
      </c>
      <c r="B21" s="241" t="s">
        <v>116</v>
      </c>
      <c r="C21" s="242" t="n">
        <f aca="false">SUM(E21:EF21)</f>
        <v>97278.5407104</v>
      </c>
      <c r="E21" s="158" t="n">
        <f aca="false">(E14=1)*Assumption!$E$82*CHOOSE(MIN(MAX(E16,1),3),Assumption!$E$90,Assumption!$E$91,Assumption!$E$92)*(Assumption!$E$86+Assumption!$E$85)/1000*(1+Assumption!$E$87)^INT((E15-1)/Assumption!$E$88)</f>
        <v>0</v>
      </c>
      <c r="F21" s="158" t="n">
        <f aca="false">(F14=1)*Assumption!$E$82*CHOOSE(MIN(MAX(F16,1),3),Assumption!$E$90,Assumption!$E$91,Assumption!$E$92)*(Assumption!$E$86+Assumption!$E$85)/1000*(1+Assumption!$E$87)^INT((F15-1)/Assumption!$E$88)</f>
        <v>0</v>
      </c>
      <c r="G21" s="158" t="n">
        <f aca="false">(G14=1)*Assumption!$E$82*CHOOSE(MIN(MAX(G16,1),3),Assumption!$E$90,Assumption!$E$91,Assumption!$E$92)*(Assumption!$E$86+Assumption!$E$85)/1000*(1+Assumption!$E$87)^INT((G15-1)/Assumption!$E$88)</f>
        <v>0</v>
      </c>
      <c r="H21" s="158" t="n">
        <f aca="false">(H14=1)*Assumption!$E$82*CHOOSE(MIN(MAX(H16,1),3),Assumption!$E$90,Assumption!$E$91,Assumption!$E$92)*(Assumption!$E$86+Assumption!$E$85)/1000*(1+Assumption!$E$87)^INT((H15-1)/Assumption!$E$88)</f>
        <v>0</v>
      </c>
      <c r="I21" s="158" t="n">
        <f aca="false">(I14=1)*Assumption!$E$82*CHOOSE(MIN(MAX(I16,1),3),Assumption!$E$90,Assumption!$E$91,Assumption!$E$92)*(Assumption!$E$86+Assumption!$E$85)/1000*(1+Assumption!$E$87)^INT((I15-1)/Assumption!$E$88)</f>
        <v>0</v>
      </c>
      <c r="J21" s="158" t="n">
        <f aca="false">(J14=1)*Assumption!$E$82*CHOOSE(MIN(MAX(J16,1),3),Assumption!$E$90,Assumption!$E$91,Assumption!$E$92)*(Assumption!$E$86+Assumption!$E$85)/1000*(1+Assumption!$E$87)^INT((J15-1)/Assumption!$E$88)</f>
        <v>0</v>
      </c>
      <c r="K21" s="158" t="n">
        <f aca="false">(K14=1)*Assumption!$E$82*CHOOSE(MIN(MAX(K16,1),3),Assumption!$E$90,Assumption!$E$91,Assumption!$E$92)*(Assumption!$E$86+Assumption!$E$85)/1000*(1+Assumption!$E$87)^INT((K15-1)/Assumption!$E$88)</f>
        <v>0</v>
      </c>
      <c r="L21" s="158" t="n">
        <f aca="false">(L14=1)*Assumption!$E$82*CHOOSE(MIN(MAX(L16,1),3),Assumption!$E$90,Assumption!$E$91,Assumption!$E$92)*(Assumption!$E$86+Assumption!$E$85)/1000*(1+Assumption!$E$87)^INT((L15-1)/Assumption!$E$88)</f>
        <v>0</v>
      </c>
      <c r="M21" s="158" t="n">
        <f aca="false">(M14=1)*Assumption!$E$82*CHOOSE(MIN(MAX(M16,1),3),Assumption!$E$90,Assumption!$E$91,Assumption!$E$92)*(Assumption!$E$86+Assumption!$E$85)/1000*(1+Assumption!$E$87)^INT((M15-1)/Assumption!$E$88)</f>
        <v>0</v>
      </c>
      <c r="N21" s="158" t="n">
        <f aca="false">(N14=1)*Assumption!$E$82*CHOOSE(MIN(MAX(N16,1),3),Assumption!$E$90,Assumption!$E$91,Assumption!$E$92)*(Assumption!$E$86+Assumption!$E$85)/1000*(1+Assumption!$E$87)^INT((N15-1)/Assumption!$E$88)</f>
        <v>0</v>
      </c>
      <c r="O21" s="158" t="n">
        <f aca="false">(O14=1)*Assumption!$E$82*CHOOSE(MIN(MAX(O16,1),3),Assumption!$E$90,Assumption!$E$91,Assumption!$E$92)*(Assumption!$E$86+Assumption!$E$85)/1000*(1+Assumption!$E$87)^INT((O15-1)/Assumption!$E$88)</f>
        <v>0</v>
      </c>
      <c r="P21" s="158" t="n">
        <f aca="false">(P14=1)*Assumption!$E$82*CHOOSE(MIN(MAX(P16,1),3),Assumption!$E$90,Assumption!$E$91,Assumption!$E$92)*(Assumption!$E$86+Assumption!$E$85)/1000*(1+Assumption!$E$87)^INT((P15-1)/Assumption!$E$88)</f>
        <v>0</v>
      </c>
      <c r="Q21" s="158" t="n">
        <f aca="false">(Q14=1)*Assumption!$E$82*CHOOSE(MIN(MAX(Q16,1),3),Assumption!$E$90,Assumption!$E$91,Assumption!$E$92)*(Assumption!$E$86+Assumption!$E$85)/1000*(1+Assumption!$E$87)^INT((Q15-1)/Assumption!$E$88)</f>
        <v>0</v>
      </c>
      <c r="R21" s="158" t="n">
        <f aca="false">(R14=1)*Assumption!$E$82*CHOOSE(MIN(MAX(R16,1),3),Assumption!$E$90,Assumption!$E$91,Assumption!$E$92)*(Assumption!$E$86+Assumption!$E$85)/1000*(1+Assumption!$E$87)^INT((R15-1)/Assumption!$E$88)</f>
        <v>0</v>
      </c>
      <c r="S21" s="158" t="n">
        <f aca="false">(S14=1)*Assumption!$E$82*CHOOSE(MIN(MAX(S16,1),3),Assumption!$E$90,Assumption!$E$91,Assumption!$E$92)*(Assumption!$E$86+Assumption!$E$85)/1000*(1+Assumption!$E$87)^INT((S15-1)/Assumption!$E$88)</f>
        <v>0</v>
      </c>
      <c r="T21" s="158" t="n">
        <f aca="false">(T14=1)*Assumption!$E$82*CHOOSE(MIN(MAX(T16,1),3),Assumption!$E$90,Assumption!$E$91,Assumption!$E$92)*(Assumption!$E$86+Assumption!$E$85)/1000*(1+Assumption!$E$87)^INT((T15-1)/Assumption!$E$88)</f>
        <v>0</v>
      </c>
      <c r="U21" s="158" t="n">
        <f aca="false">(U14=1)*Assumption!$E$82*CHOOSE(MIN(MAX(U16,1),3),Assumption!$E$90,Assumption!$E$91,Assumption!$E$92)*(Assumption!$E$86+Assumption!$E$85)/1000*(1+Assumption!$E$87)^INT((U15-1)/Assumption!$E$88)</f>
        <v>0</v>
      </c>
      <c r="V21" s="158" t="n">
        <f aca="false">(V14=1)*Assumption!$E$82*CHOOSE(MIN(MAX(V16,1),3),Assumption!$E$90,Assumption!$E$91,Assumption!$E$92)*(Assumption!$E$86+Assumption!$E$85)/1000*(1+Assumption!$E$87)^INT((V15-1)/Assumption!$E$88)</f>
        <v>0</v>
      </c>
      <c r="W21" s="158" t="n">
        <f aca="false">(W14=1)*Assumption!$E$82*CHOOSE(MIN(MAX(W16,1),3),Assumption!$E$90,Assumption!$E$91,Assumption!$E$92)*(Assumption!$E$86+Assumption!$E$85)/1000*(1+Assumption!$E$87)^INT((W15-1)/Assumption!$E$88)</f>
        <v>0</v>
      </c>
      <c r="X21" s="158" t="n">
        <f aca="false">(X14=1)*Assumption!$E$82*CHOOSE(MIN(MAX(X16,1),3),Assumption!$E$90,Assumption!$E$91,Assumption!$E$92)*(Assumption!$E$86+Assumption!$E$85)/1000*(1+Assumption!$E$87)^INT((X15-1)/Assumption!$E$88)</f>
        <v>0</v>
      </c>
      <c r="Y21" s="158" t="n">
        <f aca="false">(Y14=1)*Assumption!$E$82*CHOOSE(MIN(MAX(Y16,1),3),Assumption!$E$90,Assumption!$E$91,Assumption!$E$92)*(Assumption!$E$86+Assumption!$E$85)/1000*(1+Assumption!$E$87)^INT((Y15-1)/Assumption!$E$88)</f>
        <v>0</v>
      </c>
      <c r="Z21" s="158" t="n">
        <f aca="false">(Z14=1)*Assumption!$E$82*CHOOSE(MIN(MAX(Z16,1),3),Assumption!$E$90,Assumption!$E$91,Assumption!$E$92)*(Assumption!$E$86+Assumption!$E$85)/1000*(1+Assumption!$E$87)^INT((Z15-1)/Assumption!$E$88)</f>
        <v>0</v>
      </c>
      <c r="AA21" s="158" t="n">
        <f aca="false">(AA14=1)*Assumption!$E$82*CHOOSE(MIN(MAX(AA16,1),3),Assumption!$E$90,Assumption!$E$91,Assumption!$E$92)*(Assumption!$E$86+Assumption!$E$85)/1000*(1+Assumption!$E$87)^INT((AA15-1)/Assumption!$E$88)</f>
        <v>0</v>
      </c>
      <c r="AB21" s="158" t="n">
        <f aca="false">(AB14=1)*Assumption!$E$82*CHOOSE(MIN(MAX(AB16,1),3),Assumption!$E$90,Assumption!$E$91,Assumption!$E$92)*(Assumption!$E$86+Assumption!$E$85)/1000*(1+Assumption!$E$87)^INT((AB15-1)/Assumption!$E$88)</f>
        <v>0</v>
      </c>
      <c r="AC21" s="158" t="n">
        <f aca="false">(AC14=1)*Assumption!$E$82*CHOOSE(MIN(MAX(AC16,1),3),Assumption!$E$90,Assumption!$E$91,Assumption!$E$92)*(Assumption!$E$86+Assumption!$E$85)/1000*(1+Assumption!$E$87)^INT((AC15-1)/Assumption!$E$88)</f>
        <v>0</v>
      </c>
      <c r="AD21" s="158" t="n">
        <f aca="false">(AD14=1)*Assumption!$E$82*CHOOSE(MIN(MAX(AD16,1),3),Assumption!$E$90,Assumption!$E$91,Assumption!$E$92)*(Assumption!$E$86+Assumption!$E$85)/1000*(1+Assumption!$E$87)^INT((AD15-1)/Assumption!$E$88)</f>
        <v>0</v>
      </c>
      <c r="AE21" s="158" t="n">
        <f aca="false">(AE14=1)*Assumption!$E$82*CHOOSE(MIN(MAX(AE16,1),3),Assumption!$E$90,Assumption!$E$91,Assumption!$E$92)*(Assumption!$E$86+Assumption!$E$85)/1000*(1+Assumption!$E$87)^INT((AE15-1)/Assumption!$E$88)</f>
        <v>0</v>
      </c>
      <c r="AF21" s="158" t="n">
        <f aca="false">(AF14=1)*Assumption!$E$82*CHOOSE(MIN(MAX(AF16,1),3),Assumption!$E$90,Assumption!$E$91,Assumption!$E$92)*(Assumption!$E$86+Assumption!$E$85)/1000*(1+Assumption!$E$87)^INT((AF15-1)/Assumption!$E$88)</f>
        <v>0</v>
      </c>
      <c r="AG21" s="158" t="n">
        <f aca="false">(AG14=1)*Assumption!$E$82*CHOOSE(MIN(MAX(AG16,1),3),Assumption!$E$90,Assumption!$E$91,Assumption!$E$92)*(Assumption!$E$86+Assumption!$E$85)/1000*(1+Assumption!$E$87)^INT((AG15-1)/Assumption!$E$88)</f>
        <v>0</v>
      </c>
      <c r="AH21" s="158" t="n">
        <f aca="false">(AH14=1)*Assumption!$E$82*CHOOSE(MIN(MAX(AH16,1),3),Assumption!$E$90,Assumption!$E$91,Assumption!$E$92)*(Assumption!$E$86+Assumption!$E$85)/1000*(1+Assumption!$E$87)^INT((AH15-1)/Assumption!$E$88)</f>
        <v>0</v>
      </c>
      <c r="AI21" s="158" t="n">
        <f aca="false">(AI14=1)*Assumption!$E$82*CHOOSE(MIN(MAX(AI16,1),3),Assumption!$E$90,Assumption!$E$91,Assumption!$E$92)*(Assumption!$E$86+Assumption!$E$85)/1000*(1+Assumption!$E$87)^INT((AI15-1)/Assumption!$E$88)</f>
        <v>0</v>
      </c>
      <c r="AJ21" s="158" t="n">
        <f aca="false">(AJ14=1)*Assumption!$E$82*CHOOSE(MIN(MAX(AJ16,1),3),Assumption!$E$90,Assumption!$E$91,Assumption!$E$92)*(Assumption!$E$86+Assumption!$E$85)/1000*(1+Assumption!$E$87)^INT((AJ15-1)/Assumption!$E$88)</f>
        <v>0</v>
      </c>
      <c r="AK21" s="158" t="n">
        <f aca="false">(AK14=1)*Assumption!$E$82*CHOOSE(MIN(MAX(AK16,1),3),Assumption!$E$90,Assumption!$E$91,Assumption!$E$92)*(Assumption!$E$86+Assumption!$E$85)/1000*(1+Assumption!$E$87)^INT((AK15-1)/Assumption!$E$88)</f>
        <v>0</v>
      </c>
      <c r="AL21" s="158" t="n">
        <f aca="false">(AL14=1)*Assumption!$E$82*CHOOSE(MIN(MAX(AL16,1),3),Assumption!$E$90,Assumption!$E$91,Assumption!$E$92)*(Assumption!$E$86+Assumption!$E$85)/1000*(1+Assumption!$E$87)^INT((AL15-1)/Assumption!$E$88)</f>
        <v>0</v>
      </c>
      <c r="AM21" s="158" t="n">
        <f aca="false">(AM14=1)*Assumption!$E$82*CHOOSE(MIN(MAX(AM16,1),3),Assumption!$E$90,Assumption!$E$91,Assumption!$E$92)*(Assumption!$E$86+Assumption!$E$85)/1000*(1+Assumption!$E$87)^INT((AM15-1)/Assumption!$E$88)</f>
        <v>0</v>
      </c>
      <c r="AN21" s="158" t="n">
        <f aca="false">(AN14=1)*Assumption!$E$82*CHOOSE(MIN(MAX(AN16,1),3),Assumption!$E$90,Assumption!$E$91,Assumption!$E$92)*(Assumption!$E$86+Assumption!$E$85)/1000*(1+Assumption!$E$87)^INT((AN15-1)/Assumption!$E$88)</f>
        <v>0</v>
      </c>
      <c r="AO21" s="158" t="n">
        <f aca="false">(AO14=1)*Assumption!$E$82*CHOOSE(MIN(MAX(AO16,1),3),Assumption!$E$90,Assumption!$E$91,Assumption!$E$92)*(Assumption!$E$86+Assumption!$E$85)/1000*(1+Assumption!$E$87)^INT((AO15-1)/Assumption!$E$88)</f>
        <v>0</v>
      </c>
      <c r="AP21" s="158" t="n">
        <f aca="false">(AP14=1)*Assumption!$E$82*CHOOSE(MIN(MAX(AP16,1),3),Assumption!$E$90,Assumption!$E$91,Assumption!$E$92)*(Assumption!$E$86+Assumption!$E$85)/1000*(1+Assumption!$E$87)^INT((AP15-1)/Assumption!$E$88)</f>
        <v>0</v>
      </c>
      <c r="AQ21" s="158" t="n">
        <f aca="false">(AQ14=1)*Assumption!$E$82*CHOOSE(MIN(MAX(AQ16,1),3),Assumption!$E$90,Assumption!$E$91,Assumption!$E$92)*(Assumption!$E$86+Assumption!$E$85)/1000*(1+Assumption!$E$87)^INT((AQ15-1)/Assumption!$E$88)</f>
        <v>0</v>
      </c>
      <c r="AR21" s="158" t="n">
        <f aca="false">(AR14=1)*Assumption!$E$82*CHOOSE(MIN(MAX(AR16,1),3),Assumption!$E$90,Assumption!$E$91,Assumption!$E$92)*(Assumption!$E$86+Assumption!$E$85)/1000*(1+Assumption!$E$87)^INT((AR15-1)/Assumption!$E$88)</f>
        <v>0</v>
      </c>
      <c r="AS21" s="158" t="n">
        <f aca="false">(AS14=1)*Assumption!$E$82*CHOOSE(MIN(MAX(AS16,1),3),Assumption!$E$90,Assumption!$E$91,Assumption!$E$92)*(Assumption!$E$86+Assumption!$E$85)/1000*(1+Assumption!$E$87)^INT((AS15-1)/Assumption!$E$88)</f>
        <v>0</v>
      </c>
      <c r="AT21" s="158" t="n">
        <f aca="false">(AT14=1)*Assumption!$E$82*CHOOSE(MIN(MAX(AT16,1),3),Assumption!$E$90,Assumption!$E$91,Assumption!$E$92)*(Assumption!$E$86+Assumption!$E$85)/1000*(1+Assumption!$E$87)^INT((AT15-1)/Assumption!$E$88)</f>
        <v>0</v>
      </c>
      <c r="AU21" s="158" t="n">
        <f aca="false">(AU14=1)*Assumption!$E$82*CHOOSE(MIN(MAX(AU16,1),3),Assumption!$E$90,Assumption!$E$91,Assumption!$E$92)*(Assumption!$E$86+Assumption!$E$85)/1000*(1+Assumption!$E$87)^INT((AU15-1)/Assumption!$E$88)</f>
        <v>0</v>
      </c>
      <c r="AV21" s="158" t="n">
        <f aca="false">(AV14=1)*Assumption!$E$82*CHOOSE(MIN(MAX(AV16,1),3),Assumption!$E$90,Assumption!$E$91,Assumption!$E$92)*(Assumption!$E$86+Assumption!$E$85)/1000*(1+Assumption!$E$87)^INT((AV15-1)/Assumption!$E$88)</f>
        <v>0</v>
      </c>
      <c r="AW21" s="158" t="n">
        <f aca="false">(AW14=1)*Assumption!$E$82*CHOOSE(MIN(MAX(AW16,1),3),Assumption!$E$90,Assumption!$E$91,Assumption!$E$92)*(Assumption!$E$86+Assumption!$E$85)/1000*(1+Assumption!$E$87)^INT((AW15-1)/Assumption!$E$88)</f>
        <v>0</v>
      </c>
      <c r="AX21" s="158" t="n">
        <f aca="false">(AX14=1)*Assumption!$E$82*CHOOSE(MIN(MAX(AX16,1),3),Assumption!$E$90,Assumption!$E$91,Assumption!$E$92)*(Assumption!$E$86+Assumption!$E$85)/1000*(1+Assumption!$E$87)^INT((AX15-1)/Assumption!$E$88)</f>
        <v>0</v>
      </c>
      <c r="AY21" s="158" t="n">
        <f aca="false">(AY14=1)*Assumption!$E$82*CHOOSE(MIN(MAX(AY16,1),3),Assumption!$E$90,Assumption!$E$91,Assumption!$E$92)*(Assumption!$E$86+Assumption!$E$85)/1000*(1+Assumption!$E$87)^INT((AY15-1)/Assumption!$E$88)</f>
        <v>0</v>
      </c>
      <c r="AZ21" s="158" t="n">
        <f aca="false">(AZ14=1)*Assumption!$E$82*CHOOSE(MIN(MAX(AZ16,1),3),Assumption!$E$90,Assumption!$E$91,Assumption!$E$92)*(Assumption!$E$86+Assumption!$E$85)/1000*(1+Assumption!$E$87)^INT((AZ15-1)/Assumption!$E$88)</f>
        <v>0</v>
      </c>
      <c r="BA21" s="158" t="n">
        <f aca="false">(BA14=1)*Assumption!$E$82*CHOOSE(MIN(MAX(BA16,1),3),Assumption!$E$90,Assumption!$E$91,Assumption!$E$92)*(Assumption!$E$86+Assumption!$E$85)/1000*(1+Assumption!$E$87)^INT((BA15-1)/Assumption!$E$88)</f>
        <v>0</v>
      </c>
      <c r="BB21" s="158" t="n">
        <f aca="false">(BB14=1)*Assumption!$E$82*CHOOSE(MIN(MAX(BB16,1),3),Assumption!$E$90,Assumption!$E$91,Assumption!$E$92)*(Assumption!$E$86+Assumption!$E$85)/1000*(1+Assumption!$E$87)^INT((BB15-1)/Assumption!$E$88)</f>
        <v>0</v>
      </c>
      <c r="BC21" s="158" t="n">
        <f aca="false">(BC14=1)*Assumption!$E$82*CHOOSE(MIN(MAX(BC16,1),3),Assumption!$E$90,Assumption!$E$91,Assumption!$E$92)*(Assumption!$E$86+Assumption!$E$85)/1000*(1+Assumption!$E$87)^INT((BC15-1)/Assumption!$E$88)</f>
        <v>0</v>
      </c>
      <c r="BD21" s="158" t="n">
        <f aca="false">(BD14=1)*Assumption!$E$82*CHOOSE(MIN(MAX(BD16,1),3),Assumption!$E$90,Assumption!$E$91,Assumption!$E$92)*(Assumption!$E$86+Assumption!$E$85)/1000*(1+Assumption!$E$87)^INT((BD15-1)/Assumption!$E$88)</f>
        <v>0</v>
      </c>
      <c r="BE21" s="158" t="n">
        <f aca="false">(BE14=1)*Assumption!$E$82*CHOOSE(MIN(MAX(BE16,1),3),Assumption!$E$90,Assumption!$E$91,Assumption!$E$92)*(Assumption!$E$86+Assumption!$E$85)/1000*(1+Assumption!$E$87)^INT((BE15-1)/Assumption!$E$88)</f>
        <v>0</v>
      </c>
      <c r="BF21" s="158" t="n">
        <f aca="false">(BF14=1)*Assumption!$E$82*CHOOSE(MIN(MAX(BF16,1),3),Assumption!$E$90,Assumption!$E$91,Assumption!$E$92)*(Assumption!$E$86+Assumption!$E$85)/1000*(1+Assumption!$E$87)^INT((BF15-1)/Assumption!$E$88)</f>
        <v>0</v>
      </c>
      <c r="BG21" s="158" t="n">
        <f aca="false">(BG14=1)*Assumption!$E$82*CHOOSE(MIN(MAX(BG16,1),3),Assumption!$E$90,Assumption!$E$91,Assumption!$E$92)*(Assumption!$E$86+Assumption!$E$85)/1000*(1+Assumption!$E$87)^INT((BG15-1)/Assumption!$E$88)</f>
        <v>0</v>
      </c>
      <c r="BH21" s="158" t="n">
        <f aca="false">(BH14=1)*Assumption!$E$82*CHOOSE(MIN(MAX(BH16,1),3),Assumption!$E$90,Assumption!$E$91,Assumption!$E$92)*(Assumption!$E$86+Assumption!$E$85)/1000*(1+Assumption!$E$87)^INT((BH15-1)/Assumption!$E$88)</f>
        <v>0</v>
      </c>
      <c r="BI21" s="158" t="n">
        <f aca="false">(BI14=1)*Assumption!$E$82*CHOOSE(MIN(MAX(BI16,1),3),Assumption!$E$90,Assumption!$E$91,Assumption!$E$92)*(Assumption!$E$86+Assumption!$E$85)/1000*(1+Assumption!$E$87)^INT((BI15-1)/Assumption!$E$88)</f>
        <v>0</v>
      </c>
      <c r="BJ21" s="158" t="n">
        <f aca="false">(BJ14=1)*Assumption!$E$82*CHOOSE(MIN(MAX(BJ16,1),3),Assumption!$E$90,Assumption!$E$91,Assumption!$E$92)*(Assumption!$E$86+Assumption!$E$85)/1000*(1+Assumption!$E$87)^INT((BJ15-1)/Assumption!$E$88)</f>
        <v>0</v>
      </c>
      <c r="BK21" s="158" t="n">
        <f aca="false">(BK14=1)*Assumption!$E$82*CHOOSE(MIN(MAX(BK16,1),3),Assumption!$E$90,Assumption!$E$91,Assumption!$E$92)*(Assumption!$E$86+Assumption!$E$85)/1000*(1+Assumption!$E$87)^INT((BK15-1)/Assumption!$E$88)</f>
        <v>0</v>
      </c>
      <c r="BL21" s="158" t="n">
        <f aca="false">(BL14=1)*Assumption!$E$82*CHOOSE(MIN(MAX(BL16,1),3),Assumption!$E$90,Assumption!$E$91,Assumption!$E$92)*(Assumption!$E$86+Assumption!$E$85)/1000*(1+Assumption!$E$87)^INT((BL15-1)/Assumption!$E$88)</f>
        <v>0</v>
      </c>
      <c r="BM21" s="158" t="n">
        <f aca="false">(BM14=1)*Assumption!$E$82*CHOOSE(MIN(MAX(BM16,1),3),Assumption!$E$90,Assumption!$E$91,Assumption!$E$92)*(Assumption!$E$86+Assumption!$E$85)/1000*(1+Assumption!$E$87)^INT((BM15-1)/Assumption!$E$88)</f>
        <v>1296</v>
      </c>
      <c r="BN21" s="158" t="n">
        <f aca="false">(BN14=1)*Assumption!$E$82*CHOOSE(MIN(MAX(BN16,1),3),Assumption!$E$90,Assumption!$E$91,Assumption!$E$92)*(Assumption!$E$86+Assumption!$E$85)/1000*(1+Assumption!$E$87)^INT((BN15-1)/Assumption!$E$88)</f>
        <v>1296</v>
      </c>
      <c r="BO21" s="158" t="n">
        <f aca="false">(BO14=1)*Assumption!$E$82*CHOOSE(MIN(MAX(BO16,1),3),Assumption!$E$90,Assumption!$E$91,Assumption!$E$92)*(Assumption!$E$86+Assumption!$E$85)/1000*(1+Assumption!$E$87)^INT((BO15-1)/Assumption!$E$88)</f>
        <v>1296</v>
      </c>
      <c r="BP21" s="158" t="n">
        <f aca="false">(BP14=1)*Assumption!$E$82*CHOOSE(MIN(MAX(BP16,1),3),Assumption!$E$90,Assumption!$E$91,Assumption!$E$92)*(Assumption!$E$86+Assumption!$E$85)/1000*(1+Assumption!$E$87)^INT((BP15-1)/Assumption!$E$88)</f>
        <v>1296</v>
      </c>
      <c r="BQ21" s="158" t="n">
        <f aca="false">(BQ14=1)*Assumption!$E$82*CHOOSE(MIN(MAX(BQ16,1),3),Assumption!$E$90,Assumption!$E$91,Assumption!$E$92)*(Assumption!$E$86+Assumption!$E$85)/1000*(1+Assumption!$E$87)^INT((BQ15-1)/Assumption!$E$88)</f>
        <v>1296</v>
      </c>
      <c r="BR21" s="158" t="n">
        <f aca="false">(BR14=1)*Assumption!$E$82*CHOOSE(MIN(MAX(BR16,1),3),Assumption!$E$90,Assumption!$E$91,Assumption!$E$92)*(Assumption!$E$86+Assumption!$E$85)/1000*(1+Assumption!$E$87)^INT((BR15-1)/Assumption!$E$88)</f>
        <v>1296</v>
      </c>
      <c r="BS21" s="158" t="n">
        <f aca="false">(BS14=1)*Assumption!$E$82*CHOOSE(MIN(MAX(BS16,1),3),Assumption!$E$90,Assumption!$E$91,Assumption!$E$92)*(Assumption!$E$86+Assumption!$E$85)/1000*(1+Assumption!$E$87)^INT((BS15-1)/Assumption!$E$88)</f>
        <v>1296</v>
      </c>
      <c r="BT21" s="158" t="n">
        <f aca="false">(BT14=1)*Assumption!$E$82*CHOOSE(MIN(MAX(BT16,1),3),Assumption!$E$90,Assumption!$E$91,Assumption!$E$92)*(Assumption!$E$86+Assumption!$E$85)/1000*(1+Assumption!$E$87)^INT((BT15-1)/Assumption!$E$88)</f>
        <v>1296</v>
      </c>
      <c r="BU21" s="158" t="n">
        <f aca="false">(BU14=1)*Assumption!$E$82*CHOOSE(MIN(MAX(BU16,1),3),Assumption!$E$90,Assumption!$E$91,Assumption!$E$92)*(Assumption!$E$86+Assumption!$E$85)/1000*(1+Assumption!$E$87)^INT((BU15-1)/Assumption!$E$88)</f>
        <v>1296</v>
      </c>
      <c r="BV21" s="158" t="n">
        <f aca="false">(BV14=1)*Assumption!$E$82*CHOOSE(MIN(MAX(BV16,1),3),Assumption!$E$90,Assumption!$E$91,Assumption!$E$92)*(Assumption!$E$86+Assumption!$E$85)/1000*(1+Assumption!$E$87)^INT((BV15-1)/Assumption!$E$88)</f>
        <v>1296</v>
      </c>
      <c r="BW21" s="158" t="n">
        <f aca="false">(BW14=1)*Assumption!$E$82*CHOOSE(MIN(MAX(BW16,1),3),Assumption!$E$90,Assumption!$E$91,Assumption!$E$92)*(Assumption!$E$86+Assumption!$E$85)/1000*(1+Assumption!$E$87)^INT((BW15-1)/Assumption!$E$88)</f>
        <v>1296</v>
      </c>
      <c r="BX21" s="158" t="n">
        <f aca="false">(BX14=1)*Assumption!$E$82*CHOOSE(MIN(MAX(BX16,1),3),Assumption!$E$90,Assumption!$E$91,Assumption!$E$92)*(Assumption!$E$86+Assumption!$E$85)/1000*(1+Assumption!$E$87)^INT((BX15-1)/Assumption!$E$88)</f>
        <v>1296</v>
      </c>
      <c r="BY21" s="158" t="n">
        <f aca="false">(BY14=1)*Assumption!$E$82*CHOOSE(MIN(MAX(BY16,1),3),Assumption!$E$90,Assumption!$E$91,Assumption!$E$92)*(Assumption!$E$86+Assumption!$E$85)/1000*(1+Assumption!$E$87)^INT((BY15-1)/Assumption!$E$88)</f>
        <v>1652.4</v>
      </c>
      <c r="BZ21" s="158" t="n">
        <f aca="false">(BZ14=1)*Assumption!$E$82*CHOOSE(MIN(MAX(BZ16,1),3),Assumption!$E$90,Assumption!$E$91,Assumption!$E$92)*(Assumption!$E$86+Assumption!$E$85)/1000*(1+Assumption!$E$87)^INT((BZ15-1)/Assumption!$E$88)</f>
        <v>1652.4</v>
      </c>
      <c r="CA21" s="158" t="n">
        <f aca="false">(CA14=1)*Assumption!$E$82*CHOOSE(MIN(MAX(CA16,1),3),Assumption!$E$90,Assumption!$E$91,Assumption!$E$92)*(Assumption!$E$86+Assumption!$E$85)/1000*(1+Assumption!$E$87)^INT((CA15-1)/Assumption!$E$88)</f>
        <v>1652.4</v>
      </c>
      <c r="CB21" s="158" t="n">
        <f aca="false">(CB14=1)*Assumption!$E$82*CHOOSE(MIN(MAX(CB16,1),3),Assumption!$E$90,Assumption!$E$91,Assumption!$E$92)*(Assumption!$E$86+Assumption!$E$85)/1000*(1+Assumption!$E$87)^INT((CB15-1)/Assumption!$E$88)</f>
        <v>1652.4</v>
      </c>
      <c r="CC21" s="158" t="n">
        <f aca="false">(CC14=1)*Assumption!$E$82*CHOOSE(MIN(MAX(CC16,1),3),Assumption!$E$90,Assumption!$E$91,Assumption!$E$92)*(Assumption!$E$86+Assumption!$E$85)/1000*(1+Assumption!$E$87)^INT((CC15-1)/Assumption!$E$88)</f>
        <v>1652.4</v>
      </c>
      <c r="CD21" s="158" t="n">
        <f aca="false">(CD14=1)*Assumption!$E$82*CHOOSE(MIN(MAX(CD16,1),3),Assumption!$E$90,Assumption!$E$91,Assumption!$E$92)*(Assumption!$E$86+Assumption!$E$85)/1000*(1+Assumption!$E$87)^INT((CD15-1)/Assumption!$E$88)</f>
        <v>1652.4</v>
      </c>
      <c r="CE21" s="158" t="n">
        <f aca="false">(CE14=1)*Assumption!$E$82*CHOOSE(MIN(MAX(CE16,1),3),Assumption!$E$90,Assumption!$E$91,Assumption!$E$92)*(Assumption!$E$86+Assumption!$E$85)/1000*(1+Assumption!$E$87)^INT((CE15-1)/Assumption!$E$88)</f>
        <v>1652.4</v>
      </c>
      <c r="CF21" s="158" t="n">
        <f aca="false">(CF14=1)*Assumption!$E$82*CHOOSE(MIN(MAX(CF16,1),3),Assumption!$E$90,Assumption!$E$91,Assumption!$E$92)*(Assumption!$E$86+Assumption!$E$85)/1000*(1+Assumption!$E$87)^INT((CF15-1)/Assumption!$E$88)</f>
        <v>1652.4</v>
      </c>
      <c r="CG21" s="158" t="n">
        <f aca="false">(CG14=1)*Assumption!$E$82*CHOOSE(MIN(MAX(CG16,1),3),Assumption!$E$90,Assumption!$E$91,Assumption!$E$92)*(Assumption!$E$86+Assumption!$E$85)/1000*(1+Assumption!$E$87)^INT((CG15-1)/Assumption!$E$88)</f>
        <v>1652.4</v>
      </c>
      <c r="CH21" s="158" t="n">
        <f aca="false">(CH14=1)*Assumption!$E$82*CHOOSE(MIN(MAX(CH16,1),3),Assumption!$E$90,Assumption!$E$91,Assumption!$E$92)*(Assumption!$E$86+Assumption!$E$85)/1000*(1+Assumption!$E$87)^INT((CH15-1)/Assumption!$E$88)</f>
        <v>1652.4</v>
      </c>
      <c r="CI21" s="158" t="n">
        <f aca="false">(CI14=1)*Assumption!$E$82*CHOOSE(MIN(MAX(CI16,1),3),Assumption!$E$90,Assumption!$E$91,Assumption!$E$92)*(Assumption!$E$86+Assumption!$E$85)/1000*(1+Assumption!$E$87)^INT((CI15-1)/Assumption!$E$88)</f>
        <v>1652.4</v>
      </c>
      <c r="CJ21" s="158" t="n">
        <f aca="false">(CJ14=1)*Assumption!$E$82*CHOOSE(MIN(MAX(CJ16,1),3),Assumption!$E$90,Assumption!$E$91,Assumption!$E$92)*(Assumption!$E$86+Assumption!$E$85)/1000*(1+Assumption!$E$87)^INT((CJ15-1)/Assumption!$E$88)</f>
        <v>1652.4</v>
      </c>
      <c r="CK21" s="158" t="n">
        <f aca="false">(CK14=1)*Assumption!$E$82*CHOOSE(MIN(MAX(CK16,1),3),Assumption!$E$90,Assumption!$E$91,Assumption!$E$92)*(Assumption!$E$86+Assumption!$E$85)/1000*(1+Assumption!$E$87)^INT((CK15-1)/Assumption!$E$88)</f>
        <v>1685.448</v>
      </c>
      <c r="CL21" s="158" t="n">
        <f aca="false">(CL14=1)*Assumption!$E$82*CHOOSE(MIN(MAX(CL16,1),3),Assumption!$E$90,Assumption!$E$91,Assumption!$E$92)*(Assumption!$E$86+Assumption!$E$85)/1000*(1+Assumption!$E$87)^INT((CL15-1)/Assumption!$E$88)</f>
        <v>1685.448</v>
      </c>
      <c r="CM21" s="158" t="n">
        <f aca="false">(CM14=1)*Assumption!$E$82*CHOOSE(MIN(MAX(CM16,1),3),Assumption!$E$90,Assumption!$E$91,Assumption!$E$92)*(Assumption!$E$86+Assumption!$E$85)/1000*(1+Assumption!$E$87)^INT((CM15-1)/Assumption!$E$88)</f>
        <v>1685.448</v>
      </c>
      <c r="CN21" s="158" t="n">
        <f aca="false">(CN14=1)*Assumption!$E$82*CHOOSE(MIN(MAX(CN16,1),3),Assumption!$E$90,Assumption!$E$91,Assumption!$E$92)*(Assumption!$E$86+Assumption!$E$85)/1000*(1+Assumption!$E$87)^INT((CN15-1)/Assumption!$E$88)</f>
        <v>1685.448</v>
      </c>
      <c r="CO21" s="158" t="n">
        <f aca="false">(CO14=1)*Assumption!$E$82*CHOOSE(MIN(MAX(CO16,1),3),Assumption!$E$90,Assumption!$E$91,Assumption!$E$92)*(Assumption!$E$86+Assumption!$E$85)/1000*(1+Assumption!$E$87)^INT((CO15-1)/Assumption!$E$88)</f>
        <v>1685.448</v>
      </c>
      <c r="CP21" s="158" t="n">
        <f aca="false">(CP14=1)*Assumption!$E$82*CHOOSE(MIN(MAX(CP16,1),3),Assumption!$E$90,Assumption!$E$91,Assumption!$E$92)*(Assumption!$E$86+Assumption!$E$85)/1000*(1+Assumption!$E$87)^INT((CP15-1)/Assumption!$E$88)</f>
        <v>1685.448</v>
      </c>
      <c r="CQ21" s="158" t="n">
        <f aca="false">(CQ14=1)*Assumption!$E$82*CHOOSE(MIN(MAX(CQ16,1),3),Assumption!$E$90,Assumption!$E$91,Assumption!$E$92)*(Assumption!$E$86+Assumption!$E$85)/1000*(1+Assumption!$E$87)^INT((CQ15-1)/Assumption!$E$88)</f>
        <v>1685.448</v>
      </c>
      <c r="CR21" s="158" t="n">
        <f aca="false">(CR14=1)*Assumption!$E$82*CHOOSE(MIN(MAX(CR16,1),3),Assumption!$E$90,Assumption!$E$91,Assumption!$E$92)*(Assumption!$E$86+Assumption!$E$85)/1000*(1+Assumption!$E$87)^INT((CR15-1)/Assumption!$E$88)</f>
        <v>1685.448</v>
      </c>
      <c r="CS21" s="158" t="n">
        <f aca="false">(CS14=1)*Assumption!$E$82*CHOOSE(MIN(MAX(CS16,1),3),Assumption!$E$90,Assumption!$E$91,Assumption!$E$92)*(Assumption!$E$86+Assumption!$E$85)/1000*(1+Assumption!$E$87)^INT((CS15-1)/Assumption!$E$88)</f>
        <v>1685.448</v>
      </c>
      <c r="CT21" s="158" t="n">
        <f aca="false">(CT14=1)*Assumption!$E$82*CHOOSE(MIN(MAX(CT16,1),3),Assumption!$E$90,Assumption!$E$91,Assumption!$E$92)*(Assumption!$E$86+Assumption!$E$85)/1000*(1+Assumption!$E$87)^INT((CT15-1)/Assumption!$E$88)</f>
        <v>1685.448</v>
      </c>
      <c r="CU21" s="158" t="n">
        <f aca="false">(CU14=1)*Assumption!$E$82*CHOOSE(MIN(MAX(CU16,1),3),Assumption!$E$90,Assumption!$E$91,Assumption!$E$92)*(Assumption!$E$86+Assumption!$E$85)/1000*(1+Assumption!$E$87)^INT((CU15-1)/Assumption!$E$88)</f>
        <v>1685.448</v>
      </c>
      <c r="CV21" s="158" t="n">
        <f aca="false">(CV14=1)*Assumption!$E$82*CHOOSE(MIN(MAX(CV16,1),3),Assumption!$E$90,Assumption!$E$91,Assumption!$E$92)*(Assumption!$E$86+Assumption!$E$85)/1000*(1+Assumption!$E$87)^INT((CV15-1)/Assumption!$E$88)</f>
        <v>1685.448</v>
      </c>
      <c r="CW21" s="158" t="n">
        <f aca="false">(CW14=1)*Assumption!$E$82*CHOOSE(MIN(MAX(CW16,1),3),Assumption!$E$90,Assumption!$E$91,Assumption!$E$92)*(Assumption!$E$86+Assumption!$E$85)/1000*(1+Assumption!$E$87)^INT((CW15-1)/Assumption!$E$88)</f>
        <v>1719.15696</v>
      </c>
      <c r="CX21" s="158" t="n">
        <f aca="false">(CX14=1)*Assumption!$E$82*CHOOSE(MIN(MAX(CX16,1),3),Assumption!$E$90,Assumption!$E$91,Assumption!$E$92)*(Assumption!$E$86+Assumption!$E$85)/1000*(1+Assumption!$E$87)^INT((CX15-1)/Assumption!$E$88)</f>
        <v>1719.15696</v>
      </c>
      <c r="CY21" s="158" t="n">
        <f aca="false">(CY14=1)*Assumption!$E$82*CHOOSE(MIN(MAX(CY16,1),3),Assumption!$E$90,Assumption!$E$91,Assumption!$E$92)*(Assumption!$E$86+Assumption!$E$85)/1000*(1+Assumption!$E$87)^INT((CY15-1)/Assumption!$E$88)</f>
        <v>1719.15696</v>
      </c>
      <c r="CZ21" s="158" t="n">
        <f aca="false">(CZ14=1)*Assumption!$E$82*CHOOSE(MIN(MAX(CZ16,1),3),Assumption!$E$90,Assumption!$E$91,Assumption!$E$92)*(Assumption!$E$86+Assumption!$E$85)/1000*(1+Assumption!$E$87)^INT((CZ15-1)/Assumption!$E$88)</f>
        <v>1719.15696</v>
      </c>
      <c r="DA21" s="158" t="n">
        <f aca="false">(DA14=1)*Assumption!$E$82*CHOOSE(MIN(MAX(DA16,1),3),Assumption!$E$90,Assumption!$E$91,Assumption!$E$92)*(Assumption!$E$86+Assumption!$E$85)/1000*(1+Assumption!$E$87)^INT((DA15-1)/Assumption!$E$88)</f>
        <v>1719.15696</v>
      </c>
      <c r="DB21" s="158" t="n">
        <f aca="false">(DB14=1)*Assumption!$E$82*CHOOSE(MIN(MAX(DB16,1),3),Assumption!$E$90,Assumption!$E$91,Assumption!$E$92)*(Assumption!$E$86+Assumption!$E$85)/1000*(1+Assumption!$E$87)^INT((DB15-1)/Assumption!$E$88)</f>
        <v>1719.15696</v>
      </c>
      <c r="DC21" s="158" t="n">
        <f aca="false">(DC14=1)*Assumption!$E$82*CHOOSE(MIN(MAX(DC16,1),3),Assumption!$E$90,Assumption!$E$91,Assumption!$E$92)*(Assumption!$E$86+Assumption!$E$85)/1000*(1+Assumption!$E$87)^INT((DC15-1)/Assumption!$E$88)</f>
        <v>1719.15696</v>
      </c>
      <c r="DD21" s="158" t="n">
        <f aca="false">(DD14=1)*Assumption!$E$82*CHOOSE(MIN(MAX(DD16,1),3),Assumption!$E$90,Assumption!$E$91,Assumption!$E$92)*(Assumption!$E$86+Assumption!$E$85)/1000*(1+Assumption!$E$87)^INT((DD15-1)/Assumption!$E$88)</f>
        <v>1719.15696</v>
      </c>
      <c r="DE21" s="158" t="n">
        <f aca="false">(DE14=1)*Assumption!$E$82*CHOOSE(MIN(MAX(DE16,1),3),Assumption!$E$90,Assumption!$E$91,Assumption!$E$92)*(Assumption!$E$86+Assumption!$E$85)/1000*(1+Assumption!$E$87)^INT((DE15-1)/Assumption!$E$88)</f>
        <v>1719.15696</v>
      </c>
      <c r="DF21" s="158" t="n">
        <f aca="false">(DF14=1)*Assumption!$E$82*CHOOSE(MIN(MAX(DF16,1),3),Assumption!$E$90,Assumption!$E$91,Assumption!$E$92)*(Assumption!$E$86+Assumption!$E$85)/1000*(1+Assumption!$E$87)^INT((DF15-1)/Assumption!$E$88)</f>
        <v>1719.15696</v>
      </c>
      <c r="DG21" s="158" t="n">
        <f aca="false">(DG14=1)*Assumption!$E$82*CHOOSE(MIN(MAX(DG16,1),3),Assumption!$E$90,Assumption!$E$91,Assumption!$E$92)*(Assumption!$E$86+Assumption!$E$85)/1000*(1+Assumption!$E$87)^INT((DG15-1)/Assumption!$E$88)</f>
        <v>1719.15696</v>
      </c>
      <c r="DH21" s="158" t="n">
        <f aca="false">(DH14=1)*Assumption!$E$82*CHOOSE(MIN(MAX(DH16,1),3),Assumption!$E$90,Assumption!$E$91,Assumption!$E$92)*(Assumption!$E$86+Assumption!$E$85)/1000*(1+Assumption!$E$87)^INT((DH15-1)/Assumption!$E$88)</f>
        <v>1719.15696</v>
      </c>
      <c r="DI21" s="158" t="n">
        <f aca="false">(DI14=1)*Assumption!$E$82*CHOOSE(MIN(MAX(DI16,1),3),Assumption!$E$90,Assumption!$E$91,Assumption!$E$92)*(Assumption!$E$86+Assumption!$E$85)/1000*(1+Assumption!$E$87)^INT((DI15-1)/Assumption!$E$88)</f>
        <v>1753.5400992</v>
      </c>
      <c r="DJ21" s="158" t="n">
        <f aca="false">(DJ14=1)*Assumption!$E$82*CHOOSE(MIN(MAX(DJ16,1),3),Assumption!$E$90,Assumption!$E$91,Assumption!$E$92)*(Assumption!$E$86+Assumption!$E$85)/1000*(1+Assumption!$E$87)^INT((DJ15-1)/Assumption!$E$88)</f>
        <v>1753.5400992</v>
      </c>
      <c r="DK21" s="158" t="n">
        <f aca="false">(DK14=1)*Assumption!$E$82*CHOOSE(MIN(MAX(DK16,1),3),Assumption!$E$90,Assumption!$E$91,Assumption!$E$92)*(Assumption!$E$86+Assumption!$E$85)/1000*(1+Assumption!$E$87)^INT((DK15-1)/Assumption!$E$88)</f>
        <v>1753.5400992</v>
      </c>
      <c r="DL21" s="158" t="n">
        <f aca="false">(DL14=1)*Assumption!$E$82*CHOOSE(MIN(MAX(DL16,1),3),Assumption!$E$90,Assumption!$E$91,Assumption!$E$92)*(Assumption!$E$86+Assumption!$E$85)/1000*(1+Assumption!$E$87)^INT((DL15-1)/Assumption!$E$88)</f>
        <v>1753.5400992</v>
      </c>
      <c r="DM21" s="158" t="n">
        <f aca="false">(DM14=1)*Assumption!$E$82*CHOOSE(MIN(MAX(DM16,1),3),Assumption!$E$90,Assumption!$E$91,Assumption!$E$92)*(Assumption!$E$86+Assumption!$E$85)/1000*(1+Assumption!$E$87)^INT((DM15-1)/Assumption!$E$88)</f>
        <v>1753.5400992</v>
      </c>
      <c r="DN21" s="158" t="n">
        <f aca="false">(DN14=1)*Assumption!$E$82*CHOOSE(MIN(MAX(DN16,1),3),Assumption!$E$90,Assumption!$E$91,Assumption!$E$92)*(Assumption!$E$86+Assumption!$E$85)/1000*(1+Assumption!$E$87)^INT((DN15-1)/Assumption!$E$88)</f>
        <v>1753.5400992</v>
      </c>
      <c r="DO21" s="158" t="n">
        <f aca="false">(DO14=1)*Assumption!$E$82*CHOOSE(MIN(MAX(DO16,1),3),Assumption!$E$90,Assumption!$E$91,Assumption!$E$92)*(Assumption!$E$86+Assumption!$E$85)/1000*(1+Assumption!$E$87)^INT((DO15-1)/Assumption!$E$88)</f>
        <v>1753.5400992</v>
      </c>
      <c r="DP21" s="158" t="n">
        <f aca="false">(DP14=1)*Assumption!$E$82*CHOOSE(MIN(MAX(DP16,1),3),Assumption!$E$90,Assumption!$E$91,Assumption!$E$92)*(Assumption!$E$86+Assumption!$E$85)/1000*(1+Assumption!$E$87)^INT((DP15-1)/Assumption!$E$88)</f>
        <v>1753.5400992</v>
      </c>
      <c r="DQ21" s="158" t="n">
        <f aca="false">(DQ14=1)*Assumption!$E$82*CHOOSE(MIN(MAX(DQ16,1),3),Assumption!$E$90,Assumption!$E$91,Assumption!$E$92)*(Assumption!$E$86+Assumption!$E$85)/1000*(1+Assumption!$E$87)^INT((DQ15-1)/Assumption!$E$88)</f>
        <v>1753.5400992</v>
      </c>
      <c r="DR21" s="158" t="n">
        <f aca="false">(DR14=1)*Assumption!$E$82*CHOOSE(MIN(MAX(DR16,1),3),Assumption!$E$90,Assumption!$E$91,Assumption!$E$92)*(Assumption!$E$86+Assumption!$E$85)/1000*(1+Assumption!$E$87)^INT((DR15-1)/Assumption!$E$88)</f>
        <v>1753.5400992</v>
      </c>
      <c r="DS21" s="158" t="n">
        <f aca="false">(DS14=1)*Assumption!$E$82*CHOOSE(MIN(MAX(DS16,1),3),Assumption!$E$90,Assumption!$E$91,Assumption!$E$92)*(Assumption!$E$86+Assumption!$E$85)/1000*(1+Assumption!$E$87)^INT((DS15-1)/Assumption!$E$88)</f>
        <v>1753.5400992</v>
      </c>
      <c r="DT21" s="158" t="n">
        <f aca="false">(DT14=1)*Assumption!$E$82*CHOOSE(MIN(MAX(DT16,1),3),Assumption!$E$90,Assumption!$E$91,Assumption!$E$92)*(Assumption!$E$86+Assumption!$E$85)/1000*(1+Assumption!$E$87)^INT((DT15-1)/Assumption!$E$88)</f>
        <v>1753.5400992</v>
      </c>
      <c r="DU21" s="158" t="n">
        <f aca="false">(DU14=1)*Assumption!$E$82*CHOOSE(MIN(MAX(DU16,1),3),Assumption!$E$90,Assumption!$E$91,Assumption!$E$92)*(Assumption!$E$86+Assumption!$E$85)/1000*(1+Assumption!$E$87)^INT((DU15-1)/Assumption!$E$88)</f>
        <v>0</v>
      </c>
      <c r="DV21" s="158" t="n">
        <f aca="false">(DV14=1)*Assumption!$E$82*CHOOSE(MIN(MAX(DV16,1),3),Assumption!$E$90,Assumption!$E$91,Assumption!$E$92)*(Assumption!$E$86+Assumption!$E$85)/1000*(1+Assumption!$E$87)^INT((DV15-1)/Assumption!$E$88)</f>
        <v>0</v>
      </c>
      <c r="DW21" s="158" t="n">
        <f aca="false">(DW14=1)*Assumption!$E$82*CHOOSE(MIN(MAX(DW16,1),3),Assumption!$E$90,Assumption!$E$91,Assumption!$E$92)*(Assumption!$E$86+Assumption!$E$85)/1000*(1+Assumption!$E$87)^INT((DW15-1)/Assumption!$E$88)</f>
        <v>0</v>
      </c>
      <c r="DX21" s="158" t="n">
        <f aca="false">(DX14=1)*Assumption!$E$82*CHOOSE(MIN(MAX(DX16,1),3),Assumption!$E$90,Assumption!$E$91,Assumption!$E$92)*(Assumption!$E$86+Assumption!$E$85)/1000*(1+Assumption!$E$87)^INT((DX15-1)/Assumption!$E$88)</f>
        <v>0</v>
      </c>
      <c r="DY21" s="158" t="n">
        <f aca="false">(DY14=1)*Assumption!$E$82*CHOOSE(MIN(MAX(DY16,1),3),Assumption!$E$90,Assumption!$E$91,Assumption!$E$92)*(Assumption!$E$86+Assumption!$E$85)/1000*(1+Assumption!$E$87)^INT((DY15-1)/Assumption!$E$88)</f>
        <v>0</v>
      </c>
      <c r="DZ21" s="158" t="n">
        <f aca="false">(DZ14=1)*Assumption!$E$82*CHOOSE(MIN(MAX(DZ16,1),3),Assumption!$E$90,Assumption!$E$91,Assumption!$E$92)*(Assumption!$E$86+Assumption!$E$85)/1000*(1+Assumption!$E$87)^INT((DZ15-1)/Assumption!$E$88)</f>
        <v>0</v>
      </c>
      <c r="EA21" s="158" t="n">
        <f aca="false">(EA14=1)*Assumption!$E$82*CHOOSE(MIN(MAX(EA16,1),3),Assumption!$E$90,Assumption!$E$91,Assumption!$E$92)*(Assumption!$E$86+Assumption!$E$85)/1000*(1+Assumption!$E$87)^INT((EA15-1)/Assumption!$E$88)</f>
        <v>0</v>
      </c>
      <c r="EB21" s="158" t="n">
        <f aca="false">(EB14=1)*Assumption!$E$82*CHOOSE(MIN(MAX(EB16,1),3),Assumption!$E$90,Assumption!$E$91,Assumption!$E$92)*(Assumption!$E$86+Assumption!$E$85)/1000*(1+Assumption!$E$87)^INT((EB15-1)/Assumption!$E$88)</f>
        <v>0</v>
      </c>
      <c r="EC21" s="158" t="n">
        <f aca="false">(EC14=1)*Assumption!$E$82*CHOOSE(MIN(MAX(EC16,1),3),Assumption!$E$90,Assumption!$E$91,Assumption!$E$92)*(Assumption!$E$86+Assumption!$E$85)/1000*(1+Assumption!$E$87)^INT((EC15-1)/Assumption!$E$88)</f>
        <v>0</v>
      </c>
      <c r="ED21" s="158" t="n">
        <f aca="false">(ED14=1)*Assumption!$E$82*CHOOSE(MIN(MAX(ED16,1),3),Assumption!$E$90,Assumption!$E$91,Assumption!$E$92)*(Assumption!$E$86+Assumption!$E$85)/1000*(1+Assumption!$E$87)^INT((ED15-1)/Assumption!$E$88)</f>
        <v>0</v>
      </c>
      <c r="EE21" s="158" t="n">
        <f aca="false">(EE14=1)*Assumption!$E$82*CHOOSE(MIN(MAX(EE16,1),3),Assumption!$E$90,Assumption!$E$91,Assumption!$E$92)*(Assumption!$E$86+Assumption!$E$85)/1000*(1+Assumption!$E$87)^INT((EE15-1)/Assumption!$E$88)</f>
        <v>0</v>
      </c>
      <c r="EF21" s="158" t="n">
        <f aca="false">(EF14=1)*Assumption!$E$82*CHOOSE(MIN(MAX(EF16,1),3),Assumption!$E$90,Assumption!$E$91,Assumption!$E$92)*(Assumption!$E$86+Assumption!$E$85)/1000*(1+Assumption!$E$87)^INT((EF15-1)/Assumption!$E$88)</f>
        <v>0</v>
      </c>
    </row>
    <row r="22" customFormat="false" ht="15" hidden="false" customHeight="false" outlineLevel="0" collapsed="false">
      <c r="A22" s="35" t="s">
        <v>493</v>
      </c>
      <c r="B22" s="241" t="s">
        <v>116</v>
      </c>
      <c r="C22" s="242" t="n">
        <f aca="false">SUM(E22:EF22)</f>
        <v>14591.78110656</v>
      </c>
      <c r="E22" s="158" t="n">
        <f aca="false">E21*Assumption!$E$93</f>
        <v>0</v>
      </c>
      <c r="F22" s="158" t="n">
        <f aca="false">F21*Assumption!$E$93</f>
        <v>0</v>
      </c>
      <c r="G22" s="158" t="n">
        <f aca="false">G21*Assumption!$E$93</f>
        <v>0</v>
      </c>
      <c r="H22" s="158" t="n">
        <f aca="false">H21*Assumption!$E$93</f>
        <v>0</v>
      </c>
      <c r="I22" s="158" t="n">
        <f aca="false">I21*Assumption!$E$93</f>
        <v>0</v>
      </c>
      <c r="J22" s="158" t="n">
        <f aca="false">J21*Assumption!$E$93</f>
        <v>0</v>
      </c>
      <c r="K22" s="158" t="n">
        <f aca="false">K21*Assumption!$E$93</f>
        <v>0</v>
      </c>
      <c r="L22" s="158" t="n">
        <f aca="false">L21*Assumption!$E$93</f>
        <v>0</v>
      </c>
      <c r="M22" s="158" t="n">
        <f aca="false">M21*Assumption!$E$93</f>
        <v>0</v>
      </c>
      <c r="N22" s="158" t="n">
        <f aca="false">N21*Assumption!$E$93</f>
        <v>0</v>
      </c>
      <c r="O22" s="158" t="n">
        <f aca="false">O21*Assumption!$E$93</f>
        <v>0</v>
      </c>
      <c r="P22" s="158" t="n">
        <f aca="false">P21*Assumption!$E$93</f>
        <v>0</v>
      </c>
      <c r="Q22" s="158" t="n">
        <f aca="false">Q21*Assumption!$E$93</f>
        <v>0</v>
      </c>
      <c r="R22" s="158" t="n">
        <f aca="false">R21*Assumption!$E$93</f>
        <v>0</v>
      </c>
      <c r="S22" s="158" t="n">
        <f aca="false">S21*Assumption!$E$93</f>
        <v>0</v>
      </c>
      <c r="T22" s="158" t="n">
        <f aca="false">T21*Assumption!$E$93</f>
        <v>0</v>
      </c>
      <c r="U22" s="158" t="n">
        <f aca="false">U21*Assumption!$E$93</f>
        <v>0</v>
      </c>
      <c r="V22" s="158" t="n">
        <f aca="false">V21*Assumption!$E$93</f>
        <v>0</v>
      </c>
      <c r="W22" s="158" t="n">
        <f aca="false">W21*Assumption!$E$93</f>
        <v>0</v>
      </c>
      <c r="X22" s="158" t="n">
        <f aca="false">X21*Assumption!$E$93</f>
        <v>0</v>
      </c>
      <c r="Y22" s="158" t="n">
        <f aca="false">Y21*Assumption!$E$93</f>
        <v>0</v>
      </c>
      <c r="Z22" s="158" t="n">
        <f aca="false">Z21*Assumption!$E$93</f>
        <v>0</v>
      </c>
      <c r="AA22" s="158" t="n">
        <f aca="false">AA21*Assumption!$E$93</f>
        <v>0</v>
      </c>
      <c r="AB22" s="158" t="n">
        <f aca="false">AB21*Assumption!$E$93</f>
        <v>0</v>
      </c>
      <c r="AC22" s="158" t="n">
        <f aca="false">AC21*Assumption!$E$93</f>
        <v>0</v>
      </c>
      <c r="AD22" s="158" t="n">
        <f aca="false">AD21*Assumption!$E$93</f>
        <v>0</v>
      </c>
      <c r="AE22" s="158" t="n">
        <f aca="false">AE21*Assumption!$E$93</f>
        <v>0</v>
      </c>
      <c r="AF22" s="158" t="n">
        <f aca="false">AF21*Assumption!$E$93</f>
        <v>0</v>
      </c>
      <c r="AG22" s="158" t="n">
        <f aca="false">AG21*Assumption!$E$93</f>
        <v>0</v>
      </c>
      <c r="AH22" s="158" t="n">
        <f aca="false">AH21*Assumption!$E$93</f>
        <v>0</v>
      </c>
      <c r="AI22" s="158" t="n">
        <f aca="false">AI21*Assumption!$E$93</f>
        <v>0</v>
      </c>
      <c r="AJ22" s="158" t="n">
        <f aca="false">AJ21*Assumption!$E$93</f>
        <v>0</v>
      </c>
      <c r="AK22" s="158" t="n">
        <f aca="false">AK21*Assumption!$E$93</f>
        <v>0</v>
      </c>
      <c r="AL22" s="158" t="n">
        <f aca="false">AL21*Assumption!$E$93</f>
        <v>0</v>
      </c>
      <c r="AM22" s="158" t="n">
        <f aca="false">AM21*Assumption!$E$93</f>
        <v>0</v>
      </c>
      <c r="AN22" s="158" t="n">
        <f aca="false">AN21*Assumption!$E$93</f>
        <v>0</v>
      </c>
      <c r="AO22" s="158" t="n">
        <f aca="false">AO21*Assumption!$E$93</f>
        <v>0</v>
      </c>
      <c r="AP22" s="158" t="n">
        <f aca="false">AP21*Assumption!$E$93</f>
        <v>0</v>
      </c>
      <c r="AQ22" s="158" t="n">
        <f aca="false">AQ21*Assumption!$E$93</f>
        <v>0</v>
      </c>
      <c r="AR22" s="158" t="n">
        <f aca="false">AR21*Assumption!$E$93</f>
        <v>0</v>
      </c>
      <c r="AS22" s="158" t="n">
        <f aca="false">AS21*Assumption!$E$93</f>
        <v>0</v>
      </c>
      <c r="AT22" s="158" t="n">
        <f aca="false">AT21*Assumption!$E$93</f>
        <v>0</v>
      </c>
      <c r="AU22" s="158" t="n">
        <f aca="false">AU21*Assumption!$E$93</f>
        <v>0</v>
      </c>
      <c r="AV22" s="158" t="n">
        <f aca="false">AV21*Assumption!$E$93</f>
        <v>0</v>
      </c>
      <c r="AW22" s="158" t="n">
        <f aca="false">AW21*Assumption!$E$93</f>
        <v>0</v>
      </c>
      <c r="AX22" s="158" t="n">
        <f aca="false">AX21*Assumption!$E$93</f>
        <v>0</v>
      </c>
      <c r="AY22" s="158" t="n">
        <f aca="false">AY21*Assumption!$E$93</f>
        <v>0</v>
      </c>
      <c r="AZ22" s="158" t="n">
        <f aca="false">AZ21*Assumption!$E$93</f>
        <v>0</v>
      </c>
      <c r="BA22" s="158" t="n">
        <f aca="false">BA21*Assumption!$E$93</f>
        <v>0</v>
      </c>
      <c r="BB22" s="158" t="n">
        <f aca="false">BB21*Assumption!$E$93</f>
        <v>0</v>
      </c>
      <c r="BC22" s="158" t="n">
        <f aca="false">BC21*Assumption!$E$93</f>
        <v>0</v>
      </c>
      <c r="BD22" s="158" t="n">
        <f aca="false">BD21*Assumption!$E$93</f>
        <v>0</v>
      </c>
      <c r="BE22" s="158" t="n">
        <f aca="false">BE21*Assumption!$E$93</f>
        <v>0</v>
      </c>
      <c r="BF22" s="158" t="n">
        <f aca="false">BF21*Assumption!$E$93</f>
        <v>0</v>
      </c>
      <c r="BG22" s="158" t="n">
        <f aca="false">BG21*Assumption!$E$93</f>
        <v>0</v>
      </c>
      <c r="BH22" s="158" t="n">
        <f aca="false">BH21*Assumption!$E$93</f>
        <v>0</v>
      </c>
      <c r="BI22" s="158" t="n">
        <f aca="false">BI21*Assumption!$E$93</f>
        <v>0</v>
      </c>
      <c r="BJ22" s="158" t="n">
        <f aca="false">BJ21*Assumption!$E$93</f>
        <v>0</v>
      </c>
      <c r="BK22" s="158" t="n">
        <f aca="false">BK21*Assumption!$E$93</f>
        <v>0</v>
      </c>
      <c r="BL22" s="158" t="n">
        <f aca="false">BL21*Assumption!$E$93</f>
        <v>0</v>
      </c>
      <c r="BM22" s="158" t="n">
        <f aca="false">BM21*Assumption!$E$93</f>
        <v>194.4</v>
      </c>
      <c r="BN22" s="158" t="n">
        <f aca="false">BN21*Assumption!$E$93</f>
        <v>194.4</v>
      </c>
      <c r="BO22" s="158" t="n">
        <f aca="false">BO21*Assumption!$E$93</f>
        <v>194.4</v>
      </c>
      <c r="BP22" s="158" t="n">
        <f aca="false">BP21*Assumption!$E$93</f>
        <v>194.4</v>
      </c>
      <c r="BQ22" s="158" t="n">
        <f aca="false">BQ21*Assumption!$E$93</f>
        <v>194.4</v>
      </c>
      <c r="BR22" s="158" t="n">
        <f aca="false">BR21*Assumption!$E$93</f>
        <v>194.4</v>
      </c>
      <c r="BS22" s="158" t="n">
        <f aca="false">BS21*Assumption!$E$93</f>
        <v>194.4</v>
      </c>
      <c r="BT22" s="158" t="n">
        <f aca="false">BT21*Assumption!$E$93</f>
        <v>194.4</v>
      </c>
      <c r="BU22" s="158" t="n">
        <f aca="false">BU21*Assumption!$E$93</f>
        <v>194.4</v>
      </c>
      <c r="BV22" s="158" t="n">
        <f aca="false">BV21*Assumption!$E$93</f>
        <v>194.4</v>
      </c>
      <c r="BW22" s="158" t="n">
        <f aca="false">BW21*Assumption!$E$93</f>
        <v>194.4</v>
      </c>
      <c r="BX22" s="158" t="n">
        <f aca="false">BX21*Assumption!$E$93</f>
        <v>194.4</v>
      </c>
      <c r="BY22" s="158" t="n">
        <f aca="false">BY21*Assumption!$E$93</f>
        <v>247.86</v>
      </c>
      <c r="BZ22" s="158" t="n">
        <f aca="false">BZ21*Assumption!$E$93</f>
        <v>247.86</v>
      </c>
      <c r="CA22" s="158" t="n">
        <f aca="false">CA21*Assumption!$E$93</f>
        <v>247.86</v>
      </c>
      <c r="CB22" s="158" t="n">
        <f aca="false">CB21*Assumption!$E$93</f>
        <v>247.86</v>
      </c>
      <c r="CC22" s="158" t="n">
        <f aca="false">CC21*Assumption!$E$93</f>
        <v>247.86</v>
      </c>
      <c r="CD22" s="158" t="n">
        <f aca="false">CD21*Assumption!$E$93</f>
        <v>247.86</v>
      </c>
      <c r="CE22" s="158" t="n">
        <f aca="false">CE21*Assumption!$E$93</f>
        <v>247.86</v>
      </c>
      <c r="CF22" s="158" t="n">
        <f aca="false">CF21*Assumption!$E$93</f>
        <v>247.86</v>
      </c>
      <c r="CG22" s="158" t="n">
        <f aca="false">CG21*Assumption!$E$93</f>
        <v>247.86</v>
      </c>
      <c r="CH22" s="158" t="n">
        <f aca="false">CH21*Assumption!$E$93</f>
        <v>247.86</v>
      </c>
      <c r="CI22" s="158" t="n">
        <f aca="false">CI21*Assumption!$E$93</f>
        <v>247.86</v>
      </c>
      <c r="CJ22" s="158" t="n">
        <f aca="false">CJ21*Assumption!$E$93</f>
        <v>247.86</v>
      </c>
      <c r="CK22" s="158" t="n">
        <f aca="false">CK21*Assumption!$E$93</f>
        <v>252.8172</v>
      </c>
      <c r="CL22" s="158" t="n">
        <f aca="false">CL21*Assumption!$E$93</f>
        <v>252.8172</v>
      </c>
      <c r="CM22" s="158" t="n">
        <f aca="false">CM21*Assumption!$E$93</f>
        <v>252.8172</v>
      </c>
      <c r="CN22" s="158" t="n">
        <f aca="false">CN21*Assumption!$E$93</f>
        <v>252.8172</v>
      </c>
      <c r="CO22" s="158" t="n">
        <f aca="false">CO21*Assumption!$E$93</f>
        <v>252.8172</v>
      </c>
      <c r="CP22" s="158" t="n">
        <f aca="false">CP21*Assumption!$E$93</f>
        <v>252.8172</v>
      </c>
      <c r="CQ22" s="158" t="n">
        <f aca="false">CQ21*Assumption!$E$93</f>
        <v>252.8172</v>
      </c>
      <c r="CR22" s="158" t="n">
        <f aca="false">CR21*Assumption!$E$93</f>
        <v>252.8172</v>
      </c>
      <c r="CS22" s="158" t="n">
        <f aca="false">CS21*Assumption!$E$93</f>
        <v>252.8172</v>
      </c>
      <c r="CT22" s="158" t="n">
        <f aca="false">CT21*Assumption!$E$93</f>
        <v>252.8172</v>
      </c>
      <c r="CU22" s="158" t="n">
        <f aca="false">CU21*Assumption!$E$93</f>
        <v>252.8172</v>
      </c>
      <c r="CV22" s="158" t="n">
        <f aca="false">CV21*Assumption!$E$93</f>
        <v>252.8172</v>
      </c>
      <c r="CW22" s="158" t="n">
        <f aca="false">CW21*Assumption!$E$93</f>
        <v>257.873544</v>
      </c>
      <c r="CX22" s="158" t="n">
        <f aca="false">CX21*Assumption!$E$93</f>
        <v>257.873544</v>
      </c>
      <c r="CY22" s="158" t="n">
        <f aca="false">CY21*Assumption!$E$93</f>
        <v>257.873544</v>
      </c>
      <c r="CZ22" s="158" t="n">
        <f aca="false">CZ21*Assumption!$E$93</f>
        <v>257.873544</v>
      </c>
      <c r="DA22" s="158" t="n">
        <f aca="false">DA21*Assumption!$E$93</f>
        <v>257.873544</v>
      </c>
      <c r="DB22" s="158" t="n">
        <f aca="false">DB21*Assumption!$E$93</f>
        <v>257.873544</v>
      </c>
      <c r="DC22" s="158" t="n">
        <f aca="false">DC21*Assumption!$E$93</f>
        <v>257.873544</v>
      </c>
      <c r="DD22" s="158" t="n">
        <f aca="false">DD21*Assumption!$E$93</f>
        <v>257.873544</v>
      </c>
      <c r="DE22" s="158" t="n">
        <f aca="false">DE21*Assumption!$E$93</f>
        <v>257.873544</v>
      </c>
      <c r="DF22" s="158" t="n">
        <f aca="false">DF21*Assumption!$E$93</f>
        <v>257.873544</v>
      </c>
      <c r="DG22" s="158" t="n">
        <f aca="false">DG21*Assumption!$E$93</f>
        <v>257.873544</v>
      </c>
      <c r="DH22" s="158" t="n">
        <f aca="false">DH21*Assumption!$E$93</f>
        <v>257.873544</v>
      </c>
      <c r="DI22" s="158" t="n">
        <f aca="false">DI21*Assumption!$E$93</f>
        <v>263.03101488</v>
      </c>
      <c r="DJ22" s="158" t="n">
        <f aca="false">DJ21*Assumption!$E$93</f>
        <v>263.03101488</v>
      </c>
      <c r="DK22" s="158" t="n">
        <f aca="false">DK21*Assumption!$E$93</f>
        <v>263.03101488</v>
      </c>
      <c r="DL22" s="158" t="n">
        <f aca="false">DL21*Assumption!$E$93</f>
        <v>263.03101488</v>
      </c>
      <c r="DM22" s="158" t="n">
        <f aca="false">DM21*Assumption!$E$93</f>
        <v>263.03101488</v>
      </c>
      <c r="DN22" s="158" t="n">
        <f aca="false">DN21*Assumption!$E$93</f>
        <v>263.03101488</v>
      </c>
      <c r="DO22" s="158" t="n">
        <f aca="false">DO21*Assumption!$E$93</f>
        <v>263.03101488</v>
      </c>
      <c r="DP22" s="158" t="n">
        <f aca="false">DP21*Assumption!$E$93</f>
        <v>263.03101488</v>
      </c>
      <c r="DQ22" s="158" t="n">
        <f aca="false">DQ21*Assumption!$E$93</f>
        <v>263.03101488</v>
      </c>
      <c r="DR22" s="158" t="n">
        <f aca="false">DR21*Assumption!$E$93</f>
        <v>263.03101488</v>
      </c>
      <c r="DS22" s="158" t="n">
        <f aca="false">DS21*Assumption!$E$93</f>
        <v>263.03101488</v>
      </c>
      <c r="DT22" s="158" t="n">
        <f aca="false">DT21*Assumption!$E$93</f>
        <v>263.03101488</v>
      </c>
      <c r="DU22" s="158" t="n">
        <f aca="false">DU21*Assumption!$E$93</f>
        <v>0</v>
      </c>
      <c r="DV22" s="158" t="n">
        <f aca="false">DV21*Assumption!$E$93</f>
        <v>0</v>
      </c>
      <c r="DW22" s="158" t="n">
        <f aca="false">DW21*Assumption!$E$93</f>
        <v>0</v>
      </c>
      <c r="DX22" s="158" t="n">
        <f aca="false">DX21*Assumption!$E$93</f>
        <v>0</v>
      </c>
      <c r="DY22" s="158" t="n">
        <f aca="false">DY21*Assumption!$E$93</f>
        <v>0</v>
      </c>
      <c r="DZ22" s="158" t="n">
        <f aca="false">DZ21*Assumption!$E$93</f>
        <v>0</v>
      </c>
      <c r="EA22" s="158" t="n">
        <f aca="false">EA21*Assumption!$E$93</f>
        <v>0</v>
      </c>
      <c r="EB22" s="158" t="n">
        <f aca="false">EB21*Assumption!$E$93</f>
        <v>0</v>
      </c>
      <c r="EC22" s="158" t="n">
        <f aca="false">EC21*Assumption!$E$93</f>
        <v>0</v>
      </c>
      <c r="ED22" s="158" t="n">
        <f aca="false">ED21*Assumption!$E$93</f>
        <v>0</v>
      </c>
      <c r="EE22" s="158" t="n">
        <f aca="false">EE21*Assumption!$E$93</f>
        <v>0</v>
      </c>
      <c r="EF22" s="158" t="n">
        <f aca="false">EF21*Assumption!$E$93</f>
        <v>0</v>
      </c>
    </row>
    <row r="23" customFormat="false" ht="15" hidden="false" customHeight="false" outlineLevel="0" collapsed="false">
      <c r="A23" s="35" t="s">
        <v>494</v>
      </c>
      <c r="B23" s="241" t="s">
        <v>116</v>
      </c>
      <c r="C23" s="242" t="n">
        <f aca="false">SUM(E23:EF23)</f>
        <v>9128.74406645837</v>
      </c>
      <c r="E23" s="158" t="n">
        <f aca="false">(E14=1)*Assumption!$E$101*Assumption!$E$102/1000*(1+Assumption!$E$104)^INT((E15-1)/Assumption!$E$105)</f>
        <v>0</v>
      </c>
      <c r="F23" s="158" t="n">
        <f aca="false">(F14=1)*Assumption!$E$101*Assumption!$E$102/1000*(1+Assumption!$E$104)^INT((F15-1)/Assumption!$E$105)</f>
        <v>0</v>
      </c>
      <c r="G23" s="158" t="n">
        <f aca="false">(G14=1)*Assumption!$E$101*Assumption!$E$102/1000*(1+Assumption!$E$104)^INT((G15-1)/Assumption!$E$105)</f>
        <v>0</v>
      </c>
      <c r="H23" s="158" t="n">
        <f aca="false">(H14=1)*Assumption!$E$101*Assumption!$E$102/1000*(1+Assumption!$E$104)^INT((H15-1)/Assumption!$E$105)</f>
        <v>0</v>
      </c>
      <c r="I23" s="158" t="n">
        <f aca="false">(I14=1)*Assumption!$E$101*Assumption!$E$102/1000*(1+Assumption!$E$104)^INT((I15-1)/Assumption!$E$105)</f>
        <v>0</v>
      </c>
      <c r="J23" s="158" t="n">
        <f aca="false">(J14=1)*Assumption!$E$101*Assumption!$E$102/1000*(1+Assumption!$E$104)^INT((J15-1)/Assumption!$E$105)</f>
        <v>0</v>
      </c>
      <c r="K23" s="158" t="n">
        <f aca="false">(K14=1)*Assumption!$E$101*Assumption!$E$102/1000*(1+Assumption!$E$104)^INT((K15-1)/Assumption!$E$105)</f>
        <v>0</v>
      </c>
      <c r="L23" s="158" t="n">
        <f aca="false">(L14=1)*Assumption!$E$101*Assumption!$E$102/1000*(1+Assumption!$E$104)^INT((L15-1)/Assumption!$E$105)</f>
        <v>0</v>
      </c>
      <c r="M23" s="158" t="n">
        <f aca="false">(M14=1)*Assumption!$E$101*Assumption!$E$102/1000*(1+Assumption!$E$104)^INT((M15-1)/Assumption!$E$105)</f>
        <v>0</v>
      </c>
      <c r="N23" s="158" t="n">
        <f aca="false">(N14=1)*Assumption!$E$101*Assumption!$E$102/1000*(1+Assumption!$E$104)^INT((N15-1)/Assumption!$E$105)</f>
        <v>0</v>
      </c>
      <c r="O23" s="158" t="n">
        <f aca="false">(O14=1)*Assumption!$E$101*Assumption!$E$102/1000*(1+Assumption!$E$104)^INT((O15-1)/Assumption!$E$105)</f>
        <v>0</v>
      </c>
      <c r="P23" s="158" t="n">
        <f aca="false">(P14=1)*Assumption!$E$101*Assumption!$E$102/1000*(1+Assumption!$E$104)^INT((P15-1)/Assumption!$E$105)</f>
        <v>0</v>
      </c>
      <c r="Q23" s="158" t="n">
        <f aca="false">(Q14=1)*Assumption!$E$101*Assumption!$E$102/1000*(1+Assumption!$E$104)^INT((Q15-1)/Assumption!$E$105)</f>
        <v>0</v>
      </c>
      <c r="R23" s="158" t="n">
        <f aca="false">(R14=1)*Assumption!$E$101*Assumption!$E$102/1000*(1+Assumption!$E$104)^INT((R15-1)/Assumption!$E$105)</f>
        <v>0</v>
      </c>
      <c r="S23" s="158" t="n">
        <f aca="false">(S14=1)*Assumption!$E$101*Assumption!$E$102/1000*(1+Assumption!$E$104)^INT((S15-1)/Assumption!$E$105)</f>
        <v>0</v>
      </c>
      <c r="T23" s="158" t="n">
        <f aca="false">(T14=1)*Assumption!$E$101*Assumption!$E$102/1000*(1+Assumption!$E$104)^INT((T15-1)/Assumption!$E$105)</f>
        <v>0</v>
      </c>
      <c r="U23" s="158" t="n">
        <f aca="false">(U14=1)*Assumption!$E$101*Assumption!$E$102/1000*(1+Assumption!$E$104)^INT((U15-1)/Assumption!$E$105)</f>
        <v>0</v>
      </c>
      <c r="V23" s="158" t="n">
        <f aca="false">(V14=1)*Assumption!$E$101*Assumption!$E$102/1000*(1+Assumption!$E$104)^INT((V15-1)/Assumption!$E$105)</f>
        <v>0</v>
      </c>
      <c r="W23" s="158" t="n">
        <f aca="false">(W14=1)*Assumption!$E$101*Assumption!$E$102/1000*(1+Assumption!$E$104)^INT((W15-1)/Assumption!$E$105)</f>
        <v>0</v>
      </c>
      <c r="X23" s="158" t="n">
        <f aca="false">(X14=1)*Assumption!$E$101*Assumption!$E$102/1000*(1+Assumption!$E$104)^INT((X15-1)/Assumption!$E$105)</f>
        <v>0</v>
      </c>
      <c r="Y23" s="158" t="n">
        <f aca="false">(Y14=1)*Assumption!$E$101*Assumption!$E$102/1000*(1+Assumption!$E$104)^INT((Y15-1)/Assumption!$E$105)</f>
        <v>0</v>
      </c>
      <c r="Z23" s="158" t="n">
        <f aca="false">(Z14=1)*Assumption!$E$101*Assumption!$E$102/1000*(1+Assumption!$E$104)^INT((Z15-1)/Assumption!$E$105)</f>
        <v>0</v>
      </c>
      <c r="AA23" s="158" t="n">
        <f aca="false">(AA14=1)*Assumption!$E$101*Assumption!$E$102/1000*(1+Assumption!$E$104)^INT((AA15-1)/Assumption!$E$105)</f>
        <v>0</v>
      </c>
      <c r="AB23" s="158" t="n">
        <f aca="false">(AB14=1)*Assumption!$E$101*Assumption!$E$102/1000*(1+Assumption!$E$104)^INT((AB15-1)/Assumption!$E$105)</f>
        <v>0</v>
      </c>
      <c r="AC23" s="158" t="n">
        <f aca="false">(AC14=1)*Assumption!$E$101*Assumption!$E$102/1000*(1+Assumption!$E$104)^INT((AC15-1)/Assumption!$E$105)</f>
        <v>0</v>
      </c>
      <c r="AD23" s="158" t="n">
        <f aca="false">(AD14=1)*Assumption!$E$101*Assumption!$E$102/1000*(1+Assumption!$E$104)^INT((AD15-1)/Assumption!$E$105)</f>
        <v>0</v>
      </c>
      <c r="AE23" s="158" t="n">
        <f aca="false">(AE14=1)*Assumption!$E$101*Assumption!$E$102/1000*(1+Assumption!$E$104)^INT((AE15-1)/Assumption!$E$105)</f>
        <v>0</v>
      </c>
      <c r="AF23" s="158" t="n">
        <f aca="false">(AF14=1)*Assumption!$E$101*Assumption!$E$102/1000*(1+Assumption!$E$104)^INT((AF15-1)/Assumption!$E$105)</f>
        <v>0</v>
      </c>
      <c r="AG23" s="158" t="n">
        <f aca="false">(AG14=1)*Assumption!$E$101*Assumption!$E$102/1000*(1+Assumption!$E$104)^INT((AG15-1)/Assumption!$E$105)</f>
        <v>0</v>
      </c>
      <c r="AH23" s="158" t="n">
        <f aca="false">(AH14=1)*Assumption!$E$101*Assumption!$E$102/1000*(1+Assumption!$E$104)^INT((AH15-1)/Assumption!$E$105)</f>
        <v>0</v>
      </c>
      <c r="AI23" s="158" t="n">
        <f aca="false">(AI14=1)*Assumption!$E$101*Assumption!$E$102/1000*(1+Assumption!$E$104)^INT((AI15-1)/Assumption!$E$105)</f>
        <v>0</v>
      </c>
      <c r="AJ23" s="158" t="n">
        <f aca="false">(AJ14=1)*Assumption!$E$101*Assumption!$E$102/1000*(1+Assumption!$E$104)^INT((AJ15-1)/Assumption!$E$105)</f>
        <v>0</v>
      </c>
      <c r="AK23" s="158" t="n">
        <f aca="false">(AK14=1)*Assumption!$E$101*Assumption!$E$102/1000*(1+Assumption!$E$104)^INT((AK15-1)/Assumption!$E$105)</f>
        <v>0</v>
      </c>
      <c r="AL23" s="158" t="n">
        <f aca="false">(AL14=1)*Assumption!$E$101*Assumption!$E$102/1000*(1+Assumption!$E$104)^INT((AL15-1)/Assumption!$E$105)</f>
        <v>0</v>
      </c>
      <c r="AM23" s="158" t="n">
        <f aca="false">(AM14=1)*Assumption!$E$101*Assumption!$E$102/1000*(1+Assumption!$E$104)^INT((AM15-1)/Assumption!$E$105)</f>
        <v>0</v>
      </c>
      <c r="AN23" s="158" t="n">
        <f aca="false">(AN14=1)*Assumption!$E$101*Assumption!$E$102/1000*(1+Assumption!$E$104)^INT((AN15-1)/Assumption!$E$105)</f>
        <v>0</v>
      </c>
      <c r="AO23" s="158" t="n">
        <f aca="false">(AO14=1)*Assumption!$E$101*Assumption!$E$102/1000*(1+Assumption!$E$104)^INT((AO15-1)/Assumption!$E$105)</f>
        <v>0</v>
      </c>
      <c r="AP23" s="158" t="n">
        <f aca="false">(AP14=1)*Assumption!$E$101*Assumption!$E$102/1000*(1+Assumption!$E$104)^INT((AP15-1)/Assumption!$E$105)</f>
        <v>0</v>
      </c>
      <c r="AQ23" s="158" t="n">
        <f aca="false">(AQ14=1)*Assumption!$E$101*Assumption!$E$102/1000*(1+Assumption!$E$104)^INT((AQ15-1)/Assumption!$E$105)</f>
        <v>0</v>
      </c>
      <c r="AR23" s="158" t="n">
        <f aca="false">(AR14=1)*Assumption!$E$101*Assumption!$E$102/1000*(1+Assumption!$E$104)^INT((AR15-1)/Assumption!$E$105)</f>
        <v>0</v>
      </c>
      <c r="AS23" s="158" t="n">
        <f aca="false">(AS14=1)*Assumption!$E$101*Assumption!$E$102/1000*(1+Assumption!$E$104)^INT((AS15-1)/Assumption!$E$105)</f>
        <v>0</v>
      </c>
      <c r="AT23" s="158" t="n">
        <f aca="false">(AT14=1)*Assumption!$E$101*Assumption!$E$102/1000*(1+Assumption!$E$104)^INT((AT15-1)/Assumption!$E$105)</f>
        <v>0</v>
      </c>
      <c r="AU23" s="158" t="n">
        <f aca="false">(AU14=1)*Assumption!$E$101*Assumption!$E$102/1000*(1+Assumption!$E$104)^INT((AU15-1)/Assumption!$E$105)</f>
        <v>0</v>
      </c>
      <c r="AV23" s="158" t="n">
        <f aca="false">(AV14=1)*Assumption!$E$101*Assumption!$E$102/1000*(1+Assumption!$E$104)^INT((AV15-1)/Assumption!$E$105)</f>
        <v>0</v>
      </c>
      <c r="AW23" s="158" t="n">
        <f aca="false">(AW14=1)*Assumption!$E$101*Assumption!$E$102/1000*(1+Assumption!$E$104)^INT((AW15-1)/Assumption!$E$105)</f>
        <v>0</v>
      </c>
      <c r="AX23" s="158" t="n">
        <f aca="false">(AX14=1)*Assumption!$E$101*Assumption!$E$102/1000*(1+Assumption!$E$104)^INT((AX15-1)/Assumption!$E$105)</f>
        <v>0</v>
      </c>
      <c r="AY23" s="158" t="n">
        <f aca="false">(AY14=1)*Assumption!$E$101*Assumption!$E$102/1000*(1+Assumption!$E$104)^INT((AY15-1)/Assumption!$E$105)</f>
        <v>0</v>
      </c>
      <c r="AZ23" s="158" t="n">
        <f aca="false">(AZ14=1)*Assumption!$E$101*Assumption!$E$102/1000*(1+Assumption!$E$104)^INT((AZ15-1)/Assumption!$E$105)</f>
        <v>0</v>
      </c>
      <c r="BA23" s="158" t="n">
        <f aca="false">(BA14=1)*Assumption!$E$101*Assumption!$E$102/1000*(1+Assumption!$E$104)^INT((BA15-1)/Assumption!$E$105)</f>
        <v>0</v>
      </c>
      <c r="BB23" s="158" t="n">
        <f aca="false">(BB14=1)*Assumption!$E$101*Assumption!$E$102/1000*(1+Assumption!$E$104)^INT((BB15-1)/Assumption!$E$105)</f>
        <v>0</v>
      </c>
      <c r="BC23" s="158" t="n">
        <f aca="false">(BC14=1)*Assumption!$E$101*Assumption!$E$102/1000*(1+Assumption!$E$104)^INT((BC15-1)/Assumption!$E$105)</f>
        <v>0</v>
      </c>
      <c r="BD23" s="158" t="n">
        <f aca="false">(BD14=1)*Assumption!$E$101*Assumption!$E$102/1000*(1+Assumption!$E$104)^INT((BD15-1)/Assumption!$E$105)</f>
        <v>0</v>
      </c>
      <c r="BE23" s="158" t="n">
        <f aca="false">(BE14=1)*Assumption!$E$101*Assumption!$E$102/1000*(1+Assumption!$E$104)^INT((BE15-1)/Assumption!$E$105)</f>
        <v>0</v>
      </c>
      <c r="BF23" s="158" t="n">
        <f aca="false">(BF14=1)*Assumption!$E$101*Assumption!$E$102/1000*(1+Assumption!$E$104)^INT((BF15-1)/Assumption!$E$105)</f>
        <v>0</v>
      </c>
      <c r="BG23" s="158" t="n">
        <f aca="false">(BG14=1)*Assumption!$E$101*Assumption!$E$102/1000*(1+Assumption!$E$104)^INT((BG15-1)/Assumption!$E$105)</f>
        <v>0</v>
      </c>
      <c r="BH23" s="158" t="n">
        <f aca="false">(BH14=1)*Assumption!$E$101*Assumption!$E$102/1000*(1+Assumption!$E$104)^INT((BH15-1)/Assumption!$E$105)</f>
        <v>0</v>
      </c>
      <c r="BI23" s="158" t="n">
        <f aca="false">(BI14=1)*Assumption!$E$101*Assumption!$E$102/1000*(1+Assumption!$E$104)^INT((BI15-1)/Assumption!$E$105)</f>
        <v>0</v>
      </c>
      <c r="BJ23" s="158" t="n">
        <f aca="false">(BJ14=1)*Assumption!$E$101*Assumption!$E$102/1000*(1+Assumption!$E$104)^INT((BJ15-1)/Assumption!$E$105)</f>
        <v>0</v>
      </c>
      <c r="BK23" s="158" t="n">
        <f aca="false">(BK14=1)*Assumption!$E$101*Assumption!$E$102/1000*(1+Assumption!$E$104)^INT((BK15-1)/Assumption!$E$105)</f>
        <v>0</v>
      </c>
      <c r="BL23" s="158" t="n">
        <f aca="false">(BL14=1)*Assumption!$E$101*Assumption!$E$102/1000*(1+Assumption!$E$104)^INT((BL15-1)/Assumption!$E$105)</f>
        <v>0</v>
      </c>
      <c r="BM23" s="158" t="n">
        <f aca="false">(BM14=1)*Assumption!$E$101*Assumption!$E$102/1000*(1+Assumption!$E$104)^INT((BM15-1)/Assumption!$E$105)</f>
        <v>146.1804</v>
      </c>
      <c r="BN23" s="158" t="n">
        <f aca="false">(BN14=1)*Assumption!$E$101*Assumption!$E$102/1000*(1+Assumption!$E$104)^INT((BN15-1)/Assumption!$E$105)</f>
        <v>146.1804</v>
      </c>
      <c r="BO23" s="158" t="n">
        <f aca="false">(BO14=1)*Assumption!$E$101*Assumption!$E$102/1000*(1+Assumption!$E$104)^INT((BO15-1)/Assumption!$E$105)</f>
        <v>146.1804</v>
      </c>
      <c r="BP23" s="158" t="n">
        <f aca="false">(BP14=1)*Assumption!$E$101*Assumption!$E$102/1000*(1+Assumption!$E$104)^INT((BP15-1)/Assumption!$E$105)</f>
        <v>146.1804</v>
      </c>
      <c r="BQ23" s="158" t="n">
        <f aca="false">(BQ14=1)*Assumption!$E$101*Assumption!$E$102/1000*(1+Assumption!$E$104)^INT((BQ15-1)/Assumption!$E$105)</f>
        <v>146.1804</v>
      </c>
      <c r="BR23" s="158" t="n">
        <f aca="false">(BR14=1)*Assumption!$E$101*Assumption!$E$102/1000*(1+Assumption!$E$104)^INT((BR15-1)/Assumption!$E$105)</f>
        <v>146.1804</v>
      </c>
      <c r="BS23" s="158" t="n">
        <f aca="false">(BS14=1)*Assumption!$E$101*Assumption!$E$102/1000*(1+Assumption!$E$104)^INT((BS15-1)/Assumption!$E$105)</f>
        <v>146.1804</v>
      </c>
      <c r="BT23" s="158" t="n">
        <f aca="false">(BT14=1)*Assumption!$E$101*Assumption!$E$102/1000*(1+Assumption!$E$104)^INT((BT15-1)/Assumption!$E$105)</f>
        <v>146.1804</v>
      </c>
      <c r="BU23" s="158" t="n">
        <f aca="false">(BU14=1)*Assumption!$E$101*Assumption!$E$102/1000*(1+Assumption!$E$104)^INT((BU15-1)/Assumption!$E$105)</f>
        <v>146.1804</v>
      </c>
      <c r="BV23" s="158" t="n">
        <f aca="false">(BV14=1)*Assumption!$E$101*Assumption!$E$102/1000*(1+Assumption!$E$104)^INT((BV15-1)/Assumption!$E$105)</f>
        <v>146.1804</v>
      </c>
      <c r="BW23" s="158" t="n">
        <f aca="false">(BW14=1)*Assumption!$E$101*Assumption!$E$102/1000*(1+Assumption!$E$104)^INT((BW15-1)/Assumption!$E$105)</f>
        <v>146.1804</v>
      </c>
      <c r="BX23" s="158" t="n">
        <f aca="false">(BX14=1)*Assumption!$E$101*Assumption!$E$102/1000*(1+Assumption!$E$104)^INT((BX15-1)/Assumption!$E$105)</f>
        <v>146.1804</v>
      </c>
      <c r="BY23" s="158" t="n">
        <f aca="false">(BY14=1)*Assumption!$E$101*Assumption!$E$102/1000*(1+Assumption!$E$104)^INT((BY15-1)/Assumption!$E$105)</f>
        <v>149.104008</v>
      </c>
      <c r="BZ23" s="158" t="n">
        <f aca="false">(BZ14=1)*Assumption!$E$101*Assumption!$E$102/1000*(1+Assumption!$E$104)^INT((BZ15-1)/Assumption!$E$105)</f>
        <v>149.104008</v>
      </c>
      <c r="CA23" s="158" t="n">
        <f aca="false">(CA14=1)*Assumption!$E$101*Assumption!$E$102/1000*(1+Assumption!$E$104)^INT((CA15-1)/Assumption!$E$105)</f>
        <v>149.104008</v>
      </c>
      <c r="CB23" s="158" t="n">
        <f aca="false">(CB14=1)*Assumption!$E$101*Assumption!$E$102/1000*(1+Assumption!$E$104)^INT((CB15-1)/Assumption!$E$105)</f>
        <v>149.104008</v>
      </c>
      <c r="CC23" s="158" t="n">
        <f aca="false">(CC14=1)*Assumption!$E$101*Assumption!$E$102/1000*(1+Assumption!$E$104)^INT((CC15-1)/Assumption!$E$105)</f>
        <v>149.104008</v>
      </c>
      <c r="CD23" s="158" t="n">
        <f aca="false">(CD14=1)*Assumption!$E$101*Assumption!$E$102/1000*(1+Assumption!$E$104)^INT((CD15-1)/Assumption!$E$105)</f>
        <v>149.104008</v>
      </c>
      <c r="CE23" s="158" t="n">
        <f aca="false">(CE14=1)*Assumption!$E$101*Assumption!$E$102/1000*(1+Assumption!$E$104)^INT((CE15-1)/Assumption!$E$105)</f>
        <v>149.104008</v>
      </c>
      <c r="CF23" s="158" t="n">
        <f aca="false">(CF14=1)*Assumption!$E$101*Assumption!$E$102/1000*(1+Assumption!$E$104)^INT((CF15-1)/Assumption!$E$105)</f>
        <v>149.104008</v>
      </c>
      <c r="CG23" s="158" t="n">
        <f aca="false">(CG14=1)*Assumption!$E$101*Assumption!$E$102/1000*(1+Assumption!$E$104)^INT((CG15-1)/Assumption!$E$105)</f>
        <v>149.104008</v>
      </c>
      <c r="CH23" s="158" t="n">
        <f aca="false">(CH14=1)*Assumption!$E$101*Assumption!$E$102/1000*(1+Assumption!$E$104)^INT((CH15-1)/Assumption!$E$105)</f>
        <v>149.104008</v>
      </c>
      <c r="CI23" s="158" t="n">
        <f aca="false">(CI14=1)*Assumption!$E$101*Assumption!$E$102/1000*(1+Assumption!$E$104)^INT((CI15-1)/Assumption!$E$105)</f>
        <v>149.104008</v>
      </c>
      <c r="CJ23" s="158" t="n">
        <f aca="false">(CJ14=1)*Assumption!$E$101*Assumption!$E$102/1000*(1+Assumption!$E$104)^INT((CJ15-1)/Assumption!$E$105)</f>
        <v>149.104008</v>
      </c>
      <c r="CK23" s="158" t="n">
        <f aca="false">(CK14=1)*Assumption!$E$101*Assumption!$E$102/1000*(1+Assumption!$E$104)^INT((CK15-1)/Assumption!$E$105)</f>
        <v>152.08608816</v>
      </c>
      <c r="CL23" s="158" t="n">
        <f aca="false">(CL14=1)*Assumption!$E$101*Assumption!$E$102/1000*(1+Assumption!$E$104)^INT((CL15-1)/Assumption!$E$105)</f>
        <v>152.08608816</v>
      </c>
      <c r="CM23" s="158" t="n">
        <f aca="false">(CM14=1)*Assumption!$E$101*Assumption!$E$102/1000*(1+Assumption!$E$104)^INT((CM15-1)/Assumption!$E$105)</f>
        <v>152.08608816</v>
      </c>
      <c r="CN23" s="158" t="n">
        <f aca="false">(CN14=1)*Assumption!$E$101*Assumption!$E$102/1000*(1+Assumption!$E$104)^INT((CN15-1)/Assumption!$E$105)</f>
        <v>152.08608816</v>
      </c>
      <c r="CO23" s="158" t="n">
        <f aca="false">(CO14=1)*Assumption!$E$101*Assumption!$E$102/1000*(1+Assumption!$E$104)^INT((CO15-1)/Assumption!$E$105)</f>
        <v>152.08608816</v>
      </c>
      <c r="CP23" s="158" t="n">
        <f aca="false">(CP14=1)*Assumption!$E$101*Assumption!$E$102/1000*(1+Assumption!$E$104)^INT((CP15-1)/Assumption!$E$105)</f>
        <v>152.08608816</v>
      </c>
      <c r="CQ23" s="158" t="n">
        <f aca="false">(CQ14=1)*Assumption!$E$101*Assumption!$E$102/1000*(1+Assumption!$E$104)^INT((CQ15-1)/Assumption!$E$105)</f>
        <v>152.08608816</v>
      </c>
      <c r="CR23" s="158" t="n">
        <f aca="false">(CR14=1)*Assumption!$E$101*Assumption!$E$102/1000*(1+Assumption!$E$104)^INT((CR15-1)/Assumption!$E$105)</f>
        <v>152.08608816</v>
      </c>
      <c r="CS23" s="158" t="n">
        <f aca="false">(CS14=1)*Assumption!$E$101*Assumption!$E$102/1000*(1+Assumption!$E$104)^INT((CS15-1)/Assumption!$E$105)</f>
        <v>152.08608816</v>
      </c>
      <c r="CT23" s="158" t="n">
        <f aca="false">(CT14=1)*Assumption!$E$101*Assumption!$E$102/1000*(1+Assumption!$E$104)^INT((CT15-1)/Assumption!$E$105)</f>
        <v>152.08608816</v>
      </c>
      <c r="CU23" s="158" t="n">
        <f aca="false">(CU14=1)*Assumption!$E$101*Assumption!$E$102/1000*(1+Assumption!$E$104)^INT((CU15-1)/Assumption!$E$105)</f>
        <v>152.08608816</v>
      </c>
      <c r="CV23" s="158" t="n">
        <f aca="false">(CV14=1)*Assumption!$E$101*Assumption!$E$102/1000*(1+Assumption!$E$104)^INT((CV15-1)/Assumption!$E$105)</f>
        <v>152.08608816</v>
      </c>
      <c r="CW23" s="158" t="n">
        <f aca="false">(CW14=1)*Assumption!$E$101*Assumption!$E$102/1000*(1+Assumption!$E$104)^INT((CW15-1)/Assumption!$E$105)</f>
        <v>155.1278099232</v>
      </c>
      <c r="CX23" s="158" t="n">
        <f aca="false">(CX14=1)*Assumption!$E$101*Assumption!$E$102/1000*(1+Assumption!$E$104)^INT((CX15-1)/Assumption!$E$105)</f>
        <v>155.1278099232</v>
      </c>
      <c r="CY23" s="158" t="n">
        <f aca="false">(CY14=1)*Assumption!$E$101*Assumption!$E$102/1000*(1+Assumption!$E$104)^INT((CY15-1)/Assumption!$E$105)</f>
        <v>155.1278099232</v>
      </c>
      <c r="CZ23" s="158" t="n">
        <f aca="false">(CZ14=1)*Assumption!$E$101*Assumption!$E$102/1000*(1+Assumption!$E$104)^INT((CZ15-1)/Assumption!$E$105)</f>
        <v>155.1278099232</v>
      </c>
      <c r="DA23" s="158" t="n">
        <f aca="false">(DA14=1)*Assumption!$E$101*Assumption!$E$102/1000*(1+Assumption!$E$104)^INT((DA15-1)/Assumption!$E$105)</f>
        <v>155.1278099232</v>
      </c>
      <c r="DB23" s="158" t="n">
        <f aca="false">(DB14=1)*Assumption!$E$101*Assumption!$E$102/1000*(1+Assumption!$E$104)^INT((DB15-1)/Assumption!$E$105)</f>
        <v>155.1278099232</v>
      </c>
      <c r="DC23" s="158" t="n">
        <f aca="false">(DC14=1)*Assumption!$E$101*Assumption!$E$102/1000*(1+Assumption!$E$104)^INT((DC15-1)/Assumption!$E$105)</f>
        <v>155.1278099232</v>
      </c>
      <c r="DD23" s="158" t="n">
        <f aca="false">(DD14=1)*Assumption!$E$101*Assumption!$E$102/1000*(1+Assumption!$E$104)^INT((DD15-1)/Assumption!$E$105)</f>
        <v>155.1278099232</v>
      </c>
      <c r="DE23" s="158" t="n">
        <f aca="false">(DE14=1)*Assumption!$E$101*Assumption!$E$102/1000*(1+Assumption!$E$104)^INT((DE15-1)/Assumption!$E$105)</f>
        <v>155.1278099232</v>
      </c>
      <c r="DF23" s="158" t="n">
        <f aca="false">(DF14=1)*Assumption!$E$101*Assumption!$E$102/1000*(1+Assumption!$E$104)^INT((DF15-1)/Assumption!$E$105)</f>
        <v>155.1278099232</v>
      </c>
      <c r="DG23" s="158" t="n">
        <f aca="false">(DG14=1)*Assumption!$E$101*Assumption!$E$102/1000*(1+Assumption!$E$104)^INT((DG15-1)/Assumption!$E$105)</f>
        <v>155.1278099232</v>
      </c>
      <c r="DH23" s="158" t="n">
        <f aca="false">(DH14=1)*Assumption!$E$101*Assumption!$E$102/1000*(1+Assumption!$E$104)^INT((DH15-1)/Assumption!$E$105)</f>
        <v>155.1278099232</v>
      </c>
      <c r="DI23" s="158" t="n">
        <f aca="false">(DI14=1)*Assumption!$E$101*Assumption!$E$102/1000*(1+Assumption!$E$104)^INT((DI15-1)/Assumption!$E$105)</f>
        <v>158.230366121664</v>
      </c>
      <c r="DJ23" s="158" t="n">
        <f aca="false">(DJ14=1)*Assumption!$E$101*Assumption!$E$102/1000*(1+Assumption!$E$104)^INT((DJ15-1)/Assumption!$E$105)</f>
        <v>158.230366121664</v>
      </c>
      <c r="DK23" s="158" t="n">
        <f aca="false">(DK14=1)*Assumption!$E$101*Assumption!$E$102/1000*(1+Assumption!$E$104)^INT((DK15-1)/Assumption!$E$105)</f>
        <v>158.230366121664</v>
      </c>
      <c r="DL23" s="158" t="n">
        <f aca="false">(DL14=1)*Assumption!$E$101*Assumption!$E$102/1000*(1+Assumption!$E$104)^INT((DL15-1)/Assumption!$E$105)</f>
        <v>158.230366121664</v>
      </c>
      <c r="DM23" s="158" t="n">
        <f aca="false">(DM14=1)*Assumption!$E$101*Assumption!$E$102/1000*(1+Assumption!$E$104)^INT((DM15-1)/Assumption!$E$105)</f>
        <v>158.230366121664</v>
      </c>
      <c r="DN23" s="158" t="n">
        <f aca="false">(DN14=1)*Assumption!$E$101*Assumption!$E$102/1000*(1+Assumption!$E$104)^INT((DN15-1)/Assumption!$E$105)</f>
        <v>158.230366121664</v>
      </c>
      <c r="DO23" s="158" t="n">
        <f aca="false">(DO14=1)*Assumption!$E$101*Assumption!$E$102/1000*(1+Assumption!$E$104)^INT((DO15-1)/Assumption!$E$105)</f>
        <v>158.230366121664</v>
      </c>
      <c r="DP23" s="158" t="n">
        <f aca="false">(DP14=1)*Assumption!$E$101*Assumption!$E$102/1000*(1+Assumption!$E$104)^INT((DP15-1)/Assumption!$E$105)</f>
        <v>158.230366121664</v>
      </c>
      <c r="DQ23" s="158" t="n">
        <f aca="false">(DQ14=1)*Assumption!$E$101*Assumption!$E$102/1000*(1+Assumption!$E$104)^INT((DQ15-1)/Assumption!$E$105)</f>
        <v>158.230366121664</v>
      </c>
      <c r="DR23" s="158" t="n">
        <f aca="false">(DR14=1)*Assumption!$E$101*Assumption!$E$102/1000*(1+Assumption!$E$104)^INT((DR15-1)/Assumption!$E$105)</f>
        <v>158.230366121664</v>
      </c>
      <c r="DS23" s="158" t="n">
        <f aca="false">(DS14=1)*Assumption!$E$101*Assumption!$E$102/1000*(1+Assumption!$E$104)^INT((DS15-1)/Assumption!$E$105)</f>
        <v>158.230366121664</v>
      </c>
      <c r="DT23" s="158" t="n">
        <f aca="false">(DT14=1)*Assumption!$E$101*Assumption!$E$102/1000*(1+Assumption!$E$104)^INT((DT15-1)/Assumption!$E$105)</f>
        <v>158.230366121664</v>
      </c>
      <c r="DU23" s="158" t="n">
        <f aca="false">(DU14=1)*Assumption!$E$101*Assumption!$E$102/1000*(1+Assumption!$E$104)^INT((DU15-1)/Assumption!$E$105)</f>
        <v>0</v>
      </c>
      <c r="DV23" s="158" t="n">
        <f aca="false">(DV14=1)*Assumption!$E$101*Assumption!$E$102/1000*(1+Assumption!$E$104)^INT((DV15-1)/Assumption!$E$105)</f>
        <v>0</v>
      </c>
      <c r="DW23" s="158" t="n">
        <f aca="false">(DW14=1)*Assumption!$E$101*Assumption!$E$102/1000*(1+Assumption!$E$104)^INT((DW15-1)/Assumption!$E$105)</f>
        <v>0</v>
      </c>
      <c r="DX23" s="158" t="n">
        <f aca="false">(DX14=1)*Assumption!$E$101*Assumption!$E$102/1000*(1+Assumption!$E$104)^INT((DX15-1)/Assumption!$E$105)</f>
        <v>0</v>
      </c>
      <c r="DY23" s="158" t="n">
        <f aca="false">(DY14=1)*Assumption!$E$101*Assumption!$E$102/1000*(1+Assumption!$E$104)^INT((DY15-1)/Assumption!$E$105)</f>
        <v>0</v>
      </c>
      <c r="DZ23" s="158" t="n">
        <f aca="false">(DZ14=1)*Assumption!$E$101*Assumption!$E$102/1000*(1+Assumption!$E$104)^INT((DZ15-1)/Assumption!$E$105)</f>
        <v>0</v>
      </c>
      <c r="EA23" s="158" t="n">
        <f aca="false">(EA14=1)*Assumption!$E$101*Assumption!$E$102/1000*(1+Assumption!$E$104)^INT((EA15-1)/Assumption!$E$105)</f>
        <v>0</v>
      </c>
      <c r="EB23" s="158" t="n">
        <f aca="false">(EB14=1)*Assumption!$E$101*Assumption!$E$102/1000*(1+Assumption!$E$104)^INT((EB15-1)/Assumption!$E$105)</f>
        <v>0</v>
      </c>
      <c r="EC23" s="158" t="n">
        <f aca="false">(EC14=1)*Assumption!$E$101*Assumption!$E$102/1000*(1+Assumption!$E$104)^INT((EC15-1)/Assumption!$E$105)</f>
        <v>0</v>
      </c>
      <c r="ED23" s="158" t="n">
        <f aca="false">(ED14=1)*Assumption!$E$101*Assumption!$E$102/1000*(1+Assumption!$E$104)^INT((ED15-1)/Assumption!$E$105)</f>
        <v>0</v>
      </c>
      <c r="EE23" s="158" t="n">
        <f aca="false">(EE14=1)*Assumption!$E$101*Assumption!$E$102/1000*(1+Assumption!$E$104)^INT((EE15-1)/Assumption!$E$105)</f>
        <v>0</v>
      </c>
      <c r="EF23" s="158" t="n">
        <f aca="false">(EF14=1)*Assumption!$E$101*Assumption!$E$102/1000*(1+Assumption!$E$104)^INT((EF15-1)/Assumption!$E$105)</f>
        <v>0</v>
      </c>
    </row>
    <row r="24" customFormat="false" ht="15" hidden="false" customHeight="false" outlineLevel="0" collapsed="false">
      <c r="A24" s="35" t="s">
        <v>495</v>
      </c>
      <c r="B24" s="241" t="s">
        <v>116</v>
      </c>
      <c r="C24" s="242" t="n">
        <f aca="false">SUM(E24:EF24)</f>
        <v>97070.5304746161</v>
      </c>
      <c r="E24" s="158" t="n">
        <f aca="false">(E14=1)*Assumption!$G$115*CHOOSE(MIN(MAX(E16,1),3),Assumption!$E$122,Assumption!$E$123,Assumption!$E$124)*E18/1000000*(1+Assumption!$E$118)^(MAX(E16,1)-1)</f>
        <v>0</v>
      </c>
      <c r="F24" s="158" t="n">
        <f aca="false">(F14=1)*Assumption!$G$115*CHOOSE(MIN(MAX(F16,1),3),Assumption!$E$122,Assumption!$E$123,Assumption!$E$124)*F18/1000000*(1+Assumption!$E$118)^(MAX(F16,1)-1)</f>
        <v>0</v>
      </c>
      <c r="G24" s="158" t="n">
        <f aca="false">(G14=1)*Assumption!$G$115*CHOOSE(MIN(MAX(G16,1),3),Assumption!$E$122,Assumption!$E$123,Assumption!$E$124)*G18/1000000*(1+Assumption!$E$118)^(MAX(G16,1)-1)</f>
        <v>0</v>
      </c>
      <c r="H24" s="158" t="n">
        <f aca="false">(H14=1)*Assumption!$G$115*CHOOSE(MIN(MAX(H16,1),3),Assumption!$E$122,Assumption!$E$123,Assumption!$E$124)*H18/1000000*(1+Assumption!$E$118)^(MAX(H16,1)-1)</f>
        <v>0</v>
      </c>
      <c r="I24" s="158" t="n">
        <f aca="false">(I14=1)*Assumption!$G$115*CHOOSE(MIN(MAX(I16,1),3),Assumption!$E$122,Assumption!$E$123,Assumption!$E$124)*I18/1000000*(1+Assumption!$E$118)^(MAX(I16,1)-1)</f>
        <v>0</v>
      </c>
      <c r="J24" s="158" t="n">
        <f aca="false">(J14=1)*Assumption!$G$115*CHOOSE(MIN(MAX(J16,1),3),Assumption!$E$122,Assumption!$E$123,Assumption!$E$124)*J18/1000000*(1+Assumption!$E$118)^(MAX(J16,1)-1)</f>
        <v>0</v>
      </c>
      <c r="K24" s="158" t="n">
        <f aca="false">(K14=1)*Assumption!$G$115*CHOOSE(MIN(MAX(K16,1),3),Assumption!$E$122,Assumption!$E$123,Assumption!$E$124)*K18/1000000*(1+Assumption!$E$118)^(MAX(K16,1)-1)</f>
        <v>0</v>
      </c>
      <c r="L24" s="158" t="n">
        <f aca="false">(L14=1)*Assumption!$G$115*CHOOSE(MIN(MAX(L16,1),3),Assumption!$E$122,Assumption!$E$123,Assumption!$E$124)*L18/1000000*(1+Assumption!$E$118)^(MAX(L16,1)-1)</f>
        <v>0</v>
      </c>
      <c r="M24" s="158" t="n">
        <f aca="false">(M14=1)*Assumption!$G$115*CHOOSE(MIN(MAX(M16,1),3),Assumption!$E$122,Assumption!$E$123,Assumption!$E$124)*M18/1000000*(1+Assumption!$E$118)^(MAX(M16,1)-1)</f>
        <v>0</v>
      </c>
      <c r="N24" s="158" t="n">
        <f aca="false">(N14=1)*Assumption!$G$115*CHOOSE(MIN(MAX(N16,1),3),Assumption!$E$122,Assumption!$E$123,Assumption!$E$124)*N18/1000000*(1+Assumption!$E$118)^(MAX(N16,1)-1)</f>
        <v>0</v>
      </c>
      <c r="O24" s="158" t="n">
        <f aca="false">(O14=1)*Assumption!$G$115*CHOOSE(MIN(MAX(O16,1),3),Assumption!$E$122,Assumption!$E$123,Assumption!$E$124)*O18/1000000*(1+Assumption!$E$118)^(MAX(O16,1)-1)</f>
        <v>0</v>
      </c>
      <c r="P24" s="158" t="n">
        <f aca="false">(P14=1)*Assumption!$G$115*CHOOSE(MIN(MAX(P16,1),3),Assumption!$E$122,Assumption!$E$123,Assumption!$E$124)*P18/1000000*(1+Assumption!$E$118)^(MAX(P16,1)-1)</f>
        <v>0</v>
      </c>
      <c r="Q24" s="158" t="n">
        <f aca="false">(Q14=1)*Assumption!$G$115*CHOOSE(MIN(MAX(Q16,1),3),Assumption!$E$122,Assumption!$E$123,Assumption!$E$124)*Q18/1000000*(1+Assumption!$E$118)^(MAX(Q16,1)-1)</f>
        <v>0</v>
      </c>
      <c r="R24" s="158" t="n">
        <f aca="false">(R14=1)*Assumption!$G$115*CHOOSE(MIN(MAX(R16,1),3),Assumption!$E$122,Assumption!$E$123,Assumption!$E$124)*R18/1000000*(1+Assumption!$E$118)^(MAX(R16,1)-1)</f>
        <v>0</v>
      </c>
      <c r="S24" s="158" t="n">
        <f aca="false">(S14=1)*Assumption!$G$115*CHOOSE(MIN(MAX(S16,1),3),Assumption!$E$122,Assumption!$E$123,Assumption!$E$124)*S18/1000000*(1+Assumption!$E$118)^(MAX(S16,1)-1)</f>
        <v>0</v>
      </c>
      <c r="T24" s="158" t="n">
        <f aca="false">(T14=1)*Assumption!$G$115*CHOOSE(MIN(MAX(T16,1),3),Assumption!$E$122,Assumption!$E$123,Assumption!$E$124)*T18/1000000*(1+Assumption!$E$118)^(MAX(T16,1)-1)</f>
        <v>0</v>
      </c>
      <c r="U24" s="158" t="n">
        <f aca="false">(U14=1)*Assumption!$G$115*CHOOSE(MIN(MAX(U16,1),3),Assumption!$E$122,Assumption!$E$123,Assumption!$E$124)*U18/1000000*(1+Assumption!$E$118)^(MAX(U16,1)-1)</f>
        <v>0</v>
      </c>
      <c r="V24" s="158" t="n">
        <f aca="false">(V14=1)*Assumption!$G$115*CHOOSE(MIN(MAX(V16,1),3),Assumption!$E$122,Assumption!$E$123,Assumption!$E$124)*V18/1000000*(1+Assumption!$E$118)^(MAX(V16,1)-1)</f>
        <v>0</v>
      </c>
      <c r="W24" s="158" t="n">
        <f aca="false">(W14=1)*Assumption!$G$115*CHOOSE(MIN(MAX(W16,1),3),Assumption!$E$122,Assumption!$E$123,Assumption!$E$124)*W18/1000000*(1+Assumption!$E$118)^(MAX(W16,1)-1)</f>
        <v>0</v>
      </c>
      <c r="X24" s="158" t="n">
        <f aca="false">(X14=1)*Assumption!$G$115*CHOOSE(MIN(MAX(X16,1),3),Assumption!$E$122,Assumption!$E$123,Assumption!$E$124)*X18/1000000*(1+Assumption!$E$118)^(MAX(X16,1)-1)</f>
        <v>0</v>
      </c>
      <c r="Y24" s="158" t="n">
        <f aca="false">(Y14=1)*Assumption!$G$115*CHOOSE(MIN(MAX(Y16,1),3),Assumption!$E$122,Assumption!$E$123,Assumption!$E$124)*Y18/1000000*(1+Assumption!$E$118)^(MAX(Y16,1)-1)</f>
        <v>0</v>
      </c>
      <c r="Z24" s="158" t="n">
        <f aca="false">(Z14=1)*Assumption!$G$115*CHOOSE(MIN(MAX(Z16,1),3),Assumption!$E$122,Assumption!$E$123,Assumption!$E$124)*Z18/1000000*(1+Assumption!$E$118)^(MAX(Z16,1)-1)</f>
        <v>0</v>
      </c>
      <c r="AA24" s="158" t="n">
        <f aca="false">(AA14=1)*Assumption!$G$115*CHOOSE(MIN(MAX(AA16,1),3),Assumption!$E$122,Assumption!$E$123,Assumption!$E$124)*AA18/1000000*(1+Assumption!$E$118)^(MAX(AA16,1)-1)</f>
        <v>0</v>
      </c>
      <c r="AB24" s="158" t="n">
        <f aca="false">(AB14=1)*Assumption!$G$115*CHOOSE(MIN(MAX(AB16,1),3),Assumption!$E$122,Assumption!$E$123,Assumption!$E$124)*AB18/1000000*(1+Assumption!$E$118)^(MAX(AB16,1)-1)</f>
        <v>0</v>
      </c>
      <c r="AC24" s="158" t="n">
        <f aca="false">(AC14=1)*Assumption!$G$115*CHOOSE(MIN(MAX(AC16,1),3),Assumption!$E$122,Assumption!$E$123,Assumption!$E$124)*AC18/1000000*(1+Assumption!$E$118)^(MAX(AC16,1)-1)</f>
        <v>0</v>
      </c>
      <c r="AD24" s="158" t="n">
        <f aca="false">(AD14=1)*Assumption!$G$115*CHOOSE(MIN(MAX(AD16,1),3),Assumption!$E$122,Assumption!$E$123,Assumption!$E$124)*AD18/1000000*(1+Assumption!$E$118)^(MAX(AD16,1)-1)</f>
        <v>0</v>
      </c>
      <c r="AE24" s="158" t="n">
        <f aca="false">(AE14=1)*Assumption!$G$115*CHOOSE(MIN(MAX(AE16,1),3),Assumption!$E$122,Assumption!$E$123,Assumption!$E$124)*AE18/1000000*(1+Assumption!$E$118)^(MAX(AE16,1)-1)</f>
        <v>0</v>
      </c>
      <c r="AF24" s="158" t="n">
        <f aca="false">(AF14=1)*Assumption!$G$115*CHOOSE(MIN(MAX(AF16,1),3),Assumption!$E$122,Assumption!$E$123,Assumption!$E$124)*AF18/1000000*(1+Assumption!$E$118)^(MAX(AF16,1)-1)</f>
        <v>0</v>
      </c>
      <c r="AG24" s="158" t="n">
        <f aca="false">(AG14=1)*Assumption!$G$115*CHOOSE(MIN(MAX(AG16,1),3),Assumption!$E$122,Assumption!$E$123,Assumption!$E$124)*AG18/1000000*(1+Assumption!$E$118)^(MAX(AG16,1)-1)</f>
        <v>0</v>
      </c>
      <c r="AH24" s="158" t="n">
        <f aca="false">(AH14=1)*Assumption!$G$115*CHOOSE(MIN(MAX(AH16,1),3),Assumption!$E$122,Assumption!$E$123,Assumption!$E$124)*AH18/1000000*(1+Assumption!$E$118)^(MAX(AH16,1)-1)</f>
        <v>0</v>
      </c>
      <c r="AI24" s="158" t="n">
        <f aca="false">(AI14=1)*Assumption!$G$115*CHOOSE(MIN(MAX(AI16,1),3),Assumption!$E$122,Assumption!$E$123,Assumption!$E$124)*AI18/1000000*(1+Assumption!$E$118)^(MAX(AI16,1)-1)</f>
        <v>0</v>
      </c>
      <c r="AJ24" s="158" t="n">
        <f aca="false">(AJ14=1)*Assumption!$G$115*CHOOSE(MIN(MAX(AJ16,1),3),Assumption!$E$122,Assumption!$E$123,Assumption!$E$124)*AJ18/1000000*(1+Assumption!$E$118)^(MAX(AJ16,1)-1)</f>
        <v>0</v>
      </c>
      <c r="AK24" s="158" t="n">
        <f aca="false">(AK14=1)*Assumption!$G$115*CHOOSE(MIN(MAX(AK16,1),3),Assumption!$E$122,Assumption!$E$123,Assumption!$E$124)*AK18/1000000*(1+Assumption!$E$118)^(MAX(AK16,1)-1)</f>
        <v>0</v>
      </c>
      <c r="AL24" s="158" t="n">
        <f aca="false">(AL14=1)*Assumption!$G$115*CHOOSE(MIN(MAX(AL16,1),3),Assumption!$E$122,Assumption!$E$123,Assumption!$E$124)*AL18/1000000*(1+Assumption!$E$118)^(MAX(AL16,1)-1)</f>
        <v>0</v>
      </c>
      <c r="AM24" s="158" t="n">
        <f aca="false">(AM14=1)*Assumption!$G$115*CHOOSE(MIN(MAX(AM16,1),3),Assumption!$E$122,Assumption!$E$123,Assumption!$E$124)*AM18/1000000*(1+Assumption!$E$118)^(MAX(AM16,1)-1)</f>
        <v>0</v>
      </c>
      <c r="AN24" s="158" t="n">
        <f aca="false">(AN14=1)*Assumption!$G$115*CHOOSE(MIN(MAX(AN16,1),3),Assumption!$E$122,Assumption!$E$123,Assumption!$E$124)*AN18/1000000*(1+Assumption!$E$118)^(MAX(AN16,1)-1)</f>
        <v>0</v>
      </c>
      <c r="AO24" s="158" t="n">
        <f aca="false">(AO14=1)*Assumption!$G$115*CHOOSE(MIN(MAX(AO16,1),3),Assumption!$E$122,Assumption!$E$123,Assumption!$E$124)*AO18/1000000*(1+Assumption!$E$118)^(MAX(AO16,1)-1)</f>
        <v>0</v>
      </c>
      <c r="AP24" s="158" t="n">
        <f aca="false">(AP14=1)*Assumption!$G$115*CHOOSE(MIN(MAX(AP16,1),3),Assumption!$E$122,Assumption!$E$123,Assumption!$E$124)*AP18/1000000*(1+Assumption!$E$118)^(MAX(AP16,1)-1)</f>
        <v>0</v>
      </c>
      <c r="AQ24" s="158" t="n">
        <f aca="false">(AQ14=1)*Assumption!$G$115*CHOOSE(MIN(MAX(AQ16,1),3),Assumption!$E$122,Assumption!$E$123,Assumption!$E$124)*AQ18/1000000*(1+Assumption!$E$118)^(MAX(AQ16,1)-1)</f>
        <v>0</v>
      </c>
      <c r="AR24" s="158" t="n">
        <f aca="false">(AR14=1)*Assumption!$G$115*CHOOSE(MIN(MAX(AR16,1),3),Assumption!$E$122,Assumption!$E$123,Assumption!$E$124)*AR18/1000000*(1+Assumption!$E$118)^(MAX(AR16,1)-1)</f>
        <v>0</v>
      </c>
      <c r="AS24" s="158" t="n">
        <f aca="false">(AS14=1)*Assumption!$G$115*CHOOSE(MIN(MAX(AS16,1),3),Assumption!$E$122,Assumption!$E$123,Assumption!$E$124)*AS18/1000000*(1+Assumption!$E$118)^(MAX(AS16,1)-1)</f>
        <v>0</v>
      </c>
      <c r="AT24" s="158" t="n">
        <f aca="false">(AT14=1)*Assumption!$G$115*CHOOSE(MIN(MAX(AT16,1),3),Assumption!$E$122,Assumption!$E$123,Assumption!$E$124)*AT18/1000000*(1+Assumption!$E$118)^(MAX(AT16,1)-1)</f>
        <v>0</v>
      </c>
      <c r="AU24" s="158" t="n">
        <f aca="false">(AU14=1)*Assumption!$G$115*CHOOSE(MIN(MAX(AU16,1),3),Assumption!$E$122,Assumption!$E$123,Assumption!$E$124)*AU18/1000000*(1+Assumption!$E$118)^(MAX(AU16,1)-1)</f>
        <v>0</v>
      </c>
      <c r="AV24" s="158" t="n">
        <f aca="false">(AV14=1)*Assumption!$G$115*CHOOSE(MIN(MAX(AV16,1),3),Assumption!$E$122,Assumption!$E$123,Assumption!$E$124)*AV18/1000000*(1+Assumption!$E$118)^(MAX(AV16,1)-1)</f>
        <v>0</v>
      </c>
      <c r="AW24" s="158" t="n">
        <f aca="false">(AW14=1)*Assumption!$G$115*CHOOSE(MIN(MAX(AW16,1),3),Assumption!$E$122,Assumption!$E$123,Assumption!$E$124)*AW18/1000000*(1+Assumption!$E$118)^(MAX(AW16,1)-1)</f>
        <v>0</v>
      </c>
      <c r="AX24" s="158" t="n">
        <f aca="false">(AX14=1)*Assumption!$G$115*CHOOSE(MIN(MAX(AX16,1),3),Assumption!$E$122,Assumption!$E$123,Assumption!$E$124)*AX18/1000000*(1+Assumption!$E$118)^(MAX(AX16,1)-1)</f>
        <v>0</v>
      </c>
      <c r="AY24" s="158" t="n">
        <f aca="false">(AY14=1)*Assumption!$G$115*CHOOSE(MIN(MAX(AY16,1),3),Assumption!$E$122,Assumption!$E$123,Assumption!$E$124)*AY18/1000000*(1+Assumption!$E$118)^(MAX(AY16,1)-1)</f>
        <v>0</v>
      </c>
      <c r="AZ24" s="158" t="n">
        <f aca="false">(AZ14=1)*Assumption!$G$115*CHOOSE(MIN(MAX(AZ16,1),3),Assumption!$E$122,Assumption!$E$123,Assumption!$E$124)*AZ18/1000000*(1+Assumption!$E$118)^(MAX(AZ16,1)-1)</f>
        <v>0</v>
      </c>
      <c r="BA24" s="158" t="n">
        <f aca="false">(BA14=1)*Assumption!$G$115*CHOOSE(MIN(MAX(BA16,1),3),Assumption!$E$122,Assumption!$E$123,Assumption!$E$124)*BA18/1000000*(1+Assumption!$E$118)^(MAX(BA16,1)-1)</f>
        <v>0</v>
      </c>
      <c r="BB24" s="158" t="n">
        <f aca="false">(BB14=1)*Assumption!$G$115*CHOOSE(MIN(MAX(BB16,1),3),Assumption!$E$122,Assumption!$E$123,Assumption!$E$124)*BB18/1000000*(1+Assumption!$E$118)^(MAX(BB16,1)-1)</f>
        <v>0</v>
      </c>
      <c r="BC24" s="158" t="n">
        <f aca="false">(BC14=1)*Assumption!$G$115*CHOOSE(MIN(MAX(BC16,1),3),Assumption!$E$122,Assumption!$E$123,Assumption!$E$124)*BC18/1000000*(1+Assumption!$E$118)^(MAX(BC16,1)-1)</f>
        <v>0</v>
      </c>
      <c r="BD24" s="158" t="n">
        <f aca="false">(BD14=1)*Assumption!$G$115*CHOOSE(MIN(MAX(BD16,1),3),Assumption!$E$122,Assumption!$E$123,Assumption!$E$124)*BD18/1000000*(1+Assumption!$E$118)^(MAX(BD16,1)-1)</f>
        <v>0</v>
      </c>
      <c r="BE24" s="158" t="n">
        <f aca="false">(BE14=1)*Assumption!$G$115*CHOOSE(MIN(MAX(BE16,1),3),Assumption!$E$122,Assumption!$E$123,Assumption!$E$124)*BE18/1000000*(1+Assumption!$E$118)^(MAX(BE16,1)-1)</f>
        <v>0</v>
      </c>
      <c r="BF24" s="158" t="n">
        <f aca="false">(BF14=1)*Assumption!$G$115*CHOOSE(MIN(MAX(BF16,1),3),Assumption!$E$122,Assumption!$E$123,Assumption!$E$124)*BF18/1000000*(1+Assumption!$E$118)^(MAX(BF16,1)-1)</f>
        <v>0</v>
      </c>
      <c r="BG24" s="158" t="n">
        <f aca="false">(BG14=1)*Assumption!$G$115*CHOOSE(MIN(MAX(BG16,1),3),Assumption!$E$122,Assumption!$E$123,Assumption!$E$124)*BG18/1000000*(1+Assumption!$E$118)^(MAX(BG16,1)-1)</f>
        <v>0</v>
      </c>
      <c r="BH24" s="158" t="n">
        <f aca="false">(BH14=1)*Assumption!$G$115*CHOOSE(MIN(MAX(BH16,1),3),Assumption!$E$122,Assumption!$E$123,Assumption!$E$124)*BH18/1000000*(1+Assumption!$E$118)^(MAX(BH16,1)-1)</f>
        <v>0</v>
      </c>
      <c r="BI24" s="158" t="n">
        <f aca="false">(BI14=1)*Assumption!$G$115*CHOOSE(MIN(MAX(BI16,1),3),Assumption!$E$122,Assumption!$E$123,Assumption!$E$124)*BI18/1000000*(1+Assumption!$E$118)^(MAX(BI16,1)-1)</f>
        <v>0</v>
      </c>
      <c r="BJ24" s="158" t="n">
        <f aca="false">(BJ14=1)*Assumption!$G$115*CHOOSE(MIN(MAX(BJ16,1),3),Assumption!$E$122,Assumption!$E$123,Assumption!$E$124)*BJ18/1000000*(1+Assumption!$E$118)^(MAX(BJ16,1)-1)</f>
        <v>0</v>
      </c>
      <c r="BK24" s="158" t="n">
        <f aca="false">(BK14=1)*Assumption!$G$115*CHOOSE(MIN(MAX(BK16,1),3),Assumption!$E$122,Assumption!$E$123,Assumption!$E$124)*BK18/1000000*(1+Assumption!$E$118)^(MAX(BK16,1)-1)</f>
        <v>0</v>
      </c>
      <c r="BL24" s="158" t="n">
        <f aca="false">(BL14=1)*Assumption!$G$115*CHOOSE(MIN(MAX(BL16,1),3),Assumption!$E$122,Assumption!$E$123,Assumption!$E$124)*BL18/1000000*(1+Assumption!$E$118)^(MAX(BL16,1)-1)</f>
        <v>0</v>
      </c>
      <c r="BM24" s="158" t="n">
        <f aca="false">(BM14=1)*Assumption!$G$115*CHOOSE(MIN(MAX(BM16,1),3),Assumption!$E$122,Assumption!$E$123,Assumption!$E$124)*BM18/1000000*(1+Assumption!$E$118)^(MAX(BM16,1)-1)</f>
        <v>1407.6111751</v>
      </c>
      <c r="BN24" s="158" t="n">
        <f aca="false">(BN14=1)*Assumption!$G$115*CHOOSE(MIN(MAX(BN16,1),3),Assumption!$E$122,Assumption!$E$123,Assumption!$E$124)*BN18/1000000*(1+Assumption!$E$118)^(MAX(BN16,1)-1)</f>
        <v>1362.204363</v>
      </c>
      <c r="BO24" s="158" t="n">
        <f aca="false">(BO14=1)*Assumption!$G$115*CHOOSE(MIN(MAX(BO16,1),3),Assumption!$E$122,Assumption!$E$123,Assumption!$E$124)*BO18/1000000*(1+Assumption!$E$118)^(MAX(BO16,1)-1)</f>
        <v>1407.6111751</v>
      </c>
      <c r="BP24" s="158" t="n">
        <f aca="false">(BP14=1)*Assumption!$G$115*CHOOSE(MIN(MAX(BP16,1),3),Assumption!$E$122,Assumption!$E$123,Assumption!$E$124)*BP18/1000000*(1+Assumption!$E$118)^(MAX(BP16,1)-1)</f>
        <v>1362.204363</v>
      </c>
      <c r="BQ24" s="158" t="n">
        <f aca="false">(BQ14=1)*Assumption!$G$115*CHOOSE(MIN(MAX(BQ16,1),3),Assumption!$E$122,Assumption!$E$123,Assumption!$E$124)*BQ18/1000000*(1+Assumption!$E$118)^(MAX(BQ16,1)-1)</f>
        <v>1407.6111751</v>
      </c>
      <c r="BR24" s="158" t="n">
        <f aca="false">(BR14=1)*Assumption!$G$115*CHOOSE(MIN(MAX(BR16,1),3),Assumption!$E$122,Assumption!$E$123,Assumption!$E$124)*BR18/1000000*(1+Assumption!$E$118)^(MAX(BR16,1)-1)</f>
        <v>1407.6111751</v>
      </c>
      <c r="BS24" s="158" t="n">
        <f aca="false">(BS14=1)*Assumption!$G$115*CHOOSE(MIN(MAX(BS16,1),3),Assumption!$E$122,Assumption!$E$123,Assumption!$E$124)*BS18/1000000*(1+Assumption!$E$118)^(MAX(BS16,1)-1)</f>
        <v>1362.204363</v>
      </c>
      <c r="BT24" s="158" t="n">
        <f aca="false">(BT14=1)*Assumption!$G$115*CHOOSE(MIN(MAX(BT16,1),3),Assumption!$E$122,Assumption!$E$123,Assumption!$E$124)*BT18/1000000*(1+Assumption!$E$118)^(MAX(BT16,1)-1)</f>
        <v>1407.6111751</v>
      </c>
      <c r="BU24" s="158" t="n">
        <f aca="false">(BU14=1)*Assumption!$G$115*CHOOSE(MIN(MAX(BU16,1),3),Assumption!$E$122,Assumption!$E$123,Assumption!$E$124)*BU18/1000000*(1+Assumption!$E$118)^(MAX(BU16,1)-1)</f>
        <v>1362.204363</v>
      </c>
      <c r="BV24" s="158" t="n">
        <f aca="false">(BV14=1)*Assumption!$G$115*CHOOSE(MIN(MAX(BV16,1),3),Assumption!$E$122,Assumption!$E$123,Assumption!$E$124)*BV18/1000000*(1+Assumption!$E$118)^(MAX(BV16,1)-1)</f>
        <v>1407.6111751</v>
      </c>
      <c r="BW24" s="158" t="n">
        <f aca="false">(BW14=1)*Assumption!$G$115*CHOOSE(MIN(MAX(BW16,1),3),Assumption!$E$122,Assumption!$E$123,Assumption!$E$124)*BW18/1000000*(1+Assumption!$E$118)^(MAX(BW16,1)-1)</f>
        <v>1407.6111751</v>
      </c>
      <c r="BX24" s="158" t="n">
        <f aca="false">(BX14=1)*Assumption!$G$115*CHOOSE(MIN(MAX(BX16,1),3),Assumption!$E$122,Assumption!$E$123,Assumption!$E$124)*BX18/1000000*(1+Assumption!$E$118)^(MAX(BX16,1)-1)</f>
        <v>1316.7975509</v>
      </c>
      <c r="BY24" s="158" t="n">
        <f aca="false">(BY14=1)*Assumption!$G$115*CHOOSE(MIN(MAX(BY16,1),3),Assumption!$E$122,Assumption!$E$123,Assumption!$E$124)*BY18/1000000*(1+Assumption!$E$118)^(MAX(BY16,1)-1)</f>
        <v>1656.65007531</v>
      </c>
      <c r="BZ24" s="158" t="n">
        <f aca="false">(BZ14=1)*Assumption!$G$115*CHOOSE(MIN(MAX(BZ16,1),3),Assumption!$E$122,Assumption!$E$123,Assumption!$E$124)*BZ18/1000000*(1+Assumption!$E$118)^(MAX(BZ16,1)-1)</f>
        <v>1603.2097503</v>
      </c>
      <c r="CA24" s="158" t="n">
        <f aca="false">(CA14=1)*Assumption!$G$115*CHOOSE(MIN(MAX(CA16,1),3),Assumption!$E$122,Assumption!$E$123,Assumption!$E$124)*CA18/1000000*(1+Assumption!$E$118)^(MAX(CA16,1)-1)</f>
        <v>1656.65007531</v>
      </c>
      <c r="CB24" s="158" t="n">
        <f aca="false">(CB14=1)*Assumption!$G$115*CHOOSE(MIN(MAX(CB16,1),3),Assumption!$E$122,Assumption!$E$123,Assumption!$E$124)*CB18/1000000*(1+Assumption!$E$118)^(MAX(CB16,1)-1)</f>
        <v>1603.2097503</v>
      </c>
      <c r="CC24" s="158" t="n">
        <f aca="false">(CC14=1)*Assumption!$G$115*CHOOSE(MIN(MAX(CC16,1),3),Assumption!$E$122,Assumption!$E$123,Assumption!$E$124)*CC18/1000000*(1+Assumption!$E$118)^(MAX(CC16,1)-1)</f>
        <v>1656.65007531</v>
      </c>
      <c r="CD24" s="158" t="n">
        <f aca="false">(CD14=1)*Assumption!$G$115*CHOOSE(MIN(MAX(CD16,1),3),Assumption!$E$122,Assumption!$E$123,Assumption!$E$124)*CD18/1000000*(1+Assumption!$E$118)^(MAX(CD16,1)-1)</f>
        <v>1656.65007531</v>
      </c>
      <c r="CE24" s="158" t="n">
        <f aca="false">(CE14=1)*Assumption!$G$115*CHOOSE(MIN(MAX(CE16,1),3),Assumption!$E$122,Assumption!$E$123,Assumption!$E$124)*CE18/1000000*(1+Assumption!$E$118)^(MAX(CE16,1)-1)</f>
        <v>1603.2097503</v>
      </c>
      <c r="CF24" s="158" t="n">
        <f aca="false">(CF14=1)*Assumption!$G$115*CHOOSE(MIN(MAX(CF16,1),3),Assumption!$E$122,Assumption!$E$123,Assumption!$E$124)*CF18/1000000*(1+Assumption!$E$118)^(MAX(CF16,1)-1)</f>
        <v>1656.65007531</v>
      </c>
      <c r="CG24" s="158" t="n">
        <f aca="false">(CG14=1)*Assumption!$G$115*CHOOSE(MIN(MAX(CG16,1),3),Assumption!$E$122,Assumption!$E$123,Assumption!$E$124)*CG18/1000000*(1+Assumption!$E$118)^(MAX(CG16,1)-1)</f>
        <v>1603.2097503</v>
      </c>
      <c r="CH24" s="158" t="n">
        <f aca="false">(CH14=1)*Assumption!$G$115*CHOOSE(MIN(MAX(CH16,1),3),Assumption!$E$122,Assumption!$E$123,Assumption!$E$124)*CH18/1000000*(1+Assumption!$E$118)^(MAX(CH16,1)-1)</f>
        <v>1656.65007531</v>
      </c>
      <c r="CI24" s="158" t="n">
        <f aca="false">(CI14=1)*Assumption!$G$115*CHOOSE(MIN(MAX(CI16,1),3),Assumption!$E$122,Assumption!$E$123,Assumption!$E$124)*CI18/1000000*(1+Assumption!$E$118)^(MAX(CI16,1)-1)</f>
        <v>1656.65007531</v>
      </c>
      <c r="CJ24" s="158" t="n">
        <f aca="false">(CJ14=1)*Assumption!$G$115*CHOOSE(MIN(MAX(CJ16,1),3),Assumption!$E$122,Assumption!$E$123,Assumption!$E$124)*CJ18/1000000*(1+Assumption!$E$118)^(MAX(CJ16,1)-1)</f>
        <v>1496.32910028</v>
      </c>
      <c r="CK24" s="158" t="n">
        <f aca="false">(CK14=1)*Assumption!$G$115*CHOOSE(MIN(MAX(CK16,1),3),Assumption!$E$122,Assumption!$E$123,Assumption!$E$124)*CK18/1000000*(1+Assumption!$E$118)^(MAX(CK16,1)-1)</f>
        <v>1689.7830768162</v>
      </c>
      <c r="CL24" s="158" t="n">
        <f aca="false">(CL14=1)*Assumption!$G$115*CHOOSE(MIN(MAX(CL16,1),3),Assumption!$E$122,Assumption!$E$123,Assumption!$E$124)*CL18/1000000*(1+Assumption!$E$118)^(MAX(CL16,1)-1)</f>
        <v>1635.273945306</v>
      </c>
      <c r="CM24" s="158" t="n">
        <f aca="false">(CM14=1)*Assumption!$G$115*CHOOSE(MIN(MAX(CM16,1),3),Assumption!$E$122,Assumption!$E$123,Assumption!$E$124)*CM18/1000000*(1+Assumption!$E$118)^(MAX(CM16,1)-1)</f>
        <v>1689.7830768162</v>
      </c>
      <c r="CN24" s="158" t="n">
        <f aca="false">(CN14=1)*Assumption!$G$115*CHOOSE(MIN(MAX(CN16,1),3),Assumption!$E$122,Assumption!$E$123,Assumption!$E$124)*CN18/1000000*(1+Assumption!$E$118)^(MAX(CN16,1)-1)</f>
        <v>1635.273945306</v>
      </c>
      <c r="CO24" s="158" t="n">
        <f aca="false">(CO14=1)*Assumption!$G$115*CHOOSE(MIN(MAX(CO16,1),3),Assumption!$E$122,Assumption!$E$123,Assumption!$E$124)*CO18/1000000*(1+Assumption!$E$118)^(MAX(CO16,1)-1)</f>
        <v>1689.7830768162</v>
      </c>
      <c r="CP24" s="158" t="n">
        <f aca="false">(CP14=1)*Assumption!$G$115*CHOOSE(MIN(MAX(CP16,1),3),Assumption!$E$122,Assumption!$E$123,Assumption!$E$124)*CP18/1000000*(1+Assumption!$E$118)^(MAX(CP16,1)-1)</f>
        <v>1689.7830768162</v>
      </c>
      <c r="CQ24" s="158" t="n">
        <f aca="false">(CQ14=1)*Assumption!$G$115*CHOOSE(MIN(MAX(CQ16,1),3),Assumption!$E$122,Assumption!$E$123,Assumption!$E$124)*CQ18/1000000*(1+Assumption!$E$118)^(MAX(CQ16,1)-1)</f>
        <v>1635.273945306</v>
      </c>
      <c r="CR24" s="158" t="n">
        <f aca="false">(CR14=1)*Assumption!$G$115*CHOOSE(MIN(MAX(CR16,1),3),Assumption!$E$122,Assumption!$E$123,Assumption!$E$124)*CR18/1000000*(1+Assumption!$E$118)^(MAX(CR16,1)-1)</f>
        <v>1689.7830768162</v>
      </c>
      <c r="CS24" s="158" t="n">
        <f aca="false">(CS14=1)*Assumption!$G$115*CHOOSE(MIN(MAX(CS16,1),3),Assumption!$E$122,Assumption!$E$123,Assumption!$E$124)*CS18/1000000*(1+Assumption!$E$118)^(MAX(CS16,1)-1)</f>
        <v>1635.273945306</v>
      </c>
      <c r="CT24" s="158" t="n">
        <f aca="false">(CT14=1)*Assumption!$G$115*CHOOSE(MIN(MAX(CT16,1),3),Assumption!$E$122,Assumption!$E$123,Assumption!$E$124)*CT18/1000000*(1+Assumption!$E$118)^(MAX(CT16,1)-1)</f>
        <v>1689.7830768162</v>
      </c>
      <c r="CU24" s="158" t="n">
        <f aca="false">(CU14=1)*Assumption!$G$115*CHOOSE(MIN(MAX(CU16,1),3),Assumption!$E$122,Assumption!$E$123,Assumption!$E$124)*CU18/1000000*(1+Assumption!$E$118)^(MAX(CU16,1)-1)</f>
        <v>1689.7830768162</v>
      </c>
      <c r="CV24" s="158" t="n">
        <f aca="false">(CV14=1)*Assumption!$G$115*CHOOSE(MIN(MAX(CV16,1),3),Assumption!$E$122,Assumption!$E$123,Assumption!$E$124)*CV18/1000000*(1+Assumption!$E$118)^(MAX(CV16,1)-1)</f>
        <v>1526.2556822856</v>
      </c>
      <c r="CW24" s="158" t="n">
        <f aca="false">(CW14=1)*Assumption!$G$115*CHOOSE(MIN(MAX(CW16,1),3),Assumption!$E$122,Assumption!$E$123,Assumption!$E$124)*CW18/1000000*(1+Assumption!$E$118)^(MAX(CW16,1)-1)</f>
        <v>1723.57873835252</v>
      </c>
      <c r="CX24" s="158" t="n">
        <f aca="false">(CX14=1)*Assumption!$G$115*CHOOSE(MIN(MAX(CX16,1),3),Assumption!$E$122,Assumption!$E$123,Assumption!$E$124)*CX18/1000000*(1+Assumption!$E$118)^(MAX(CX16,1)-1)</f>
        <v>1667.97942421212</v>
      </c>
      <c r="CY24" s="158" t="n">
        <f aca="false">(CY14=1)*Assumption!$G$115*CHOOSE(MIN(MAX(CY16,1),3),Assumption!$E$122,Assumption!$E$123,Assumption!$E$124)*CY18/1000000*(1+Assumption!$E$118)^(MAX(CY16,1)-1)</f>
        <v>1723.57873835252</v>
      </c>
      <c r="CZ24" s="158" t="n">
        <f aca="false">(CZ14=1)*Assumption!$G$115*CHOOSE(MIN(MAX(CZ16,1),3),Assumption!$E$122,Assumption!$E$123,Assumption!$E$124)*CZ18/1000000*(1+Assumption!$E$118)^(MAX(CZ16,1)-1)</f>
        <v>1667.97942421212</v>
      </c>
      <c r="DA24" s="158" t="n">
        <f aca="false">(DA14=1)*Assumption!$G$115*CHOOSE(MIN(MAX(DA16,1),3),Assumption!$E$122,Assumption!$E$123,Assumption!$E$124)*DA18/1000000*(1+Assumption!$E$118)^(MAX(DA16,1)-1)</f>
        <v>1723.57873835252</v>
      </c>
      <c r="DB24" s="158" t="n">
        <f aca="false">(DB14=1)*Assumption!$G$115*CHOOSE(MIN(MAX(DB16,1),3),Assumption!$E$122,Assumption!$E$123,Assumption!$E$124)*DB18/1000000*(1+Assumption!$E$118)^(MAX(DB16,1)-1)</f>
        <v>1723.57873835252</v>
      </c>
      <c r="DC24" s="158" t="n">
        <f aca="false">(DC14=1)*Assumption!$G$115*CHOOSE(MIN(MAX(DC16,1),3),Assumption!$E$122,Assumption!$E$123,Assumption!$E$124)*DC18/1000000*(1+Assumption!$E$118)^(MAX(DC16,1)-1)</f>
        <v>1667.97942421212</v>
      </c>
      <c r="DD24" s="158" t="n">
        <f aca="false">(DD14=1)*Assumption!$G$115*CHOOSE(MIN(MAX(DD16,1),3),Assumption!$E$122,Assumption!$E$123,Assumption!$E$124)*DD18/1000000*(1+Assumption!$E$118)^(MAX(DD16,1)-1)</f>
        <v>1723.57873835252</v>
      </c>
      <c r="DE24" s="158" t="n">
        <f aca="false">(DE14=1)*Assumption!$G$115*CHOOSE(MIN(MAX(DE16,1),3),Assumption!$E$122,Assumption!$E$123,Assumption!$E$124)*DE18/1000000*(1+Assumption!$E$118)^(MAX(DE16,1)-1)</f>
        <v>1667.97942421212</v>
      </c>
      <c r="DF24" s="158" t="n">
        <f aca="false">(DF14=1)*Assumption!$G$115*CHOOSE(MIN(MAX(DF16,1),3),Assumption!$E$122,Assumption!$E$123,Assumption!$E$124)*DF18/1000000*(1+Assumption!$E$118)^(MAX(DF16,1)-1)</f>
        <v>1723.57873835252</v>
      </c>
      <c r="DG24" s="158" t="n">
        <f aca="false">(DG14=1)*Assumption!$G$115*CHOOSE(MIN(MAX(DG16,1),3),Assumption!$E$122,Assumption!$E$123,Assumption!$E$124)*DG18/1000000*(1+Assumption!$E$118)^(MAX(DG16,1)-1)</f>
        <v>1723.57873835252</v>
      </c>
      <c r="DH24" s="158" t="n">
        <f aca="false">(DH14=1)*Assumption!$G$115*CHOOSE(MIN(MAX(DH16,1),3),Assumption!$E$122,Assumption!$E$123,Assumption!$E$124)*DH18/1000000*(1+Assumption!$E$118)^(MAX(DH16,1)-1)</f>
        <v>1556.78079593131</v>
      </c>
      <c r="DI24" s="158" t="n">
        <f aca="false">(DI14=1)*Assumption!$G$115*CHOOSE(MIN(MAX(DI16,1),3),Assumption!$E$122,Assumption!$E$123,Assumption!$E$124)*DI18/1000000*(1+Assumption!$E$118)^(MAX(DI16,1)-1)</f>
        <v>1758.05031311957</v>
      </c>
      <c r="DJ24" s="158" t="n">
        <f aca="false">(DJ14=1)*Assumption!$G$115*CHOOSE(MIN(MAX(DJ16,1),3),Assumption!$E$122,Assumption!$E$123,Assumption!$E$124)*DJ18/1000000*(1+Assumption!$E$118)^(MAX(DJ16,1)-1)</f>
        <v>1701.33901269636</v>
      </c>
      <c r="DK24" s="158" t="n">
        <f aca="false">(DK14=1)*Assumption!$G$115*CHOOSE(MIN(MAX(DK16,1),3),Assumption!$E$122,Assumption!$E$123,Assumption!$E$124)*DK18/1000000*(1+Assumption!$E$118)^(MAX(DK16,1)-1)</f>
        <v>1758.05031311957</v>
      </c>
      <c r="DL24" s="158" t="n">
        <f aca="false">(DL14=1)*Assumption!$G$115*CHOOSE(MIN(MAX(DL16,1),3),Assumption!$E$122,Assumption!$E$123,Assumption!$E$124)*DL18/1000000*(1+Assumption!$E$118)^(MAX(DL16,1)-1)</f>
        <v>1701.33901269636</v>
      </c>
      <c r="DM24" s="158" t="n">
        <f aca="false">(DM14=1)*Assumption!$G$115*CHOOSE(MIN(MAX(DM16,1),3),Assumption!$E$122,Assumption!$E$123,Assumption!$E$124)*DM18/1000000*(1+Assumption!$E$118)^(MAX(DM16,1)-1)</f>
        <v>1758.05031311957</v>
      </c>
      <c r="DN24" s="158" t="n">
        <f aca="false">(DN14=1)*Assumption!$G$115*CHOOSE(MIN(MAX(DN16,1),3),Assumption!$E$122,Assumption!$E$123,Assumption!$E$124)*DN18/1000000*(1+Assumption!$E$118)^(MAX(DN16,1)-1)</f>
        <v>1758.05031311957</v>
      </c>
      <c r="DO24" s="158" t="n">
        <f aca="false">(DO14=1)*Assumption!$G$115*CHOOSE(MIN(MAX(DO16,1),3),Assumption!$E$122,Assumption!$E$123,Assumption!$E$124)*DO18/1000000*(1+Assumption!$E$118)^(MAX(DO16,1)-1)</f>
        <v>1701.33901269636</v>
      </c>
      <c r="DP24" s="158" t="n">
        <f aca="false">(DP14=1)*Assumption!$G$115*CHOOSE(MIN(MAX(DP16,1),3),Assumption!$E$122,Assumption!$E$123,Assumption!$E$124)*DP18/1000000*(1+Assumption!$E$118)^(MAX(DP16,1)-1)</f>
        <v>1758.05031311957</v>
      </c>
      <c r="DQ24" s="158" t="n">
        <f aca="false">(DQ14=1)*Assumption!$G$115*CHOOSE(MIN(MAX(DQ16,1),3),Assumption!$E$122,Assumption!$E$123,Assumption!$E$124)*DQ18/1000000*(1+Assumption!$E$118)^(MAX(DQ16,1)-1)</f>
        <v>1701.33901269636</v>
      </c>
      <c r="DR24" s="158" t="n">
        <f aca="false">(DR14=1)*Assumption!$G$115*CHOOSE(MIN(MAX(DR16,1),3),Assumption!$E$122,Assumption!$E$123,Assumption!$E$124)*DR18/1000000*(1+Assumption!$E$118)^(MAX(DR16,1)-1)</f>
        <v>1758.05031311957</v>
      </c>
      <c r="DS24" s="158" t="n">
        <f aca="false">(DS14=1)*Assumption!$G$115*CHOOSE(MIN(MAX(DS16,1),3),Assumption!$E$122,Assumption!$E$123,Assumption!$E$124)*DS18/1000000*(1+Assumption!$E$118)^(MAX(DS16,1)-1)</f>
        <v>1758.05031311957</v>
      </c>
      <c r="DT24" s="158" t="n">
        <f aca="false">(DT14=1)*Assumption!$G$115*CHOOSE(MIN(MAX(DT16,1),3),Assumption!$E$122,Assumption!$E$123,Assumption!$E$124)*DT18/1000000*(1+Assumption!$E$118)^(MAX(DT16,1)-1)</f>
        <v>1644.62771227315</v>
      </c>
      <c r="DU24" s="158" t="n">
        <f aca="false">(DU14=1)*Assumption!$G$115*CHOOSE(MIN(MAX(DU16,1),3),Assumption!$E$122,Assumption!$E$123,Assumption!$E$124)*DU18/1000000*(1+Assumption!$E$118)^(MAX(DU16,1)-1)</f>
        <v>0</v>
      </c>
      <c r="DV24" s="158" t="n">
        <f aca="false">(DV14=1)*Assumption!$G$115*CHOOSE(MIN(MAX(DV16,1),3),Assumption!$E$122,Assumption!$E$123,Assumption!$E$124)*DV18/1000000*(1+Assumption!$E$118)^(MAX(DV16,1)-1)</f>
        <v>0</v>
      </c>
      <c r="DW24" s="158" t="n">
        <f aca="false">(DW14=1)*Assumption!$G$115*CHOOSE(MIN(MAX(DW16,1),3),Assumption!$E$122,Assumption!$E$123,Assumption!$E$124)*DW18/1000000*(1+Assumption!$E$118)^(MAX(DW16,1)-1)</f>
        <v>0</v>
      </c>
      <c r="DX24" s="158" t="n">
        <f aca="false">(DX14=1)*Assumption!$G$115*CHOOSE(MIN(MAX(DX16,1),3),Assumption!$E$122,Assumption!$E$123,Assumption!$E$124)*DX18/1000000*(1+Assumption!$E$118)^(MAX(DX16,1)-1)</f>
        <v>0</v>
      </c>
      <c r="DY24" s="158" t="n">
        <f aca="false">(DY14=1)*Assumption!$G$115*CHOOSE(MIN(MAX(DY16,1),3),Assumption!$E$122,Assumption!$E$123,Assumption!$E$124)*DY18/1000000*(1+Assumption!$E$118)^(MAX(DY16,1)-1)</f>
        <v>0</v>
      </c>
      <c r="DZ24" s="158" t="n">
        <f aca="false">(DZ14=1)*Assumption!$G$115*CHOOSE(MIN(MAX(DZ16,1),3),Assumption!$E$122,Assumption!$E$123,Assumption!$E$124)*DZ18/1000000*(1+Assumption!$E$118)^(MAX(DZ16,1)-1)</f>
        <v>0</v>
      </c>
      <c r="EA24" s="158" t="n">
        <f aca="false">(EA14=1)*Assumption!$G$115*CHOOSE(MIN(MAX(EA16,1),3),Assumption!$E$122,Assumption!$E$123,Assumption!$E$124)*EA18/1000000*(1+Assumption!$E$118)^(MAX(EA16,1)-1)</f>
        <v>0</v>
      </c>
      <c r="EB24" s="158" t="n">
        <f aca="false">(EB14=1)*Assumption!$G$115*CHOOSE(MIN(MAX(EB16,1),3),Assumption!$E$122,Assumption!$E$123,Assumption!$E$124)*EB18/1000000*(1+Assumption!$E$118)^(MAX(EB16,1)-1)</f>
        <v>0</v>
      </c>
      <c r="EC24" s="158" t="n">
        <f aca="false">(EC14=1)*Assumption!$G$115*CHOOSE(MIN(MAX(EC16,1),3),Assumption!$E$122,Assumption!$E$123,Assumption!$E$124)*EC18/1000000*(1+Assumption!$E$118)^(MAX(EC16,1)-1)</f>
        <v>0</v>
      </c>
      <c r="ED24" s="158" t="n">
        <f aca="false">(ED14=1)*Assumption!$G$115*CHOOSE(MIN(MAX(ED16,1),3),Assumption!$E$122,Assumption!$E$123,Assumption!$E$124)*ED18/1000000*(1+Assumption!$E$118)^(MAX(ED16,1)-1)</f>
        <v>0</v>
      </c>
      <c r="EE24" s="158" t="n">
        <f aca="false">(EE14=1)*Assumption!$G$115*CHOOSE(MIN(MAX(EE16,1),3),Assumption!$E$122,Assumption!$E$123,Assumption!$E$124)*EE18/1000000*(1+Assumption!$E$118)^(MAX(EE16,1)-1)</f>
        <v>0</v>
      </c>
      <c r="EF24" s="158" t="n">
        <f aca="false">(EF14=1)*Assumption!$G$115*CHOOSE(MIN(MAX(EF16,1),3),Assumption!$E$122,Assumption!$E$123,Assumption!$E$124)*EF18/1000000*(1+Assumption!$E$118)^(MAX(EF16,1)-1)</f>
        <v>0</v>
      </c>
    </row>
    <row r="25" customFormat="false" ht="15" hidden="false" customHeight="false" outlineLevel="0" collapsed="false">
      <c r="A25" s="35" t="s">
        <v>496</v>
      </c>
      <c r="B25" s="241" t="s">
        <v>116</v>
      </c>
      <c r="C25" s="242" t="n">
        <f aca="false">SUM(E25:EF25)</f>
        <v>64746.0438265689</v>
      </c>
      <c r="E25" s="158" t="n">
        <f aca="false">E24*Assumption!$E$125</f>
        <v>0</v>
      </c>
      <c r="F25" s="158" t="n">
        <f aca="false">F24*Assumption!$E$125</f>
        <v>0</v>
      </c>
      <c r="G25" s="158" t="n">
        <f aca="false">G24*Assumption!$E$125</f>
        <v>0</v>
      </c>
      <c r="H25" s="158" t="n">
        <f aca="false">H24*Assumption!$E$125</f>
        <v>0</v>
      </c>
      <c r="I25" s="158" t="n">
        <f aca="false">I24*Assumption!$E$125</f>
        <v>0</v>
      </c>
      <c r="J25" s="158" t="n">
        <f aca="false">J24*Assumption!$E$125</f>
        <v>0</v>
      </c>
      <c r="K25" s="158" t="n">
        <f aca="false">K24*Assumption!$E$125</f>
        <v>0</v>
      </c>
      <c r="L25" s="158" t="n">
        <f aca="false">L24*Assumption!$E$125</f>
        <v>0</v>
      </c>
      <c r="M25" s="158" t="n">
        <f aca="false">M24*Assumption!$E$125</f>
        <v>0</v>
      </c>
      <c r="N25" s="158" t="n">
        <f aca="false">N24*Assumption!$E$125</f>
        <v>0</v>
      </c>
      <c r="O25" s="158" t="n">
        <f aca="false">O24*Assumption!$E$125</f>
        <v>0</v>
      </c>
      <c r="P25" s="158" t="n">
        <f aca="false">P24*Assumption!$E$125</f>
        <v>0</v>
      </c>
      <c r="Q25" s="158" t="n">
        <f aca="false">Q24*Assumption!$E$125</f>
        <v>0</v>
      </c>
      <c r="R25" s="158" t="n">
        <f aca="false">R24*Assumption!$E$125</f>
        <v>0</v>
      </c>
      <c r="S25" s="158" t="n">
        <f aca="false">S24*Assumption!$E$125</f>
        <v>0</v>
      </c>
      <c r="T25" s="158" t="n">
        <f aca="false">T24*Assumption!$E$125</f>
        <v>0</v>
      </c>
      <c r="U25" s="158" t="n">
        <f aca="false">U24*Assumption!$E$125</f>
        <v>0</v>
      </c>
      <c r="V25" s="158" t="n">
        <f aca="false">V24*Assumption!$E$125</f>
        <v>0</v>
      </c>
      <c r="W25" s="158" t="n">
        <f aca="false">W24*Assumption!$E$125</f>
        <v>0</v>
      </c>
      <c r="X25" s="158" t="n">
        <f aca="false">X24*Assumption!$E$125</f>
        <v>0</v>
      </c>
      <c r="Y25" s="158" t="n">
        <f aca="false">Y24*Assumption!$E$125</f>
        <v>0</v>
      </c>
      <c r="Z25" s="158" t="n">
        <f aca="false">Z24*Assumption!$E$125</f>
        <v>0</v>
      </c>
      <c r="AA25" s="158" t="n">
        <f aca="false">AA24*Assumption!$E$125</f>
        <v>0</v>
      </c>
      <c r="AB25" s="158" t="n">
        <f aca="false">AB24*Assumption!$E$125</f>
        <v>0</v>
      </c>
      <c r="AC25" s="158" t="n">
        <f aca="false">AC24*Assumption!$E$125</f>
        <v>0</v>
      </c>
      <c r="AD25" s="158" t="n">
        <f aca="false">AD24*Assumption!$E$125</f>
        <v>0</v>
      </c>
      <c r="AE25" s="158" t="n">
        <f aca="false">AE24*Assumption!$E$125</f>
        <v>0</v>
      </c>
      <c r="AF25" s="158" t="n">
        <f aca="false">AF24*Assumption!$E$125</f>
        <v>0</v>
      </c>
      <c r="AG25" s="158" t="n">
        <f aca="false">AG24*Assumption!$E$125</f>
        <v>0</v>
      </c>
      <c r="AH25" s="158" t="n">
        <f aca="false">AH24*Assumption!$E$125</f>
        <v>0</v>
      </c>
      <c r="AI25" s="158" t="n">
        <f aca="false">AI24*Assumption!$E$125</f>
        <v>0</v>
      </c>
      <c r="AJ25" s="158" t="n">
        <f aca="false">AJ24*Assumption!$E$125</f>
        <v>0</v>
      </c>
      <c r="AK25" s="158" t="n">
        <f aca="false">AK24*Assumption!$E$125</f>
        <v>0</v>
      </c>
      <c r="AL25" s="158" t="n">
        <f aca="false">AL24*Assumption!$E$125</f>
        <v>0</v>
      </c>
      <c r="AM25" s="158" t="n">
        <f aca="false">AM24*Assumption!$E$125</f>
        <v>0</v>
      </c>
      <c r="AN25" s="158" t="n">
        <f aca="false">AN24*Assumption!$E$125</f>
        <v>0</v>
      </c>
      <c r="AO25" s="158" t="n">
        <f aca="false">AO24*Assumption!$E$125</f>
        <v>0</v>
      </c>
      <c r="AP25" s="158" t="n">
        <f aca="false">AP24*Assumption!$E$125</f>
        <v>0</v>
      </c>
      <c r="AQ25" s="158" t="n">
        <f aca="false">AQ24*Assumption!$E$125</f>
        <v>0</v>
      </c>
      <c r="AR25" s="158" t="n">
        <f aca="false">AR24*Assumption!$E$125</f>
        <v>0</v>
      </c>
      <c r="AS25" s="158" t="n">
        <f aca="false">AS24*Assumption!$E$125</f>
        <v>0</v>
      </c>
      <c r="AT25" s="158" t="n">
        <f aca="false">AT24*Assumption!$E$125</f>
        <v>0</v>
      </c>
      <c r="AU25" s="158" t="n">
        <f aca="false">AU24*Assumption!$E$125</f>
        <v>0</v>
      </c>
      <c r="AV25" s="158" t="n">
        <f aca="false">AV24*Assumption!$E$125</f>
        <v>0</v>
      </c>
      <c r="AW25" s="158" t="n">
        <f aca="false">AW24*Assumption!$E$125</f>
        <v>0</v>
      </c>
      <c r="AX25" s="158" t="n">
        <f aca="false">AX24*Assumption!$E$125</f>
        <v>0</v>
      </c>
      <c r="AY25" s="158" t="n">
        <f aca="false">AY24*Assumption!$E$125</f>
        <v>0</v>
      </c>
      <c r="AZ25" s="158" t="n">
        <f aca="false">AZ24*Assumption!$E$125</f>
        <v>0</v>
      </c>
      <c r="BA25" s="158" t="n">
        <f aca="false">BA24*Assumption!$E$125</f>
        <v>0</v>
      </c>
      <c r="BB25" s="158" t="n">
        <f aca="false">BB24*Assumption!$E$125</f>
        <v>0</v>
      </c>
      <c r="BC25" s="158" t="n">
        <f aca="false">BC24*Assumption!$E$125</f>
        <v>0</v>
      </c>
      <c r="BD25" s="158" t="n">
        <f aca="false">BD24*Assumption!$E$125</f>
        <v>0</v>
      </c>
      <c r="BE25" s="158" t="n">
        <f aca="false">BE24*Assumption!$E$125</f>
        <v>0</v>
      </c>
      <c r="BF25" s="158" t="n">
        <f aca="false">BF24*Assumption!$E$125</f>
        <v>0</v>
      </c>
      <c r="BG25" s="158" t="n">
        <f aca="false">BG24*Assumption!$E$125</f>
        <v>0</v>
      </c>
      <c r="BH25" s="158" t="n">
        <f aca="false">BH24*Assumption!$E$125</f>
        <v>0</v>
      </c>
      <c r="BI25" s="158" t="n">
        <f aca="false">BI24*Assumption!$E$125</f>
        <v>0</v>
      </c>
      <c r="BJ25" s="158" t="n">
        <f aca="false">BJ24*Assumption!$E$125</f>
        <v>0</v>
      </c>
      <c r="BK25" s="158" t="n">
        <f aca="false">BK24*Assumption!$E$125</f>
        <v>0</v>
      </c>
      <c r="BL25" s="158" t="n">
        <f aca="false">BL24*Assumption!$E$125</f>
        <v>0</v>
      </c>
      <c r="BM25" s="158" t="n">
        <f aca="false">BM24*Assumption!$E$125</f>
        <v>938.8766537917</v>
      </c>
      <c r="BN25" s="158" t="n">
        <f aca="false">BN24*Assumption!$E$125</f>
        <v>908.590310121</v>
      </c>
      <c r="BO25" s="158" t="n">
        <f aca="false">BO24*Assumption!$E$125</f>
        <v>938.8766537917</v>
      </c>
      <c r="BP25" s="158" t="n">
        <f aca="false">BP24*Assumption!$E$125</f>
        <v>908.590310121</v>
      </c>
      <c r="BQ25" s="158" t="n">
        <f aca="false">BQ24*Assumption!$E$125</f>
        <v>938.8766537917</v>
      </c>
      <c r="BR25" s="158" t="n">
        <f aca="false">BR24*Assumption!$E$125</f>
        <v>938.8766537917</v>
      </c>
      <c r="BS25" s="158" t="n">
        <f aca="false">BS24*Assumption!$E$125</f>
        <v>908.590310121</v>
      </c>
      <c r="BT25" s="158" t="n">
        <f aca="false">BT24*Assumption!$E$125</f>
        <v>938.8766537917</v>
      </c>
      <c r="BU25" s="158" t="n">
        <f aca="false">BU24*Assumption!$E$125</f>
        <v>908.590310121</v>
      </c>
      <c r="BV25" s="158" t="n">
        <f aca="false">BV24*Assumption!$E$125</f>
        <v>938.8766537917</v>
      </c>
      <c r="BW25" s="158" t="n">
        <f aca="false">BW24*Assumption!$E$125</f>
        <v>938.8766537917</v>
      </c>
      <c r="BX25" s="158" t="n">
        <f aca="false">BX24*Assumption!$E$125</f>
        <v>878.3039664503</v>
      </c>
      <c r="BY25" s="158" t="n">
        <f aca="false">BY24*Assumption!$E$125</f>
        <v>1104.98560023177</v>
      </c>
      <c r="BZ25" s="158" t="n">
        <f aca="false">BZ24*Assumption!$E$125</f>
        <v>1069.3409034501</v>
      </c>
      <c r="CA25" s="158" t="n">
        <f aca="false">CA24*Assumption!$E$125</f>
        <v>1104.98560023177</v>
      </c>
      <c r="CB25" s="158" t="n">
        <f aca="false">CB24*Assumption!$E$125</f>
        <v>1069.3409034501</v>
      </c>
      <c r="CC25" s="158" t="n">
        <f aca="false">CC24*Assumption!$E$125</f>
        <v>1104.98560023177</v>
      </c>
      <c r="CD25" s="158" t="n">
        <f aca="false">CD24*Assumption!$E$125</f>
        <v>1104.98560023177</v>
      </c>
      <c r="CE25" s="158" t="n">
        <f aca="false">CE24*Assumption!$E$125</f>
        <v>1069.3409034501</v>
      </c>
      <c r="CF25" s="158" t="n">
        <f aca="false">CF24*Assumption!$E$125</f>
        <v>1104.98560023177</v>
      </c>
      <c r="CG25" s="158" t="n">
        <f aca="false">CG24*Assumption!$E$125</f>
        <v>1069.3409034501</v>
      </c>
      <c r="CH25" s="158" t="n">
        <f aca="false">CH24*Assumption!$E$125</f>
        <v>1104.98560023177</v>
      </c>
      <c r="CI25" s="158" t="n">
        <f aca="false">CI24*Assumption!$E$125</f>
        <v>1104.98560023177</v>
      </c>
      <c r="CJ25" s="158" t="n">
        <f aca="false">CJ24*Assumption!$E$125</f>
        <v>998.05150988676</v>
      </c>
      <c r="CK25" s="158" t="n">
        <f aca="false">CK24*Assumption!$E$125</f>
        <v>1127.08531223641</v>
      </c>
      <c r="CL25" s="158" t="n">
        <f aca="false">CL24*Assumption!$E$125</f>
        <v>1090.7277215191</v>
      </c>
      <c r="CM25" s="158" t="n">
        <f aca="false">CM24*Assumption!$E$125</f>
        <v>1127.08531223641</v>
      </c>
      <c r="CN25" s="158" t="n">
        <f aca="false">CN24*Assumption!$E$125</f>
        <v>1090.7277215191</v>
      </c>
      <c r="CO25" s="158" t="n">
        <f aca="false">CO24*Assumption!$E$125</f>
        <v>1127.08531223641</v>
      </c>
      <c r="CP25" s="158" t="n">
        <f aca="false">CP24*Assumption!$E$125</f>
        <v>1127.08531223641</v>
      </c>
      <c r="CQ25" s="158" t="n">
        <f aca="false">CQ24*Assumption!$E$125</f>
        <v>1090.7277215191</v>
      </c>
      <c r="CR25" s="158" t="n">
        <f aca="false">CR24*Assumption!$E$125</f>
        <v>1127.08531223641</v>
      </c>
      <c r="CS25" s="158" t="n">
        <f aca="false">CS24*Assumption!$E$125</f>
        <v>1090.7277215191</v>
      </c>
      <c r="CT25" s="158" t="n">
        <f aca="false">CT24*Assumption!$E$125</f>
        <v>1127.08531223641</v>
      </c>
      <c r="CU25" s="158" t="n">
        <f aca="false">CU24*Assumption!$E$125</f>
        <v>1127.08531223641</v>
      </c>
      <c r="CV25" s="158" t="n">
        <f aca="false">CV24*Assumption!$E$125</f>
        <v>1018.0125400845</v>
      </c>
      <c r="CW25" s="158" t="n">
        <f aca="false">CW24*Assumption!$E$125</f>
        <v>1149.62701848113</v>
      </c>
      <c r="CX25" s="158" t="n">
        <f aca="false">CX24*Assumption!$E$125</f>
        <v>1112.54227594948</v>
      </c>
      <c r="CY25" s="158" t="n">
        <f aca="false">CY24*Assumption!$E$125</f>
        <v>1149.62701848113</v>
      </c>
      <c r="CZ25" s="158" t="n">
        <f aca="false">CZ24*Assumption!$E$125</f>
        <v>1112.54227594948</v>
      </c>
      <c r="DA25" s="158" t="n">
        <f aca="false">DA24*Assumption!$E$125</f>
        <v>1149.62701848113</v>
      </c>
      <c r="DB25" s="158" t="n">
        <f aca="false">DB24*Assumption!$E$125</f>
        <v>1149.62701848113</v>
      </c>
      <c r="DC25" s="158" t="n">
        <f aca="false">DC24*Assumption!$E$125</f>
        <v>1112.54227594948</v>
      </c>
      <c r="DD25" s="158" t="n">
        <f aca="false">DD24*Assumption!$E$125</f>
        <v>1149.62701848113</v>
      </c>
      <c r="DE25" s="158" t="n">
        <f aca="false">DE24*Assumption!$E$125</f>
        <v>1112.54227594948</v>
      </c>
      <c r="DF25" s="158" t="n">
        <f aca="false">DF24*Assumption!$E$125</f>
        <v>1149.62701848113</v>
      </c>
      <c r="DG25" s="158" t="n">
        <f aca="false">DG24*Assumption!$E$125</f>
        <v>1149.62701848113</v>
      </c>
      <c r="DH25" s="158" t="n">
        <f aca="false">DH24*Assumption!$E$125</f>
        <v>1038.37279088619</v>
      </c>
      <c r="DI25" s="158" t="n">
        <f aca="false">DI24*Assumption!$E$125</f>
        <v>1172.61955885076</v>
      </c>
      <c r="DJ25" s="158" t="n">
        <f aca="false">DJ24*Assumption!$E$125</f>
        <v>1134.79312146847</v>
      </c>
      <c r="DK25" s="158" t="n">
        <f aca="false">DK24*Assumption!$E$125</f>
        <v>1172.61955885076</v>
      </c>
      <c r="DL25" s="158" t="n">
        <f aca="false">DL24*Assumption!$E$125</f>
        <v>1134.79312146847</v>
      </c>
      <c r="DM25" s="158" t="n">
        <f aca="false">DM24*Assumption!$E$125</f>
        <v>1172.61955885076</v>
      </c>
      <c r="DN25" s="158" t="n">
        <f aca="false">DN24*Assumption!$E$125</f>
        <v>1172.61955885076</v>
      </c>
      <c r="DO25" s="158" t="n">
        <f aca="false">DO24*Assumption!$E$125</f>
        <v>1134.79312146847</v>
      </c>
      <c r="DP25" s="158" t="n">
        <f aca="false">DP24*Assumption!$E$125</f>
        <v>1172.61955885076</v>
      </c>
      <c r="DQ25" s="158" t="n">
        <f aca="false">DQ24*Assumption!$E$125</f>
        <v>1134.79312146847</v>
      </c>
      <c r="DR25" s="158" t="n">
        <f aca="false">DR24*Assumption!$E$125</f>
        <v>1172.61955885076</v>
      </c>
      <c r="DS25" s="158" t="n">
        <f aca="false">DS24*Assumption!$E$125</f>
        <v>1172.61955885076</v>
      </c>
      <c r="DT25" s="158" t="n">
        <f aca="false">DT24*Assumption!$E$125</f>
        <v>1096.96668408619</v>
      </c>
      <c r="DU25" s="158" t="n">
        <f aca="false">DU24*Assumption!$E$125</f>
        <v>0</v>
      </c>
      <c r="DV25" s="158" t="n">
        <f aca="false">DV24*Assumption!$E$125</f>
        <v>0</v>
      </c>
      <c r="DW25" s="158" t="n">
        <f aca="false">DW24*Assumption!$E$125</f>
        <v>0</v>
      </c>
      <c r="DX25" s="158" t="n">
        <f aca="false">DX24*Assumption!$E$125</f>
        <v>0</v>
      </c>
      <c r="DY25" s="158" t="n">
        <f aca="false">DY24*Assumption!$E$125</f>
        <v>0</v>
      </c>
      <c r="DZ25" s="158" t="n">
        <f aca="false">DZ24*Assumption!$E$125</f>
        <v>0</v>
      </c>
      <c r="EA25" s="158" t="n">
        <f aca="false">EA24*Assumption!$E$125</f>
        <v>0</v>
      </c>
      <c r="EB25" s="158" t="n">
        <f aca="false">EB24*Assumption!$E$125</f>
        <v>0</v>
      </c>
      <c r="EC25" s="158" t="n">
        <f aca="false">EC24*Assumption!$E$125</f>
        <v>0</v>
      </c>
      <c r="ED25" s="158" t="n">
        <f aca="false">ED24*Assumption!$E$125</f>
        <v>0</v>
      </c>
      <c r="EE25" s="158" t="n">
        <f aca="false">EE24*Assumption!$E$125</f>
        <v>0</v>
      </c>
      <c r="EF25" s="158" t="n">
        <f aca="false">EF24*Assumption!$E$125</f>
        <v>0</v>
      </c>
    </row>
    <row r="26" customFormat="false" ht="15" hidden="false" customHeight="false" outlineLevel="0" collapsed="false">
      <c r="A26" s="35" t="s">
        <v>497</v>
      </c>
      <c r="B26" s="241" t="s">
        <v>116</v>
      </c>
      <c r="C26" s="242" t="n">
        <f aca="false">SUM(E26:EF26)</f>
        <v>35430.7436232349</v>
      </c>
      <c r="E26" s="158" t="n">
        <f aca="false">E24*Assumption!$E$130</f>
        <v>0</v>
      </c>
      <c r="F26" s="158" t="n">
        <f aca="false">F24*Assumption!$E$130</f>
        <v>0</v>
      </c>
      <c r="G26" s="158" t="n">
        <f aca="false">G24*Assumption!$E$130</f>
        <v>0</v>
      </c>
      <c r="H26" s="158" t="n">
        <f aca="false">H24*Assumption!$E$130</f>
        <v>0</v>
      </c>
      <c r="I26" s="158" t="n">
        <f aca="false">I24*Assumption!$E$130</f>
        <v>0</v>
      </c>
      <c r="J26" s="158" t="n">
        <f aca="false">J24*Assumption!$E$130</f>
        <v>0</v>
      </c>
      <c r="K26" s="158" t="n">
        <f aca="false">K24*Assumption!$E$130</f>
        <v>0</v>
      </c>
      <c r="L26" s="158" t="n">
        <f aca="false">L24*Assumption!$E$130</f>
        <v>0</v>
      </c>
      <c r="M26" s="158" t="n">
        <f aca="false">M24*Assumption!$E$130</f>
        <v>0</v>
      </c>
      <c r="N26" s="158" t="n">
        <f aca="false">N24*Assumption!$E$130</f>
        <v>0</v>
      </c>
      <c r="O26" s="158" t="n">
        <f aca="false">O24*Assumption!$E$130</f>
        <v>0</v>
      </c>
      <c r="P26" s="158" t="n">
        <f aca="false">P24*Assumption!$E$130</f>
        <v>0</v>
      </c>
      <c r="Q26" s="158" t="n">
        <f aca="false">Q24*Assumption!$E$130</f>
        <v>0</v>
      </c>
      <c r="R26" s="158" t="n">
        <f aca="false">R24*Assumption!$E$130</f>
        <v>0</v>
      </c>
      <c r="S26" s="158" t="n">
        <f aca="false">S24*Assumption!$E$130</f>
        <v>0</v>
      </c>
      <c r="T26" s="158" t="n">
        <f aca="false">T24*Assumption!$E$130</f>
        <v>0</v>
      </c>
      <c r="U26" s="158" t="n">
        <f aca="false">U24*Assumption!$E$130</f>
        <v>0</v>
      </c>
      <c r="V26" s="158" t="n">
        <f aca="false">V24*Assumption!$E$130</f>
        <v>0</v>
      </c>
      <c r="W26" s="158" t="n">
        <f aca="false">W24*Assumption!$E$130</f>
        <v>0</v>
      </c>
      <c r="X26" s="158" t="n">
        <f aca="false">X24*Assumption!$E$130</f>
        <v>0</v>
      </c>
      <c r="Y26" s="158" t="n">
        <f aca="false">Y24*Assumption!$E$130</f>
        <v>0</v>
      </c>
      <c r="Z26" s="158" t="n">
        <f aca="false">Z24*Assumption!$E$130</f>
        <v>0</v>
      </c>
      <c r="AA26" s="158" t="n">
        <f aca="false">AA24*Assumption!$E$130</f>
        <v>0</v>
      </c>
      <c r="AB26" s="158" t="n">
        <f aca="false">AB24*Assumption!$E$130</f>
        <v>0</v>
      </c>
      <c r="AC26" s="158" t="n">
        <f aca="false">AC24*Assumption!$E$130</f>
        <v>0</v>
      </c>
      <c r="AD26" s="158" t="n">
        <f aca="false">AD24*Assumption!$E$130</f>
        <v>0</v>
      </c>
      <c r="AE26" s="158" t="n">
        <f aca="false">AE24*Assumption!$E$130</f>
        <v>0</v>
      </c>
      <c r="AF26" s="158" t="n">
        <f aca="false">AF24*Assumption!$E$130</f>
        <v>0</v>
      </c>
      <c r="AG26" s="158" t="n">
        <f aca="false">AG24*Assumption!$E$130</f>
        <v>0</v>
      </c>
      <c r="AH26" s="158" t="n">
        <f aca="false">AH24*Assumption!$E$130</f>
        <v>0</v>
      </c>
      <c r="AI26" s="158" t="n">
        <f aca="false">AI24*Assumption!$E$130</f>
        <v>0</v>
      </c>
      <c r="AJ26" s="158" t="n">
        <f aca="false">AJ24*Assumption!$E$130</f>
        <v>0</v>
      </c>
      <c r="AK26" s="158" t="n">
        <f aca="false">AK24*Assumption!$E$130</f>
        <v>0</v>
      </c>
      <c r="AL26" s="158" t="n">
        <f aca="false">AL24*Assumption!$E$130</f>
        <v>0</v>
      </c>
      <c r="AM26" s="158" t="n">
        <f aca="false">AM24*Assumption!$E$130</f>
        <v>0</v>
      </c>
      <c r="AN26" s="158" t="n">
        <f aca="false">AN24*Assumption!$E$130</f>
        <v>0</v>
      </c>
      <c r="AO26" s="158" t="n">
        <f aca="false">AO24*Assumption!$E$130</f>
        <v>0</v>
      </c>
      <c r="AP26" s="158" t="n">
        <f aca="false">AP24*Assumption!$E$130</f>
        <v>0</v>
      </c>
      <c r="AQ26" s="158" t="n">
        <f aca="false">AQ24*Assumption!$E$130</f>
        <v>0</v>
      </c>
      <c r="AR26" s="158" t="n">
        <f aca="false">AR24*Assumption!$E$130</f>
        <v>0</v>
      </c>
      <c r="AS26" s="158" t="n">
        <f aca="false">AS24*Assumption!$E$130</f>
        <v>0</v>
      </c>
      <c r="AT26" s="158" t="n">
        <f aca="false">AT24*Assumption!$E$130</f>
        <v>0</v>
      </c>
      <c r="AU26" s="158" t="n">
        <f aca="false">AU24*Assumption!$E$130</f>
        <v>0</v>
      </c>
      <c r="AV26" s="158" t="n">
        <f aca="false">AV24*Assumption!$E$130</f>
        <v>0</v>
      </c>
      <c r="AW26" s="158" t="n">
        <f aca="false">AW24*Assumption!$E$130</f>
        <v>0</v>
      </c>
      <c r="AX26" s="158" t="n">
        <f aca="false">AX24*Assumption!$E$130</f>
        <v>0</v>
      </c>
      <c r="AY26" s="158" t="n">
        <f aca="false">AY24*Assumption!$E$130</f>
        <v>0</v>
      </c>
      <c r="AZ26" s="158" t="n">
        <f aca="false">AZ24*Assumption!$E$130</f>
        <v>0</v>
      </c>
      <c r="BA26" s="158" t="n">
        <f aca="false">BA24*Assumption!$E$130</f>
        <v>0</v>
      </c>
      <c r="BB26" s="158" t="n">
        <f aca="false">BB24*Assumption!$E$130</f>
        <v>0</v>
      </c>
      <c r="BC26" s="158" t="n">
        <f aca="false">BC24*Assumption!$E$130</f>
        <v>0</v>
      </c>
      <c r="BD26" s="158" t="n">
        <f aca="false">BD24*Assumption!$E$130</f>
        <v>0</v>
      </c>
      <c r="BE26" s="158" t="n">
        <f aca="false">BE24*Assumption!$E$130</f>
        <v>0</v>
      </c>
      <c r="BF26" s="158" t="n">
        <f aca="false">BF24*Assumption!$E$130</f>
        <v>0</v>
      </c>
      <c r="BG26" s="158" t="n">
        <f aca="false">BG24*Assumption!$E$130</f>
        <v>0</v>
      </c>
      <c r="BH26" s="158" t="n">
        <f aca="false">BH24*Assumption!$E$130</f>
        <v>0</v>
      </c>
      <c r="BI26" s="158" t="n">
        <f aca="false">BI24*Assumption!$E$130</f>
        <v>0</v>
      </c>
      <c r="BJ26" s="158" t="n">
        <f aca="false">BJ24*Assumption!$E$130</f>
        <v>0</v>
      </c>
      <c r="BK26" s="158" t="n">
        <f aca="false">BK24*Assumption!$E$130</f>
        <v>0</v>
      </c>
      <c r="BL26" s="158" t="n">
        <f aca="false">BL24*Assumption!$E$130</f>
        <v>0</v>
      </c>
      <c r="BM26" s="158" t="n">
        <f aca="false">BM24*Assumption!$E$130</f>
        <v>513.7780789115</v>
      </c>
      <c r="BN26" s="158" t="n">
        <f aca="false">BN24*Assumption!$E$130</f>
        <v>497.204592495</v>
      </c>
      <c r="BO26" s="158" t="n">
        <f aca="false">BO24*Assumption!$E$130</f>
        <v>513.7780789115</v>
      </c>
      <c r="BP26" s="158" t="n">
        <f aca="false">BP24*Assumption!$E$130</f>
        <v>497.204592495</v>
      </c>
      <c r="BQ26" s="158" t="n">
        <f aca="false">BQ24*Assumption!$E$130</f>
        <v>513.7780789115</v>
      </c>
      <c r="BR26" s="158" t="n">
        <f aca="false">BR24*Assumption!$E$130</f>
        <v>513.7780789115</v>
      </c>
      <c r="BS26" s="158" t="n">
        <f aca="false">BS24*Assumption!$E$130</f>
        <v>497.204592495</v>
      </c>
      <c r="BT26" s="158" t="n">
        <f aca="false">BT24*Assumption!$E$130</f>
        <v>513.7780789115</v>
      </c>
      <c r="BU26" s="158" t="n">
        <f aca="false">BU24*Assumption!$E$130</f>
        <v>497.204592495</v>
      </c>
      <c r="BV26" s="158" t="n">
        <f aca="false">BV24*Assumption!$E$130</f>
        <v>513.7780789115</v>
      </c>
      <c r="BW26" s="158" t="n">
        <f aca="false">BW24*Assumption!$E$130</f>
        <v>513.7780789115</v>
      </c>
      <c r="BX26" s="158" t="n">
        <f aca="false">BX24*Assumption!$E$130</f>
        <v>480.6311060785</v>
      </c>
      <c r="BY26" s="158" t="n">
        <f aca="false">BY24*Assumption!$E$130</f>
        <v>604.67727748815</v>
      </c>
      <c r="BZ26" s="158" t="n">
        <f aca="false">BZ24*Assumption!$E$130</f>
        <v>585.1715588595</v>
      </c>
      <c r="CA26" s="158" t="n">
        <f aca="false">CA24*Assumption!$E$130</f>
        <v>604.67727748815</v>
      </c>
      <c r="CB26" s="158" t="n">
        <f aca="false">CB24*Assumption!$E$130</f>
        <v>585.1715588595</v>
      </c>
      <c r="CC26" s="158" t="n">
        <f aca="false">CC24*Assumption!$E$130</f>
        <v>604.67727748815</v>
      </c>
      <c r="CD26" s="158" t="n">
        <f aca="false">CD24*Assumption!$E$130</f>
        <v>604.67727748815</v>
      </c>
      <c r="CE26" s="158" t="n">
        <f aca="false">CE24*Assumption!$E$130</f>
        <v>585.1715588595</v>
      </c>
      <c r="CF26" s="158" t="n">
        <f aca="false">CF24*Assumption!$E$130</f>
        <v>604.67727748815</v>
      </c>
      <c r="CG26" s="158" t="n">
        <f aca="false">CG24*Assumption!$E$130</f>
        <v>585.1715588595</v>
      </c>
      <c r="CH26" s="158" t="n">
        <f aca="false">CH24*Assumption!$E$130</f>
        <v>604.67727748815</v>
      </c>
      <c r="CI26" s="158" t="n">
        <f aca="false">CI24*Assumption!$E$130</f>
        <v>604.67727748815</v>
      </c>
      <c r="CJ26" s="158" t="n">
        <f aca="false">CJ24*Assumption!$E$130</f>
        <v>546.1601216022</v>
      </c>
      <c r="CK26" s="158" t="n">
        <f aca="false">CK24*Assumption!$E$130</f>
        <v>616.770823037913</v>
      </c>
      <c r="CL26" s="158" t="n">
        <f aca="false">CL24*Assumption!$E$130</f>
        <v>596.87499003669</v>
      </c>
      <c r="CM26" s="158" t="n">
        <f aca="false">CM24*Assumption!$E$130</f>
        <v>616.770823037913</v>
      </c>
      <c r="CN26" s="158" t="n">
        <f aca="false">CN24*Assumption!$E$130</f>
        <v>596.87499003669</v>
      </c>
      <c r="CO26" s="158" t="n">
        <f aca="false">CO24*Assumption!$E$130</f>
        <v>616.770823037913</v>
      </c>
      <c r="CP26" s="158" t="n">
        <f aca="false">CP24*Assumption!$E$130</f>
        <v>616.770823037913</v>
      </c>
      <c r="CQ26" s="158" t="n">
        <f aca="false">CQ24*Assumption!$E$130</f>
        <v>596.87499003669</v>
      </c>
      <c r="CR26" s="158" t="n">
        <f aca="false">CR24*Assumption!$E$130</f>
        <v>616.770823037913</v>
      </c>
      <c r="CS26" s="158" t="n">
        <f aca="false">CS24*Assumption!$E$130</f>
        <v>596.87499003669</v>
      </c>
      <c r="CT26" s="158" t="n">
        <f aca="false">CT24*Assumption!$E$130</f>
        <v>616.770823037913</v>
      </c>
      <c r="CU26" s="158" t="n">
        <f aca="false">CU24*Assumption!$E$130</f>
        <v>616.770823037913</v>
      </c>
      <c r="CV26" s="158" t="n">
        <f aca="false">CV24*Assumption!$E$130</f>
        <v>557.083324034244</v>
      </c>
      <c r="CW26" s="158" t="n">
        <f aca="false">CW24*Assumption!$E$130</f>
        <v>629.106239498671</v>
      </c>
      <c r="CX26" s="158" t="n">
        <f aca="false">CX24*Assumption!$E$130</f>
        <v>608.812489837424</v>
      </c>
      <c r="CY26" s="158" t="n">
        <f aca="false">CY24*Assumption!$E$130</f>
        <v>629.106239498671</v>
      </c>
      <c r="CZ26" s="158" t="n">
        <f aca="false">CZ24*Assumption!$E$130</f>
        <v>608.812489837424</v>
      </c>
      <c r="DA26" s="158" t="n">
        <f aca="false">DA24*Assumption!$E$130</f>
        <v>629.106239498671</v>
      </c>
      <c r="DB26" s="158" t="n">
        <f aca="false">DB24*Assumption!$E$130</f>
        <v>629.106239498671</v>
      </c>
      <c r="DC26" s="158" t="n">
        <f aca="false">DC24*Assumption!$E$130</f>
        <v>608.812489837424</v>
      </c>
      <c r="DD26" s="158" t="n">
        <f aca="false">DD24*Assumption!$E$130</f>
        <v>629.106239498671</v>
      </c>
      <c r="DE26" s="158" t="n">
        <f aca="false">DE24*Assumption!$E$130</f>
        <v>608.812489837424</v>
      </c>
      <c r="DF26" s="158" t="n">
        <f aca="false">DF24*Assumption!$E$130</f>
        <v>629.106239498671</v>
      </c>
      <c r="DG26" s="158" t="n">
        <f aca="false">DG24*Assumption!$E$130</f>
        <v>629.106239498671</v>
      </c>
      <c r="DH26" s="158" t="n">
        <f aca="false">DH24*Assumption!$E$130</f>
        <v>568.224990514929</v>
      </c>
      <c r="DI26" s="158" t="n">
        <f aca="false">DI24*Assumption!$E$130</f>
        <v>641.688364288645</v>
      </c>
      <c r="DJ26" s="158" t="n">
        <f aca="false">DJ24*Assumption!$E$130</f>
        <v>620.988739634172</v>
      </c>
      <c r="DK26" s="158" t="n">
        <f aca="false">DK24*Assumption!$E$130</f>
        <v>641.688364288645</v>
      </c>
      <c r="DL26" s="158" t="n">
        <f aca="false">DL24*Assumption!$E$130</f>
        <v>620.988739634172</v>
      </c>
      <c r="DM26" s="158" t="n">
        <f aca="false">DM24*Assumption!$E$130</f>
        <v>641.688364288645</v>
      </c>
      <c r="DN26" s="158" t="n">
        <f aca="false">DN24*Assumption!$E$130</f>
        <v>641.688364288645</v>
      </c>
      <c r="DO26" s="158" t="n">
        <f aca="false">DO24*Assumption!$E$130</f>
        <v>620.988739634172</v>
      </c>
      <c r="DP26" s="158" t="n">
        <f aca="false">DP24*Assumption!$E$130</f>
        <v>641.688364288645</v>
      </c>
      <c r="DQ26" s="158" t="n">
        <f aca="false">DQ24*Assumption!$E$130</f>
        <v>620.988739634172</v>
      </c>
      <c r="DR26" s="158" t="n">
        <f aca="false">DR24*Assumption!$E$130</f>
        <v>641.688364288645</v>
      </c>
      <c r="DS26" s="158" t="n">
        <f aca="false">DS24*Assumption!$E$130</f>
        <v>641.688364288645</v>
      </c>
      <c r="DT26" s="158" t="n">
        <f aca="false">DT24*Assumption!$E$130</f>
        <v>600.2891149797</v>
      </c>
      <c r="DU26" s="158" t="n">
        <f aca="false">DU24*Assumption!$E$130</f>
        <v>0</v>
      </c>
      <c r="DV26" s="158" t="n">
        <f aca="false">DV24*Assumption!$E$130</f>
        <v>0</v>
      </c>
      <c r="DW26" s="158" t="n">
        <f aca="false">DW24*Assumption!$E$130</f>
        <v>0</v>
      </c>
      <c r="DX26" s="158" t="n">
        <f aca="false">DX24*Assumption!$E$130</f>
        <v>0</v>
      </c>
      <c r="DY26" s="158" t="n">
        <f aca="false">DY24*Assumption!$E$130</f>
        <v>0</v>
      </c>
      <c r="DZ26" s="158" t="n">
        <f aca="false">DZ24*Assumption!$E$130</f>
        <v>0</v>
      </c>
      <c r="EA26" s="158" t="n">
        <f aca="false">EA24*Assumption!$E$130</f>
        <v>0</v>
      </c>
      <c r="EB26" s="158" t="n">
        <f aca="false">EB24*Assumption!$E$130</f>
        <v>0</v>
      </c>
      <c r="EC26" s="158" t="n">
        <f aca="false">EC24*Assumption!$E$130</f>
        <v>0</v>
      </c>
      <c r="ED26" s="158" t="n">
        <f aca="false">ED24*Assumption!$E$130</f>
        <v>0</v>
      </c>
      <c r="EE26" s="158" t="n">
        <f aca="false">EE24*Assumption!$E$130</f>
        <v>0</v>
      </c>
      <c r="EF26" s="158" t="n">
        <f aca="false">EF24*Assumption!$E$130</f>
        <v>0</v>
      </c>
    </row>
    <row r="27" customFormat="false" ht="15" hidden="false" customHeight="false" outlineLevel="0" collapsed="false">
      <c r="A27" s="35" t="s">
        <v>498</v>
      </c>
      <c r="B27" s="241" t="s">
        <v>116</v>
      </c>
      <c r="C27" s="242" t="n">
        <f aca="false">SUM(E27:EF27)</f>
        <v>214271.357523264</v>
      </c>
      <c r="E27" s="158" t="n">
        <f aca="false">(E14=1)*Assumption!$E$134*Assumption!$E$145*CHOOSE(MIN(MAX(E16,1),3),Assumption!$E$146,Assumption!$E$147,Assumption!$E$148)*E18/1000000*(1+Assumption!$E$141)^(MAX(E16,1)-1)</f>
        <v>0</v>
      </c>
      <c r="F27" s="158" t="n">
        <f aca="false">(F14=1)*Assumption!$E$134*Assumption!$E$145*CHOOSE(MIN(MAX(F16,1),3),Assumption!$E$146,Assumption!$E$147,Assumption!$E$148)*F18/1000000*(1+Assumption!$E$141)^(MAX(F16,1)-1)</f>
        <v>0</v>
      </c>
      <c r="G27" s="158" t="n">
        <f aca="false">(G14=1)*Assumption!$E$134*Assumption!$E$145*CHOOSE(MIN(MAX(G16,1),3),Assumption!$E$146,Assumption!$E$147,Assumption!$E$148)*G18/1000000*(1+Assumption!$E$141)^(MAX(G16,1)-1)</f>
        <v>0</v>
      </c>
      <c r="H27" s="158" t="n">
        <f aca="false">(H14=1)*Assumption!$E$134*Assumption!$E$145*CHOOSE(MIN(MAX(H16,1),3),Assumption!$E$146,Assumption!$E$147,Assumption!$E$148)*H18/1000000*(1+Assumption!$E$141)^(MAX(H16,1)-1)</f>
        <v>0</v>
      </c>
      <c r="I27" s="158" t="n">
        <f aca="false">(I14=1)*Assumption!$E$134*Assumption!$E$145*CHOOSE(MIN(MAX(I16,1),3),Assumption!$E$146,Assumption!$E$147,Assumption!$E$148)*I18/1000000*(1+Assumption!$E$141)^(MAX(I16,1)-1)</f>
        <v>0</v>
      </c>
      <c r="J27" s="158" t="n">
        <f aca="false">(J14=1)*Assumption!$E$134*Assumption!$E$145*CHOOSE(MIN(MAX(J16,1),3),Assumption!$E$146,Assumption!$E$147,Assumption!$E$148)*J18/1000000*(1+Assumption!$E$141)^(MAX(J16,1)-1)</f>
        <v>0</v>
      </c>
      <c r="K27" s="158" t="n">
        <f aca="false">(K14=1)*Assumption!$E$134*Assumption!$E$145*CHOOSE(MIN(MAX(K16,1),3),Assumption!$E$146,Assumption!$E$147,Assumption!$E$148)*K18/1000000*(1+Assumption!$E$141)^(MAX(K16,1)-1)</f>
        <v>0</v>
      </c>
      <c r="L27" s="158" t="n">
        <f aca="false">(L14=1)*Assumption!$E$134*Assumption!$E$145*CHOOSE(MIN(MAX(L16,1),3),Assumption!$E$146,Assumption!$E$147,Assumption!$E$148)*L18/1000000*(1+Assumption!$E$141)^(MAX(L16,1)-1)</f>
        <v>0</v>
      </c>
      <c r="M27" s="158" t="n">
        <f aca="false">(M14=1)*Assumption!$E$134*Assumption!$E$145*CHOOSE(MIN(MAX(M16,1),3),Assumption!$E$146,Assumption!$E$147,Assumption!$E$148)*M18/1000000*(1+Assumption!$E$141)^(MAX(M16,1)-1)</f>
        <v>0</v>
      </c>
      <c r="N27" s="158" t="n">
        <f aca="false">(N14=1)*Assumption!$E$134*Assumption!$E$145*CHOOSE(MIN(MAX(N16,1),3),Assumption!$E$146,Assumption!$E$147,Assumption!$E$148)*N18/1000000*(1+Assumption!$E$141)^(MAX(N16,1)-1)</f>
        <v>0</v>
      </c>
      <c r="O27" s="158" t="n">
        <f aca="false">(O14=1)*Assumption!$E$134*Assumption!$E$145*CHOOSE(MIN(MAX(O16,1),3),Assumption!$E$146,Assumption!$E$147,Assumption!$E$148)*O18/1000000*(1+Assumption!$E$141)^(MAX(O16,1)-1)</f>
        <v>0</v>
      </c>
      <c r="P27" s="158" t="n">
        <f aca="false">(P14=1)*Assumption!$E$134*Assumption!$E$145*CHOOSE(MIN(MAX(P16,1),3),Assumption!$E$146,Assumption!$E$147,Assumption!$E$148)*P18/1000000*(1+Assumption!$E$141)^(MAX(P16,1)-1)</f>
        <v>0</v>
      </c>
      <c r="Q27" s="158" t="n">
        <f aca="false">(Q14=1)*Assumption!$E$134*Assumption!$E$145*CHOOSE(MIN(MAX(Q16,1),3),Assumption!$E$146,Assumption!$E$147,Assumption!$E$148)*Q18/1000000*(1+Assumption!$E$141)^(MAX(Q16,1)-1)</f>
        <v>0</v>
      </c>
      <c r="R27" s="158" t="n">
        <f aca="false">(R14=1)*Assumption!$E$134*Assumption!$E$145*CHOOSE(MIN(MAX(R16,1),3),Assumption!$E$146,Assumption!$E$147,Assumption!$E$148)*R18/1000000*(1+Assumption!$E$141)^(MAX(R16,1)-1)</f>
        <v>0</v>
      </c>
      <c r="S27" s="158" t="n">
        <f aca="false">(S14=1)*Assumption!$E$134*Assumption!$E$145*CHOOSE(MIN(MAX(S16,1),3),Assumption!$E$146,Assumption!$E$147,Assumption!$E$148)*S18/1000000*(1+Assumption!$E$141)^(MAX(S16,1)-1)</f>
        <v>0</v>
      </c>
      <c r="T27" s="158" t="n">
        <f aca="false">(T14=1)*Assumption!$E$134*Assumption!$E$145*CHOOSE(MIN(MAX(T16,1),3),Assumption!$E$146,Assumption!$E$147,Assumption!$E$148)*T18/1000000*(1+Assumption!$E$141)^(MAX(T16,1)-1)</f>
        <v>0</v>
      </c>
      <c r="U27" s="158" t="n">
        <f aca="false">(U14=1)*Assumption!$E$134*Assumption!$E$145*CHOOSE(MIN(MAX(U16,1),3),Assumption!$E$146,Assumption!$E$147,Assumption!$E$148)*U18/1000000*(1+Assumption!$E$141)^(MAX(U16,1)-1)</f>
        <v>0</v>
      </c>
      <c r="V27" s="158" t="n">
        <f aca="false">(V14=1)*Assumption!$E$134*Assumption!$E$145*CHOOSE(MIN(MAX(V16,1),3),Assumption!$E$146,Assumption!$E$147,Assumption!$E$148)*V18/1000000*(1+Assumption!$E$141)^(MAX(V16,1)-1)</f>
        <v>0</v>
      </c>
      <c r="W27" s="158" t="n">
        <f aca="false">(W14=1)*Assumption!$E$134*Assumption!$E$145*CHOOSE(MIN(MAX(W16,1),3),Assumption!$E$146,Assumption!$E$147,Assumption!$E$148)*W18/1000000*(1+Assumption!$E$141)^(MAX(W16,1)-1)</f>
        <v>0</v>
      </c>
      <c r="X27" s="158" t="n">
        <f aca="false">(X14=1)*Assumption!$E$134*Assumption!$E$145*CHOOSE(MIN(MAX(X16,1),3),Assumption!$E$146,Assumption!$E$147,Assumption!$E$148)*X18/1000000*(1+Assumption!$E$141)^(MAX(X16,1)-1)</f>
        <v>0</v>
      </c>
      <c r="Y27" s="158" t="n">
        <f aca="false">(Y14=1)*Assumption!$E$134*Assumption!$E$145*CHOOSE(MIN(MAX(Y16,1),3),Assumption!$E$146,Assumption!$E$147,Assumption!$E$148)*Y18/1000000*(1+Assumption!$E$141)^(MAX(Y16,1)-1)</f>
        <v>0</v>
      </c>
      <c r="Z27" s="158" t="n">
        <f aca="false">(Z14=1)*Assumption!$E$134*Assumption!$E$145*CHOOSE(MIN(MAX(Z16,1),3),Assumption!$E$146,Assumption!$E$147,Assumption!$E$148)*Z18/1000000*(1+Assumption!$E$141)^(MAX(Z16,1)-1)</f>
        <v>0</v>
      </c>
      <c r="AA27" s="158" t="n">
        <f aca="false">(AA14=1)*Assumption!$E$134*Assumption!$E$145*CHOOSE(MIN(MAX(AA16,1),3),Assumption!$E$146,Assumption!$E$147,Assumption!$E$148)*AA18/1000000*(1+Assumption!$E$141)^(MAX(AA16,1)-1)</f>
        <v>0</v>
      </c>
      <c r="AB27" s="158" t="n">
        <f aca="false">(AB14=1)*Assumption!$E$134*Assumption!$E$145*CHOOSE(MIN(MAX(AB16,1),3),Assumption!$E$146,Assumption!$E$147,Assumption!$E$148)*AB18/1000000*(1+Assumption!$E$141)^(MAX(AB16,1)-1)</f>
        <v>0</v>
      </c>
      <c r="AC27" s="158" t="n">
        <f aca="false">(AC14=1)*Assumption!$E$134*Assumption!$E$145*CHOOSE(MIN(MAX(AC16,1),3),Assumption!$E$146,Assumption!$E$147,Assumption!$E$148)*AC18/1000000*(1+Assumption!$E$141)^(MAX(AC16,1)-1)</f>
        <v>0</v>
      </c>
      <c r="AD27" s="158" t="n">
        <f aca="false">(AD14=1)*Assumption!$E$134*Assumption!$E$145*CHOOSE(MIN(MAX(AD16,1),3),Assumption!$E$146,Assumption!$E$147,Assumption!$E$148)*AD18/1000000*(1+Assumption!$E$141)^(MAX(AD16,1)-1)</f>
        <v>0</v>
      </c>
      <c r="AE27" s="158" t="n">
        <f aca="false">(AE14=1)*Assumption!$E$134*Assumption!$E$145*CHOOSE(MIN(MAX(AE16,1),3),Assumption!$E$146,Assumption!$E$147,Assumption!$E$148)*AE18/1000000*(1+Assumption!$E$141)^(MAX(AE16,1)-1)</f>
        <v>0</v>
      </c>
      <c r="AF27" s="158" t="n">
        <f aca="false">(AF14=1)*Assumption!$E$134*Assumption!$E$145*CHOOSE(MIN(MAX(AF16,1),3),Assumption!$E$146,Assumption!$E$147,Assumption!$E$148)*AF18/1000000*(1+Assumption!$E$141)^(MAX(AF16,1)-1)</f>
        <v>0</v>
      </c>
      <c r="AG27" s="158" t="n">
        <f aca="false">(AG14=1)*Assumption!$E$134*Assumption!$E$145*CHOOSE(MIN(MAX(AG16,1),3),Assumption!$E$146,Assumption!$E$147,Assumption!$E$148)*AG18/1000000*(1+Assumption!$E$141)^(MAX(AG16,1)-1)</f>
        <v>0</v>
      </c>
      <c r="AH27" s="158" t="n">
        <f aca="false">(AH14=1)*Assumption!$E$134*Assumption!$E$145*CHOOSE(MIN(MAX(AH16,1),3),Assumption!$E$146,Assumption!$E$147,Assumption!$E$148)*AH18/1000000*(1+Assumption!$E$141)^(MAX(AH16,1)-1)</f>
        <v>0</v>
      </c>
      <c r="AI27" s="158" t="n">
        <f aca="false">(AI14=1)*Assumption!$E$134*Assumption!$E$145*CHOOSE(MIN(MAX(AI16,1),3),Assumption!$E$146,Assumption!$E$147,Assumption!$E$148)*AI18/1000000*(1+Assumption!$E$141)^(MAX(AI16,1)-1)</f>
        <v>0</v>
      </c>
      <c r="AJ27" s="158" t="n">
        <f aca="false">(AJ14=1)*Assumption!$E$134*Assumption!$E$145*CHOOSE(MIN(MAX(AJ16,1),3),Assumption!$E$146,Assumption!$E$147,Assumption!$E$148)*AJ18/1000000*(1+Assumption!$E$141)^(MAX(AJ16,1)-1)</f>
        <v>0</v>
      </c>
      <c r="AK27" s="158" t="n">
        <f aca="false">(AK14=1)*Assumption!$E$134*Assumption!$E$145*CHOOSE(MIN(MAX(AK16,1),3),Assumption!$E$146,Assumption!$E$147,Assumption!$E$148)*AK18/1000000*(1+Assumption!$E$141)^(MAX(AK16,1)-1)</f>
        <v>0</v>
      </c>
      <c r="AL27" s="158" t="n">
        <f aca="false">(AL14=1)*Assumption!$E$134*Assumption!$E$145*CHOOSE(MIN(MAX(AL16,1),3),Assumption!$E$146,Assumption!$E$147,Assumption!$E$148)*AL18/1000000*(1+Assumption!$E$141)^(MAX(AL16,1)-1)</f>
        <v>0</v>
      </c>
      <c r="AM27" s="158" t="n">
        <f aca="false">(AM14=1)*Assumption!$E$134*Assumption!$E$145*CHOOSE(MIN(MAX(AM16,1),3),Assumption!$E$146,Assumption!$E$147,Assumption!$E$148)*AM18/1000000*(1+Assumption!$E$141)^(MAX(AM16,1)-1)</f>
        <v>0</v>
      </c>
      <c r="AN27" s="158" t="n">
        <f aca="false">(AN14=1)*Assumption!$E$134*Assumption!$E$145*CHOOSE(MIN(MAX(AN16,1),3),Assumption!$E$146,Assumption!$E$147,Assumption!$E$148)*AN18/1000000*(1+Assumption!$E$141)^(MAX(AN16,1)-1)</f>
        <v>0</v>
      </c>
      <c r="AO27" s="158" t="n">
        <f aca="false">(AO14=1)*Assumption!$E$134*Assumption!$E$145*CHOOSE(MIN(MAX(AO16,1),3),Assumption!$E$146,Assumption!$E$147,Assumption!$E$148)*AO18/1000000*(1+Assumption!$E$141)^(MAX(AO16,1)-1)</f>
        <v>0</v>
      </c>
      <c r="AP27" s="158" t="n">
        <f aca="false">(AP14=1)*Assumption!$E$134*Assumption!$E$145*CHOOSE(MIN(MAX(AP16,1),3),Assumption!$E$146,Assumption!$E$147,Assumption!$E$148)*AP18/1000000*(1+Assumption!$E$141)^(MAX(AP16,1)-1)</f>
        <v>0</v>
      </c>
      <c r="AQ27" s="158" t="n">
        <f aca="false">(AQ14=1)*Assumption!$E$134*Assumption!$E$145*CHOOSE(MIN(MAX(AQ16,1),3),Assumption!$E$146,Assumption!$E$147,Assumption!$E$148)*AQ18/1000000*(1+Assumption!$E$141)^(MAX(AQ16,1)-1)</f>
        <v>0</v>
      </c>
      <c r="AR27" s="158" t="n">
        <f aca="false">(AR14=1)*Assumption!$E$134*Assumption!$E$145*CHOOSE(MIN(MAX(AR16,1),3),Assumption!$E$146,Assumption!$E$147,Assumption!$E$148)*AR18/1000000*(1+Assumption!$E$141)^(MAX(AR16,1)-1)</f>
        <v>0</v>
      </c>
      <c r="AS27" s="158" t="n">
        <f aca="false">(AS14=1)*Assumption!$E$134*Assumption!$E$145*CHOOSE(MIN(MAX(AS16,1),3),Assumption!$E$146,Assumption!$E$147,Assumption!$E$148)*AS18/1000000*(1+Assumption!$E$141)^(MAX(AS16,1)-1)</f>
        <v>0</v>
      </c>
      <c r="AT27" s="158" t="n">
        <f aca="false">(AT14=1)*Assumption!$E$134*Assumption!$E$145*CHOOSE(MIN(MAX(AT16,1),3),Assumption!$E$146,Assumption!$E$147,Assumption!$E$148)*AT18/1000000*(1+Assumption!$E$141)^(MAX(AT16,1)-1)</f>
        <v>0</v>
      </c>
      <c r="AU27" s="158" t="n">
        <f aca="false">(AU14=1)*Assumption!$E$134*Assumption!$E$145*CHOOSE(MIN(MAX(AU16,1),3),Assumption!$E$146,Assumption!$E$147,Assumption!$E$148)*AU18/1000000*(1+Assumption!$E$141)^(MAX(AU16,1)-1)</f>
        <v>0</v>
      </c>
      <c r="AV27" s="158" t="n">
        <f aca="false">(AV14=1)*Assumption!$E$134*Assumption!$E$145*CHOOSE(MIN(MAX(AV16,1),3),Assumption!$E$146,Assumption!$E$147,Assumption!$E$148)*AV18/1000000*(1+Assumption!$E$141)^(MAX(AV16,1)-1)</f>
        <v>0</v>
      </c>
      <c r="AW27" s="158" t="n">
        <f aca="false">(AW14=1)*Assumption!$E$134*Assumption!$E$145*CHOOSE(MIN(MAX(AW16,1),3),Assumption!$E$146,Assumption!$E$147,Assumption!$E$148)*AW18/1000000*(1+Assumption!$E$141)^(MAX(AW16,1)-1)</f>
        <v>0</v>
      </c>
      <c r="AX27" s="158" t="n">
        <f aca="false">(AX14=1)*Assumption!$E$134*Assumption!$E$145*CHOOSE(MIN(MAX(AX16,1),3),Assumption!$E$146,Assumption!$E$147,Assumption!$E$148)*AX18/1000000*(1+Assumption!$E$141)^(MAX(AX16,1)-1)</f>
        <v>0</v>
      </c>
      <c r="AY27" s="158" t="n">
        <f aca="false">(AY14=1)*Assumption!$E$134*Assumption!$E$145*CHOOSE(MIN(MAX(AY16,1),3),Assumption!$E$146,Assumption!$E$147,Assumption!$E$148)*AY18/1000000*(1+Assumption!$E$141)^(MAX(AY16,1)-1)</f>
        <v>0</v>
      </c>
      <c r="AZ27" s="158" t="n">
        <f aca="false">(AZ14=1)*Assumption!$E$134*Assumption!$E$145*CHOOSE(MIN(MAX(AZ16,1),3),Assumption!$E$146,Assumption!$E$147,Assumption!$E$148)*AZ18/1000000*(1+Assumption!$E$141)^(MAX(AZ16,1)-1)</f>
        <v>0</v>
      </c>
      <c r="BA27" s="158" t="n">
        <f aca="false">(BA14=1)*Assumption!$E$134*Assumption!$E$145*CHOOSE(MIN(MAX(BA16,1),3),Assumption!$E$146,Assumption!$E$147,Assumption!$E$148)*BA18/1000000*(1+Assumption!$E$141)^(MAX(BA16,1)-1)</f>
        <v>0</v>
      </c>
      <c r="BB27" s="158" t="n">
        <f aca="false">(BB14=1)*Assumption!$E$134*Assumption!$E$145*CHOOSE(MIN(MAX(BB16,1),3),Assumption!$E$146,Assumption!$E$147,Assumption!$E$148)*BB18/1000000*(1+Assumption!$E$141)^(MAX(BB16,1)-1)</f>
        <v>0</v>
      </c>
      <c r="BC27" s="158" t="n">
        <f aca="false">(BC14=1)*Assumption!$E$134*Assumption!$E$145*CHOOSE(MIN(MAX(BC16,1),3),Assumption!$E$146,Assumption!$E$147,Assumption!$E$148)*BC18/1000000*(1+Assumption!$E$141)^(MAX(BC16,1)-1)</f>
        <v>0</v>
      </c>
      <c r="BD27" s="158" t="n">
        <f aca="false">(BD14=1)*Assumption!$E$134*Assumption!$E$145*CHOOSE(MIN(MAX(BD16,1),3),Assumption!$E$146,Assumption!$E$147,Assumption!$E$148)*BD18/1000000*(1+Assumption!$E$141)^(MAX(BD16,1)-1)</f>
        <v>0</v>
      </c>
      <c r="BE27" s="158" t="n">
        <f aca="false">(BE14=1)*Assumption!$E$134*Assumption!$E$145*CHOOSE(MIN(MAX(BE16,1),3),Assumption!$E$146,Assumption!$E$147,Assumption!$E$148)*BE18/1000000*(1+Assumption!$E$141)^(MAX(BE16,1)-1)</f>
        <v>0</v>
      </c>
      <c r="BF27" s="158" t="n">
        <f aca="false">(BF14=1)*Assumption!$E$134*Assumption!$E$145*CHOOSE(MIN(MAX(BF16,1),3),Assumption!$E$146,Assumption!$E$147,Assumption!$E$148)*BF18/1000000*(1+Assumption!$E$141)^(MAX(BF16,1)-1)</f>
        <v>0</v>
      </c>
      <c r="BG27" s="158" t="n">
        <f aca="false">(BG14=1)*Assumption!$E$134*Assumption!$E$145*CHOOSE(MIN(MAX(BG16,1),3),Assumption!$E$146,Assumption!$E$147,Assumption!$E$148)*BG18/1000000*(1+Assumption!$E$141)^(MAX(BG16,1)-1)</f>
        <v>0</v>
      </c>
      <c r="BH27" s="158" t="n">
        <f aca="false">(BH14=1)*Assumption!$E$134*Assumption!$E$145*CHOOSE(MIN(MAX(BH16,1),3),Assumption!$E$146,Assumption!$E$147,Assumption!$E$148)*BH18/1000000*(1+Assumption!$E$141)^(MAX(BH16,1)-1)</f>
        <v>0</v>
      </c>
      <c r="BI27" s="158" t="n">
        <f aca="false">(BI14=1)*Assumption!$E$134*Assumption!$E$145*CHOOSE(MIN(MAX(BI16,1),3),Assumption!$E$146,Assumption!$E$147,Assumption!$E$148)*BI18/1000000*(1+Assumption!$E$141)^(MAX(BI16,1)-1)</f>
        <v>0</v>
      </c>
      <c r="BJ27" s="158" t="n">
        <f aca="false">(BJ14=1)*Assumption!$E$134*Assumption!$E$145*CHOOSE(MIN(MAX(BJ16,1),3),Assumption!$E$146,Assumption!$E$147,Assumption!$E$148)*BJ18/1000000*(1+Assumption!$E$141)^(MAX(BJ16,1)-1)</f>
        <v>0</v>
      </c>
      <c r="BK27" s="158" t="n">
        <f aca="false">(BK14=1)*Assumption!$E$134*Assumption!$E$145*CHOOSE(MIN(MAX(BK16,1),3),Assumption!$E$146,Assumption!$E$147,Assumption!$E$148)*BK18/1000000*(1+Assumption!$E$141)^(MAX(BK16,1)-1)</f>
        <v>0</v>
      </c>
      <c r="BL27" s="158" t="n">
        <f aca="false">(BL14=1)*Assumption!$E$134*Assumption!$E$145*CHOOSE(MIN(MAX(BL16,1),3),Assumption!$E$146,Assumption!$E$147,Assumption!$E$148)*BL18/1000000*(1+Assumption!$E$141)^(MAX(BL16,1)-1)</f>
        <v>0</v>
      </c>
      <c r="BM27" s="158" t="n">
        <f aca="false">(BM14=1)*Assumption!$E$134*Assumption!$E$145*CHOOSE(MIN(MAX(BM16,1),3),Assumption!$E$146,Assumption!$E$147,Assumption!$E$148)*BM18/1000000*(1+Assumption!$E$141)^(MAX(BM16,1)-1)</f>
        <v>3107.13</v>
      </c>
      <c r="BN27" s="158" t="n">
        <f aca="false">(BN14=1)*Assumption!$E$134*Assumption!$E$145*CHOOSE(MIN(MAX(BN16,1),3),Assumption!$E$146,Assumption!$E$147,Assumption!$E$148)*BN18/1000000*(1+Assumption!$E$141)^(MAX(BN16,1)-1)</f>
        <v>3006.9</v>
      </c>
      <c r="BO27" s="158" t="n">
        <f aca="false">(BO14=1)*Assumption!$E$134*Assumption!$E$145*CHOOSE(MIN(MAX(BO16,1),3),Assumption!$E$146,Assumption!$E$147,Assumption!$E$148)*BO18/1000000*(1+Assumption!$E$141)^(MAX(BO16,1)-1)</f>
        <v>3107.13</v>
      </c>
      <c r="BP27" s="158" t="n">
        <f aca="false">(BP14=1)*Assumption!$E$134*Assumption!$E$145*CHOOSE(MIN(MAX(BP16,1),3),Assumption!$E$146,Assumption!$E$147,Assumption!$E$148)*BP18/1000000*(1+Assumption!$E$141)^(MAX(BP16,1)-1)</f>
        <v>3006.9</v>
      </c>
      <c r="BQ27" s="158" t="n">
        <f aca="false">(BQ14=1)*Assumption!$E$134*Assumption!$E$145*CHOOSE(MIN(MAX(BQ16,1),3),Assumption!$E$146,Assumption!$E$147,Assumption!$E$148)*BQ18/1000000*(1+Assumption!$E$141)^(MAX(BQ16,1)-1)</f>
        <v>3107.13</v>
      </c>
      <c r="BR27" s="158" t="n">
        <f aca="false">(BR14=1)*Assumption!$E$134*Assumption!$E$145*CHOOSE(MIN(MAX(BR16,1),3),Assumption!$E$146,Assumption!$E$147,Assumption!$E$148)*BR18/1000000*(1+Assumption!$E$141)^(MAX(BR16,1)-1)</f>
        <v>3107.13</v>
      </c>
      <c r="BS27" s="158" t="n">
        <f aca="false">(BS14=1)*Assumption!$E$134*Assumption!$E$145*CHOOSE(MIN(MAX(BS16,1),3),Assumption!$E$146,Assumption!$E$147,Assumption!$E$148)*BS18/1000000*(1+Assumption!$E$141)^(MAX(BS16,1)-1)</f>
        <v>3006.9</v>
      </c>
      <c r="BT27" s="158" t="n">
        <f aca="false">(BT14=1)*Assumption!$E$134*Assumption!$E$145*CHOOSE(MIN(MAX(BT16,1),3),Assumption!$E$146,Assumption!$E$147,Assumption!$E$148)*BT18/1000000*(1+Assumption!$E$141)^(MAX(BT16,1)-1)</f>
        <v>3107.13</v>
      </c>
      <c r="BU27" s="158" t="n">
        <f aca="false">(BU14=1)*Assumption!$E$134*Assumption!$E$145*CHOOSE(MIN(MAX(BU16,1),3),Assumption!$E$146,Assumption!$E$147,Assumption!$E$148)*BU18/1000000*(1+Assumption!$E$141)^(MAX(BU16,1)-1)</f>
        <v>3006.9</v>
      </c>
      <c r="BV27" s="158" t="n">
        <f aca="false">(BV14=1)*Assumption!$E$134*Assumption!$E$145*CHOOSE(MIN(MAX(BV16,1),3),Assumption!$E$146,Assumption!$E$147,Assumption!$E$148)*BV18/1000000*(1+Assumption!$E$141)^(MAX(BV16,1)-1)</f>
        <v>3107.13</v>
      </c>
      <c r="BW27" s="158" t="n">
        <f aca="false">(BW14=1)*Assumption!$E$134*Assumption!$E$145*CHOOSE(MIN(MAX(BW16,1),3),Assumption!$E$146,Assumption!$E$147,Assumption!$E$148)*BW18/1000000*(1+Assumption!$E$141)^(MAX(BW16,1)-1)</f>
        <v>3107.13</v>
      </c>
      <c r="BX27" s="158" t="n">
        <f aca="false">(BX14=1)*Assumption!$E$134*Assumption!$E$145*CHOOSE(MIN(MAX(BX16,1),3),Assumption!$E$146,Assumption!$E$147,Assumption!$E$148)*BX18/1000000*(1+Assumption!$E$141)^(MAX(BX16,1)-1)</f>
        <v>2906.67</v>
      </c>
      <c r="BY27" s="158" t="n">
        <f aca="false">(BY14=1)*Assumption!$E$134*Assumption!$E$145*CHOOSE(MIN(MAX(BY16,1),3),Assumption!$E$146,Assumption!$E$147,Assumption!$E$148)*BY18/1000000*(1+Assumption!$E$141)^(MAX(BY16,1)-1)</f>
        <v>3656.853</v>
      </c>
      <c r="BZ27" s="158" t="n">
        <f aca="false">(BZ14=1)*Assumption!$E$134*Assumption!$E$145*CHOOSE(MIN(MAX(BZ16,1),3),Assumption!$E$146,Assumption!$E$147,Assumption!$E$148)*BZ18/1000000*(1+Assumption!$E$141)^(MAX(BZ16,1)-1)</f>
        <v>3538.89</v>
      </c>
      <c r="CA27" s="158" t="n">
        <f aca="false">(CA14=1)*Assumption!$E$134*Assumption!$E$145*CHOOSE(MIN(MAX(CA16,1),3),Assumption!$E$146,Assumption!$E$147,Assumption!$E$148)*CA18/1000000*(1+Assumption!$E$141)^(MAX(CA16,1)-1)</f>
        <v>3656.853</v>
      </c>
      <c r="CB27" s="158" t="n">
        <f aca="false">(CB14=1)*Assumption!$E$134*Assumption!$E$145*CHOOSE(MIN(MAX(CB16,1),3),Assumption!$E$146,Assumption!$E$147,Assumption!$E$148)*CB18/1000000*(1+Assumption!$E$141)^(MAX(CB16,1)-1)</f>
        <v>3538.89</v>
      </c>
      <c r="CC27" s="158" t="n">
        <f aca="false">(CC14=1)*Assumption!$E$134*Assumption!$E$145*CHOOSE(MIN(MAX(CC16,1),3),Assumption!$E$146,Assumption!$E$147,Assumption!$E$148)*CC18/1000000*(1+Assumption!$E$141)^(MAX(CC16,1)-1)</f>
        <v>3656.853</v>
      </c>
      <c r="CD27" s="158" t="n">
        <f aca="false">(CD14=1)*Assumption!$E$134*Assumption!$E$145*CHOOSE(MIN(MAX(CD16,1),3),Assumption!$E$146,Assumption!$E$147,Assumption!$E$148)*CD18/1000000*(1+Assumption!$E$141)^(MAX(CD16,1)-1)</f>
        <v>3656.853</v>
      </c>
      <c r="CE27" s="158" t="n">
        <f aca="false">(CE14=1)*Assumption!$E$134*Assumption!$E$145*CHOOSE(MIN(MAX(CE16,1),3),Assumption!$E$146,Assumption!$E$147,Assumption!$E$148)*CE18/1000000*(1+Assumption!$E$141)^(MAX(CE16,1)-1)</f>
        <v>3538.89</v>
      </c>
      <c r="CF27" s="158" t="n">
        <f aca="false">(CF14=1)*Assumption!$E$134*Assumption!$E$145*CHOOSE(MIN(MAX(CF16,1),3),Assumption!$E$146,Assumption!$E$147,Assumption!$E$148)*CF18/1000000*(1+Assumption!$E$141)^(MAX(CF16,1)-1)</f>
        <v>3656.853</v>
      </c>
      <c r="CG27" s="158" t="n">
        <f aca="false">(CG14=1)*Assumption!$E$134*Assumption!$E$145*CHOOSE(MIN(MAX(CG16,1),3),Assumption!$E$146,Assumption!$E$147,Assumption!$E$148)*CG18/1000000*(1+Assumption!$E$141)^(MAX(CG16,1)-1)</f>
        <v>3538.89</v>
      </c>
      <c r="CH27" s="158" t="n">
        <f aca="false">(CH14=1)*Assumption!$E$134*Assumption!$E$145*CHOOSE(MIN(MAX(CH16,1),3),Assumption!$E$146,Assumption!$E$147,Assumption!$E$148)*CH18/1000000*(1+Assumption!$E$141)^(MAX(CH16,1)-1)</f>
        <v>3656.853</v>
      </c>
      <c r="CI27" s="158" t="n">
        <f aca="false">(CI14=1)*Assumption!$E$134*Assumption!$E$145*CHOOSE(MIN(MAX(CI16,1),3),Assumption!$E$146,Assumption!$E$147,Assumption!$E$148)*CI18/1000000*(1+Assumption!$E$141)^(MAX(CI16,1)-1)</f>
        <v>3656.853</v>
      </c>
      <c r="CJ27" s="158" t="n">
        <f aca="false">(CJ14=1)*Assumption!$E$134*Assumption!$E$145*CHOOSE(MIN(MAX(CJ16,1),3),Assumption!$E$146,Assumption!$E$147,Assumption!$E$148)*CJ18/1000000*(1+Assumption!$E$141)^(MAX(CJ16,1)-1)</f>
        <v>3302.964</v>
      </c>
      <c r="CK27" s="158" t="n">
        <f aca="false">(CK14=1)*Assumption!$E$134*Assumption!$E$145*CHOOSE(MIN(MAX(CK16,1),3),Assumption!$E$146,Assumption!$E$147,Assumption!$E$148)*CK18/1000000*(1+Assumption!$E$141)^(MAX(CK16,1)-1)</f>
        <v>3729.99006</v>
      </c>
      <c r="CL27" s="158" t="n">
        <f aca="false">(CL14=1)*Assumption!$E$134*Assumption!$E$145*CHOOSE(MIN(MAX(CL16,1),3),Assumption!$E$146,Assumption!$E$147,Assumption!$E$148)*CL18/1000000*(1+Assumption!$E$141)^(MAX(CL16,1)-1)</f>
        <v>3609.6678</v>
      </c>
      <c r="CM27" s="158" t="n">
        <f aca="false">(CM14=1)*Assumption!$E$134*Assumption!$E$145*CHOOSE(MIN(MAX(CM16,1),3),Assumption!$E$146,Assumption!$E$147,Assumption!$E$148)*CM18/1000000*(1+Assumption!$E$141)^(MAX(CM16,1)-1)</f>
        <v>3729.99006</v>
      </c>
      <c r="CN27" s="158" t="n">
        <f aca="false">(CN14=1)*Assumption!$E$134*Assumption!$E$145*CHOOSE(MIN(MAX(CN16,1),3),Assumption!$E$146,Assumption!$E$147,Assumption!$E$148)*CN18/1000000*(1+Assumption!$E$141)^(MAX(CN16,1)-1)</f>
        <v>3609.6678</v>
      </c>
      <c r="CO27" s="158" t="n">
        <f aca="false">(CO14=1)*Assumption!$E$134*Assumption!$E$145*CHOOSE(MIN(MAX(CO16,1),3),Assumption!$E$146,Assumption!$E$147,Assumption!$E$148)*CO18/1000000*(1+Assumption!$E$141)^(MAX(CO16,1)-1)</f>
        <v>3729.99006</v>
      </c>
      <c r="CP27" s="158" t="n">
        <f aca="false">(CP14=1)*Assumption!$E$134*Assumption!$E$145*CHOOSE(MIN(MAX(CP16,1),3),Assumption!$E$146,Assumption!$E$147,Assumption!$E$148)*CP18/1000000*(1+Assumption!$E$141)^(MAX(CP16,1)-1)</f>
        <v>3729.99006</v>
      </c>
      <c r="CQ27" s="158" t="n">
        <f aca="false">(CQ14=1)*Assumption!$E$134*Assumption!$E$145*CHOOSE(MIN(MAX(CQ16,1),3),Assumption!$E$146,Assumption!$E$147,Assumption!$E$148)*CQ18/1000000*(1+Assumption!$E$141)^(MAX(CQ16,1)-1)</f>
        <v>3609.6678</v>
      </c>
      <c r="CR27" s="158" t="n">
        <f aca="false">(CR14=1)*Assumption!$E$134*Assumption!$E$145*CHOOSE(MIN(MAX(CR16,1),3),Assumption!$E$146,Assumption!$E$147,Assumption!$E$148)*CR18/1000000*(1+Assumption!$E$141)^(MAX(CR16,1)-1)</f>
        <v>3729.99006</v>
      </c>
      <c r="CS27" s="158" t="n">
        <f aca="false">(CS14=1)*Assumption!$E$134*Assumption!$E$145*CHOOSE(MIN(MAX(CS16,1),3),Assumption!$E$146,Assumption!$E$147,Assumption!$E$148)*CS18/1000000*(1+Assumption!$E$141)^(MAX(CS16,1)-1)</f>
        <v>3609.6678</v>
      </c>
      <c r="CT27" s="158" t="n">
        <f aca="false">(CT14=1)*Assumption!$E$134*Assumption!$E$145*CHOOSE(MIN(MAX(CT16,1),3),Assumption!$E$146,Assumption!$E$147,Assumption!$E$148)*CT18/1000000*(1+Assumption!$E$141)^(MAX(CT16,1)-1)</f>
        <v>3729.99006</v>
      </c>
      <c r="CU27" s="158" t="n">
        <f aca="false">(CU14=1)*Assumption!$E$134*Assumption!$E$145*CHOOSE(MIN(MAX(CU16,1),3),Assumption!$E$146,Assumption!$E$147,Assumption!$E$148)*CU18/1000000*(1+Assumption!$E$141)^(MAX(CU16,1)-1)</f>
        <v>3729.99006</v>
      </c>
      <c r="CV27" s="158" t="n">
        <f aca="false">(CV14=1)*Assumption!$E$134*Assumption!$E$145*CHOOSE(MIN(MAX(CV16,1),3),Assumption!$E$146,Assumption!$E$147,Assumption!$E$148)*CV18/1000000*(1+Assumption!$E$141)^(MAX(CV16,1)-1)</f>
        <v>3369.02328</v>
      </c>
      <c r="CW27" s="158" t="n">
        <f aca="false">(CW14=1)*Assumption!$E$134*Assumption!$E$145*CHOOSE(MIN(MAX(CW16,1),3),Assumption!$E$146,Assumption!$E$147,Assumption!$E$148)*CW18/1000000*(1+Assumption!$E$141)^(MAX(CW16,1)-1)</f>
        <v>3804.5898612</v>
      </c>
      <c r="CX27" s="158" t="n">
        <f aca="false">(CX14=1)*Assumption!$E$134*Assumption!$E$145*CHOOSE(MIN(MAX(CX16,1),3),Assumption!$E$146,Assumption!$E$147,Assumption!$E$148)*CX18/1000000*(1+Assumption!$E$141)^(MAX(CX16,1)-1)</f>
        <v>3681.861156</v>
      </c>
      <c r="CY27" s="158" t="n">
        <f aca="false">(CY14=1)*Assumption!$E$134*Assumption!$E$145*CHOOSE(MIN(MAX(CY16,1),3),Assumption!$E$146,Assumption!$E$147,Assumption!$E$148)*CY18/1000000*(1+Assumption!$E$141)^(MAX(CY16,1)-1)</f>
        <v>3804.5898612</v>
      </c>
      <c r="CZ27" s="158" t="n">
        <f aca="false">(CZ14=1)*Assumption!$E$134*Assumption!$E$145*CHOOSE(MIN(MAX(CZ16,1),3),Assumption!$E$146,Assumption!$E$147,Assumption!$E$148)*CZ18/1000000*(1+Assumption!$E$141)^(MAX(CZ16,1)-1)</f>
        <v>3681.861156</v>
      </c>
      <c r="DA27" s="158" t="n">
        <f aca="false">(DA14=1)*Assumption!$E$134*Assumption!$E$145*CHOOSE(MIN(MAX(DA16,1),3),Assumption!$E$146,Assumption!$E$147,Assumption!$E$148)*DA18/1000000*(1+Assumption!$E$141)^(MAX(DA16,1)-1)</f>
        <v>3804.5898612</v>
      </c>
      <c r="DB27" s="158" t="n">
        <f aca="false">(DB14=1)*Assumption!$E$134*Assumption!$E$145*CHOOSE(MIN(MAX(DB16,1),3),Assumption!$E$146,Assumption!$E$147,Assumption!$E$148)*DB18/1000000*(1+Assumption!$E$141)^(MAX(DB16,1)-1)</f>
        <v>3804.5898612</v>
      </c>
      <c r="DC27" s="158" t="n">
        <f aca="false">(DC14=1)*Assumption!$E$134*Assumption!$E$145*CHOOSE(MIN(MAX(DC16,1),3),Assumption!$E$146,Assumption!$E$147,Assumption!$E$148)*DC18/1000000*(1+Assumption!$E$141)^(MAX(DC16,1)-1)</f>
        <v>3681.861156</v>
      </c>
      <c r="DD27" s="158" t="n">
        <f aca="false">(DD14=1)*Assumption!$E$134*Assumption!$E$145*CHOOSE(MIN(MAX(DD16,1),3),Assumption!$E$146,Assumption!$E$147,Assumption!$E$148)*DD18/1000000*(1+Assumption!$E$141)^(MAX(DD16,1)-1)</f>
        <v>3804.5898612</v>
      </c>
      <c r="DE27" s="158" t="n">
        <f aca="false">(DE14=1)*Assumption!$E$134*Assumption!$E$145*CHOOSE(MIN(MAX(DE16,1),3),Assumption!$E$146,Assumption!$E$147,Assumption!$E$148)*DE18/1000000*(1+Assumption!$E$141)^(MAX(DE16,1)-1)</f>
        <v>3681.861156</v>
      </c>
      <c r="DF27" s="158" t="n">
        <f aca="false">(DF14=1)*Assumption!$E$134*Assumption!$E$145*CHOOSE(MIN(MAX(DF16,1),3),Assumption!$E$146,Assumption!$E$147,Assumption!$E$148)*DF18/1000000*(1+Assumption!$E$141)^(MAX(DF16,1)-1)</f>
        <v>3804.5898612</v>
      </c>
      <c r="DG27" s="158" t="n">
        <f aca="false">(DG14=1)*Assumption!$E$134*Assumption!$E$145*CHOOSE(MIN(MAX(DG16,1),3),Assumption!$E$146,Assumption!$E$147,Assumption!$E$148)*DG18/1000000*(1+Assumption!$E$141)^(MAX(DG16,1)-1)</f>
        <v>3804.5898612</v>
      </c>
      <c r="DH27" s="158" t="n">
        <f aca="false">(DH14=1)*Assumption!$E$134*Assumption!$E$145*CHOOSE(MIN(MAX(DH16,1),3),Assumption!$E$146,Assumption!$E$147,Assumption!$E$148)*DH18/1000000*(1+Assumption!$E$141)^(MAX(DH16,1)-1)</f>
        <v>3436.4037456</v>
      </c>
      <c r="DI27" s="158" t="n">
        <f aca="false">(DI14=1)*Assumption!$E$134*Assumption!$E$145*CHOOSE(MIN(MAX(DI16,1),3),Assumption!$E$146,Assumption!$E$147,Assumption!$E$148)*DI18/1000000*(1+Assumption!$E$141)^(MAX(DI16,1)-1)</f>
        <v>3880.681658424</v>
      </c>
      <c r="DJ27" s="158" t="n">
        <f aca="false">(DJ14=1)*Assumption!$E$134*Assumption!$E$145*CHOOSE(MIN(MAX(DJ16,1),3),Assumption!$E$146,Assumption!$E$147,Assumption!$E$148)*DJ18/1000000*(1+Assumption!$E$141)^(MAX(DJ16,1)-1)</f>
        <v>3755.49837912</v>
      </c>
      <c r="DK27" s="158" t="n">
        <f aca="false">(DK14=1)*Assumption!$E$134*Assumption!$E$145*CHOOSE(MIN(MAX(DK16,1),3),Assumption!$E$146,Assumption!$E$147,Assumption!$E$148)*DK18/1000000*(1+Assumption!$E$141)^(MAX(DK16,1)-1)</f>
        <v>3880.681658424</v>
      </c>
      <c r="DL27" s="158" t="n">
        <f aca="false">(DL14=1)*Assumption!$E$134*Assumption!$E$145*CHOOSE(MIN(MAX(DL16,1),3),Assumption!$E$146,Assumption!$E$147,Assumption!$E$148)*DL18/1000000*(1+Assumption!$E$141)^(MAX(DL16,1)-1)</f>
        <v>3755.49837912</v>
      </c>
      <c r="DM27" s="158" t="n">
        <f aca="false">(DM14=1)*Assumption!$E$134*Assumption!$E$145*CHOOSE(MIN(MAX(DM16,1),3),Assumption!$E$146,Assumption!$E$147,Assumption!$E$148)*DM18/1000000*(1+Assumption!$E$141)^(MAX(DM16,1)-1)</f>
        <v>3880.681658424</v>
      </c>
      <c r="DN27" s="158" t="n">
        <f aca="false">(DN14=1)*Assumption!$E$134*Assumption!$E$145*CHOOSE(MIN(MAX(DN16,1),3),Assumption!$E$146,Assumption!$E$147,Assumption!$E$148)*DN18/1000000*(1+Assumption!$E$141)^(MAX(DN16,1)-1)</f>
        <v>3880.681658424</v>
      </c>
      <c r="DO27" s="158" t="n">
        <f aca="false">(DO14=1)*Assumption!$E$134*Assumption!$E$145*CHOOSE(MIN(MAX(DO16,1),3),Assumption!$E$146,Assumption!$E$147,Assumption!$E$148)*DO18/1000000*(1+Assumption!$E$141)^(MAX(DO16,1)-1)</f>
        <v>3755.49837912</v>
      </c>
      <c r="DP27" s="158" t="n">
        <f aca="false">(DP14=1)*Assumption!$E$134*Assumption!$E$145*CHOOSE(MIN(MAX(DP16,1),3),Assumption!$E$146,Assumption!$E$147,Assumption!$E$148)*DP18/1000000*(1+Assumption!$E$141)^(MAX(DP16,1)-1)</f>
        <v>3880.681658424</v>
      </c>
      <c r="DQ27" s="158" t="n">
        <f aca="false">(DQ14=1)*Assumption!$E$134*Assumption!$E$145*CHOOSE(MIN(MAX(DQ16,1),3),Assumption!$E$146,Assumption!$E$147,Assumption!$E$148)*DQ18/1000000*(1+Assumption!$E$141)^(MAX(DQ16,1)-1)</f>
        <v>3755.49837912</v>
      </c>
      <c r="DR27" s="158" t="n">
        <f aca="false">(DR14=1)*Assumption!$E$134*Assumption!$E$145*CHOOSE(MIN(MAX(DR16,1),3),Assumption!$E$146,Assumption!$E$147,Assumption!$E$148)*DR18/1000000*(1+Assumption!$E$141)^(MAX(DR16,1)-1)</f>
        <v>3880.681658424</v>
      </c>
      <c r="DS27" s="158" t="n">
        <f aca="false">(DS14=1)*Assumption!$E$134*Assumption!$E$145*CHOOSE(MIN(MAX(DS16,1),3),Assumption!$E$146,Assumption!$E$147,Assumption!$E$148)*DS18/1000000*(1+Assumption!$E$141)^(MAX(DS16,1)-1)</f>
        <v>3880.681658424</v>
      </c>
      <c r="DT27" s="158" t="n">
        <f aca="false">(DT14=1)*Assumption!$E$134*Assumption!$E$145*CHOOSE(MIN(MAX(DT16,1),3),Assumption!$E$146,Assumption!$E$147,Assumption!$E$148)*DT18/1000000*(1+Assumption!$E$141)^(MAX(DT16,1)-1)</f>
        <v>3630.315099816</v>
      </c>
      <c r="DU27" s="158" t="n">
        <f aca="false">(DU14=1)*Assumption!$E$134*Assumption!$E$145*CHOOSE(MIN(MAX(DU16,1),3),Assumption!$E$146,Assumption!$E$147,Assumption!$E$148)*DU18/1000000*(1+Assumption!$E$141)^(MAX(DU16,1)-1)</f>
        <v>0</v>
      </c>
      <c r="DV27" s="158" t="n">
        <f aca="false">(DV14=1)*Assumption!$E$134*Assumption!$E$145*CHOOSE(MIN(MAX(DV16,1),3),Assumption!$E$146,Assumption!$E$147,Assumption!$E$148)*DV18/1000000*(1+Assumption!$E$141)^(MAX(DV16,1)-1)</f>
        <v>0</v>
      </c>
      <c r="DW27" s="158" t="n">
        <f aca="false">(DW14=1)*Assumption!$E$134*Assumption!$E$145*CHOOSE(MIN(MAX(DW16,1),3),Assumption!$E$146,Assumption!$E$147,Assumption!$E$148)*DW18/1000000*(1+Assumption!$E$141)^(MAX(DW16,1)-1)</f>
        <v>0</v>
      </c>
      <c r="DX27" s="158" t="n">
        <f aca="false">(DX14=1)*Assumption!$E$134*Assumption!$E$145*CHOOSE(MIN(MAX(DX16,1),3),Assumption!$E$146,Assumption!$E$147,Assumption!$E$148)*DX18/1000000*(1+Assumption!$E$141)^(MAX(DX16,1)-1)</f>
        <v>0</v>
      </c>
      <c r="DY27" s="158" t="n">
        <f aca="false">(DY14=1)*Assumption!$E$134*Assumption!$E$145*CHOOSE(MIN(MAX(DY16,1),3),Assumption!$E$146,Assumption!$E$147,Assumption!$E$148)*DY18/1000000*(1+Assumption!$E$141)^(MAX(DY16,1)-1)</f>
        <v>0</v>
      </c>
      <c r="DZ27" s="158" t="n">
        <f aca="false">(DZ14=1)*Assumption!$E$134*Assumption!$E$145*CHOOSE(MIN(MAX(DZ16,1),3),Assumption!$E$146,Assumption!$E$147,Assumption!$E$148)*DZ18/1000000*(1+Assumption!$E$141)^(MAX(DZ16,1)-1)</f>
        <v>0</v>
      </c>
      <c r="EA27" s="158" t="n">
        <f aca="false">(EA14=1)*Assumption!$E$134*Assumption!$E$145*CHOOSE(MIN(MAX(EA16,1),3),Assumption!$E$146,Assumption!$E$147,Assumption!$E$148)*EA18/1000000*(1+Assumption!$E$141)^(MAX(EA16,1)-1)</f>
        <v>0</v>
      </c>
      <c r="EB27" s="158" t="n">
        <f aca="false">(EB14=1)*Assumption!$E$134*Assumption!$E$145*CHOOSE(MIN(MAX(EB16,1),3),Assumption!$E$146,Assumption!$E$147,Assumption!$E$148)*EB18/1000000*(1+Assumption!$E$141)^(MAX(EB16,1)-1)</f>
        <v>0</v>
      </c>
      <c r="EC27" s="158" t="n">
        <f aca="false">(EC14=1)*Assumption!$E$134*Assumption!$E$145*CHOOSE(MIN(MAX(EC16,1),3),Assumption!$E$146,Assumption!$E$147,Assumption!$E$148)*EC18/1000000*(1+Assumption!$E$141)^(MAX(EC16,1)-1)</f>
        <v>0</v>
      </c>
      <c r="ED27" s="158" t="n">
        <f aca="false">(ED14=1)*Assumption!$E$134*Assumption!$E$145*CHOOSE(MIN(MAX(ED16,1),3),Assumption!$E$146,Assumption!$E$147,Assumption!$E$148)*ED18/1000000*(1+Assumption!$E$141)^(MAX(ED16,1)-1)</f>
        <v>0</v>
      </c>
      <c r="EE27" s="158" t="n">
        <f aca="false">(EE14=1)*Assumption!$E$134*Assumption!$E$145*CHOOSE(MIN(MAX(EE16,1),3),Assumption!$E$146,Assumption!$E$147,Assumption!$E$148)*EE18/1000000*(1+Assumption!$E$141)^(MAX(EE16,1)-1)</f>
        <v>0</v>
      </c>
      <c r="EF27" s="158" t="n">
        <f aca="false">(EF14=1)*Assumption!$E$134*Assumption!$E$145*CHOOSE(MIN(MAX(EF16,1),3),Assumption!$E$146,Assumption!$E$147,Assumption!$E$148)*EF18/1000000*(1+Assumption!$E$141)^(MAX(EF16,1)-1)</f>
        <v>0</v>
      </c>
    </row>
    <row r="28" customFormat="false" ht="15" hidden="false" customHeight="false" outlineLevel="0" collapsed="false">
      <c r="A28" s="35" t="s">
        <v>499</v>
      </c>
      <c r="B28" s="241" t="s">
        <v>116</v>
      </c>
      <c r="C28" s="242" t="n">
        <f aca="false">SUM(E28:EF28)</f>
        <v>96422.1108854688</v>
      </c>
      <c r="E28" s="158" t="n">
        <f aca="false">E27*Assumption!$E$149</f>
        <v>0</v>
      </c>
      <c r="F28" s="158" t="n">
        <f aca="false">F27*Assumption!$E$149</f>
        <v>0</v>
      </c>
      <c r="G28" s="158" t="n">
        <f aca="false">G27*Assumption!$E$149</f>
        <v>0</v>
      </c>
      <c r="H28" s="158" t="n">
        <f aca="false">H27*Assumption!$E$149</f>
        <v>0</v>
      </c>
      <c r="I28" s="158" t="n">
        <f aca="false">I27*Assumption!$E$149</f>
        <v>0</v>
      </c>
      <c r="J28" s="158" t="n">
        <f aca="false">J27*Assumption!$E$149</f>
        <v>0</v>
      </c>
      <c r="K28" s="158" t="n">
        <f aca="false">K27*Assumption!$E$149</f>
        <v>0</v>
      </c>
      <c r="L28" s="158" t="n">
        <f aca="false">L27*Assumption!$E$149</f>
        <v>0</v>
      </c>
      <c r="M28" s="158" t="n">
        <f aca="false">M27*Assumption!$E$149</f>
        <v>0</v>
      </c>
      <c r="N28" s="158" t="n">
        <f aca="false">N27*Assumption!$E$149</f>
        <v>0</v>
      </c>
      <c r="O28" s="158" t="n">
        <f aca="false">O27*Assumption!$E$149</f>
        <v>0</v>
      </c>
      <c r="P28" s="158" t="n">
        <f aca="false">P27*Assumption!$E$149</f>
        <v>0</v>
      </c>
      <c r="Q28" s="158" t="n">
        <f aca="false">Q27*Assumption!$E$149</f>
        <v>0</v>
      </c>
      <c r="R28" s="158" t="n">
        <f aca="false">R27*Assumption!$E$149</f>
        <v>0</v>
      </c>
      <c r="S28" s="158" t="n">
        <f aca="false">S27*Assumption!$E$149</f>
        <v>0</v>
      </c>
      <c r="T28" s="158" t="n">
        <f aca="false">T27*Assumption!$E$149</f>
        <v>0</v>
      </c>
      <c r="U28" s="158" t="n">
        <f aca="false">U27*Assumption!$E$149</f>
        <v>0</v>
      </c>
      <c r="V28" s="158" t="n">
        <f aca="false">V27*Assumption!$E$149</f>
        <v>0</v>
      </c>
      <c r="W28" s="158" t="n">
        <f aca="false">W27*Assumption!$E$149</f>
        <v>0</v>
      </c>
      <c r="X28" s="158" t="n">
        <f aca="false">X27*Assumption!$E$149</f>
        <v>0</v>
      </c>
      <c r="Y28" s="158" t="n">
        <f aca="false">Y27*Assumption!$E$149</f>
        <v>0</v>
      </c>
      <c r="Z28" s="158" t="n">
        <f aca="false">Z27*Assumption!$E$149</f>
        <v>0</v>
      </c>
      <c r="AA28" s="158" t="n">
        <f aca="false">AA27*Assumption!$E$149</f>
        <v>0</v>
      </c>
      <c r="AB28" s="158" t="n">
        <f aca="false">AB27*Assumption!$E$149</f>
        <v>0</v>
      </c>
      <c r="AC28" s="158" t="n">
        <f aca="false">AC27*Assumption!$E$149</f>
        <v>0</v>
      </c>
      <c r="AD28" s="158" t="n">
        <f aca="false">AD27*Assumption!$E$149</f>
        <v>0</v>
      </c>
      <c r="AE28" s="158" t="n">
        <f aca="false">AE27*Assumption!$E$149</f>
        <v>0</v>
      </c>
      <c r="AF28" s="158" t="n">
        <f aca="false">AF27*Assumption!$E$149</f>
        <v>0</v>
      </c>
      <c r="AG28" s="158" t="n">
        <f aca="false">AG27*Assumption!$E$149</f>
        <v>0</v>
      </c>
      <c r="AH28" s="158" t="n">
        <f aca="false">AH27*Assumption!$E$149</f>
        <v>0</v>
      </c>
      <c r="AI28" s="158" t="n">
        <f aca="false">AI27*Assumption!$E$149</f>
        <v>0</v>
      </c>
      <c r="AJ28" s="158" t="n">
        <f aca="false">AJ27*Assumption!$E$149</f>
        <v>0</v>
      </c>
      <c r="AK28" s="158" t="n">
        <f aca="false">AK27*Assumption!$E$149</f>
        <v>0</v>
      </c>
      <c r="AL28" s="158" t="n">
        <f aca="false">AL27*Assumption!$E$149</f>
        <v>0</v>
      </c>
      <c r="AM28" s="158" t="n">
        <f aca="false">AM27*Assumption!$E$149</f>
        <v>0</v>
      </c>
      <c r="AN28" s="158" t="n">
        <f aca="false">AN27*Assumption!$E$149</f>
        <v>0</v>
      </c>
      <c r="AO28" s="158" t="n">
        <f aca="false">AO27*Assumption!$E$149</f>
        <v>0</v>
      </c>
      <c r="AP28" s="158" t="n">
        <f aca="false">AP27*Assumption!$E$149</f>
        <v>0</v>
      </c>
      <c r="AQ28" s="158" t="n">
        <f aca="false">AQ27*Assumption!$E$149</f>
        <v>0</v>
      </c>
      <c r="AR28" s="158" t="n">
        <f aca="false">AR27*Assumption!$E$149</f>
        <v>0</v>
      </c>
      <c r="AS28" s="158" t="n">
        <f aca="false">AS27*Assumption!$E$149</f>
        <v>0</v>
      </c>
      <c r="AT28" s="158" t="n">
        <f aca="false">AT27*Assumption!$E$149</f>
        <v>0</v>
      </c>
      <c r="AU28" s="158" t="n">
        <f aca="false">AU27*Assumption!$E$149</f>
        <v>0</v>
      </c>
      <c r="AV28" s="158" t="n">
        <f aca="false">AV27*Assumption!$E$149</f>
        <v>0</v>
      </c>
      <c r="AW28" s="158" t="n">
        <f aca="false">AW27*Assumption!$E$149</f>
        <v>0</v>
      </c>
      <c r="AX28" s="158" t="n">
        <f aca="false">AX27*Assumption!$E$149</f>
        <v>0</v>
      </c>
      <c r="AY28" s="158" t="n">
        <f aca="false">AY27*Assumption!$E$149</f>
        <v>0</v>
      </c>
      <c r="AZ28" s="158" t="n">
        <f aca="false">AZ27*Assumption!$E$149</f>
        <v>0</v>
      </c>
      <c r="BA28" s="158" t="n">
        <f aca="false">BA27*Assumption!$E$149</f>
        <v>0</v>
      </c>
      <c r="BB28" s="158" t="n">
        <f aca="false">BB27*Assumption!$E$149</f>
        <v>0</v>
      </c>
      <c r="BC28" s="158" t="n">
        <f aca="false">BC27*Assumption!$E$149</f>
        <v>0</v>
      </c>
      <c r="BD28" s="158" t="n">
        <f aca="false">BD27*Assumption!$E$149</f>
        <v>0</v>
      </c>
      <c r="BE28" s="158" t="n">
        <f aca="false">BE27*Assumption!$E$149</f>
        <v>0</v>
      </c>
      <c r="BF28" s="158" t="n">
        <f aca="false">BF27*Assumption!$E$149</f>
        <v>0</v>
      </c>
      <c r="BG28" s="158" t="n">
        <f aca="false">BG27*Assumption!$E$149</f>
        <v>0</v>
      </c>
      <c r="BH28" s="158" t="n">
        <f aca="false">BH27*Assumption!$E$149</f>
        <v>0</v>
      </c>
      <c r="BI28" s="158" t="n">
        <f aca="false">BI27*Assumption!$E$149</f>
        <v>0</v>
      </c>
      <c r="BJ28" s="158" t="n">
        <f aca="false">BJ27*Assumption!$E$149</f>
        <v>0</v>
      </c>
      <c r="BK28" s="158" t="n">
        <f aca="false">BK27*Assumption!$E$149</f>
        <v>0</v>
      </c>
      <c r="BL28" s="158" t="n">
        <f aca="false">BL27*Assumption!$E$149</f>
        <v>0</v>
      </c>
      <c r="BM28" s="158" t="n">
        <f aca="false">BM27*Assumption!$E$149</f>
        <v>1398.2085</v>
      </c>
      <c r="BN28" s="158" t="n">
        <f aca="false">BN27*Assumption!$E$149</f>
        <v>1353.105</v>
      </c>
      <c r="BO28" s="158" t="n">
        <f aca="false">BO27*Assumption!$E$149</f>
        <v>1398.2085</v>
      </c>
      <c r="BP28" s="158" t="n">
        <f aca="false">BP27*Assumption!$E$149</f>
        <v>1353.105</v>
      </c>
      <c r="BQ28" s="158" t="n">
        <f aca="false">BQ27*Assumption!$E$149</f>
        <v>1398.2085</v>
      </c>
      <c r="BR28" s="158" t="n">
        <f aca="false">BR27*Assumption!$E$149</f>
        <v>1398.2085</v>
      </c>
      <c r="BS28" s="158" t="n">
        <f aca="false">BS27*Assumption!$E$149</f>
        <v>1353.105</v>
      </c>
      <c r="BT28" s="158" t="n">
        <f aca="false">BT27*Assumption!$E$149</f>
        <v>1398.2085</v>
      </c>
      <c r="BU28" s="158" t="n">
        <f aca="false">BU27*Assumption!$E$149</f>
        <v>1353.105</v>
      </c>
      <c r="BV28" s="158" t="n">
        <f aca="false">BV27*Assumption!$E$149</f>
        <v>1398.2085</v>
      </c>
      <c r="BW28" s="158" t="n">
        <f aca="false">BW27*Assumption!$E$149</f>
        <v>1398.2085</v>
      </c>
      <c r="BX28" s="158" t="n">
        <f aca="false">BX27*Assumption!$E$149</f>
        <v>1308.0015</v>
      </c>
      <c r="BY28" s="158" t="n">
        <f aca="false">BY27*Assumption!$E$149</f>
        <v>1645.58385</v>
      </c>
      <c r="BZ28" s="158" t="n">
        <f aca="false">BZ27*Assumption!$E$149</f>
        <v>1592.5005</v>
      </c>
      <c r="CA28" s="158" t="n">
        <f aca="false">CA27*Assumption!$E$149</f>
        <v>1645.58385</v>
      </c>
      <c r="CB28" s="158" t="n">
        <f aca="false">CB27*Assumption!$E$149</f>
        <v>1592.5005</v>
      </c>
      <c r="CC28" s="158" t="n">
        <f aca="false">CC27*Assumption!$E$149</f>
        <v>1645.58385</v>
      </c>
      <c r="CD28" s="158" t="n">
        <f aca="false">CD27*Assumption!$E$149</f>
        <v>1645.58385</v>
      </c>
      <c r="CE28" s="158" t="n">
        <f aca="false">CE27*Assumption!$E$149</f>
        <v>1592.5005</v>
      </c>
      <c r="CF28" s="158" t="n">
        <f aca="false">CF27*Assumption!$E$149</f>
        <v>1645.58385</v>
      </c>
      <c r="CG28" s="158" t="n">
        <f aca="false">CG27*Assumption!$E$149</f>
        <v>1592.5005</v>
      </c>
      <c r="CH28" s="158" t="n">
        <f aca="false">CH27*Assumption!$E$149</f>
        <v>1645.58385</v>
      </c>
      <c r="CI28" s="158" t="n">
        <f aca="false">CI27*Assumption!$E$149</f>
        <v>1645.58385</v>
      </c>
      <c r="CJ28" s="158" t="n">
        <f aca="false">CJ27*Assumption!$E$149</f>
        <v>1486.3338</v>
      </c>
      <c r="CK28" s="158" t="n">
        <f aca="false">CK27*Assumption!$E$149</f>
        <v>1678.495527</v>
      </c>
      <c r="CL28" s="158" t="n">
        <f aca="false">CL27*Assumption!$E$149</f>
        <v>1624.35051</v>
      </c>
      <c r="CM28" s="158" t="n">
        <f aca="false">CM27*Assumption!$E$149</f>
        <v>1678.495527</v>
      </c>
      <c r="CN28" s="158" t="n">
        <f aca="false">CN27*Assumption!$E$149</f>
        <v>1624.35051</v>
      </c>
      <c r="CO28" s="158" t="n">
        <f aca="false">CO27*Assumption!$E$149</f>
        <v>1678.495527</v>
      </c>
      <c r="CP28" s="158" t="n">
        <f aca="false">CP27*Assumption!$E$149</f>
        <v>1678.495527</v>
      </c>
      <c r="CQ28" s="158" t="n">
        <f aca="false">CQ27*Assumption!$E$149</f>
        <v>1624.35051</v>
      </c>
      <c r="CR28" s="158" t="n">
        <f aca="false">CR27*Assumption!$E$149</f>
        <v>1678.495527</v>
      </c>
      <c r="CS28" s="158" t="n">
        <f aca="false">CS27*Assumption!$E$149</f>
        <v>1624.35051</v>
      </c>
      <c r="CT28" s="158" t="n">
        <f aca="false">CT27*Assumption!$E$149</f>
        <v>1678.495527</v>
      </c>
      <c r="CU28" s="158" t="n">
        <f aca="false">CU27*Assumption!$E$149</f>
        <v>1678.495527</v>
      </c>
      <c r="CV28" s="158" t="n">
        <f aca="false">CV27*Assumption!$E$149</f>
        <v>1516.060476</v>
      </c>
      <c r="CW28" s="158" t="n">
        <f aca="false">CW27*Assumption!$E$149</f>
        <v>1712.06543754</v>
      </c>
      <c r="CX28" s="158" t="n">
        <f aca="false">CX27*Assumption!$E$149</f>
        <v>1656.8375202</v>
      </c>
      <c r="CY28" s="158" t="n">
        <f aca="false">CY27*Assumption!$E$149</f>
        <v>1712.06543754</v>
      </c>
      <c r="CZ28" s="158" t="n">
        <f aca="false">CZ27*Assumption!$E$149</f>
        <v>1656.8375202</v>
      </c>
      <c r="DA28" s="158" t="n">
        <f aca="false">DA27*Assumption!$E$149</f>
        <v>1712.06543754</v>
      </c>
      <c r="DB28" s="158" t="n">
        <f aca="false">DB27*Assumption!$E$149</f>
        <v>1712.06543754</v>
      </c>
      <c r="DC28" s="158" t="n">
        <f aca="false">DC27*Assumption!$E$149</f>
        <v>1656.8375202</v>
      </c>
      <c r="DD28" s="158" t="n">
        <f aca="false">DD27*Assumption!$E$149</f>
        <v>1712.06543754</v>
      </c>
      <c r="DE28" s="158" t="n">
        <f aca="false">DE27*Assumption!$E$149</f>
        <v>1656.8375202</v>
      </c>
      <c r="DF28" s="158" t="n">
        <f aca="false">DF27*Assumption!$E$149</f>
        <v>1712.06543754</v>
      </c>
      <c r="DG28" s="158" t="n">
        <f aca="false">DG27*Assumption!$E$149</f>
        <v>1712.06543754</v>
      </c>
      <c r="DH28" s="158" t="n">
        <f aca="false">DH27*Assumption!$E$149</f>
        <v>1546.38168552</v>
      </c>
      <c r="DI28" s="158" t="n">
        <f aca="false">DI27*Assumption!$E$149</f>
        <v>1746.3067462908</v>
      </c>
      <c r="DJ28" s="158" t="n">
        <f aca="false">DJ27*Assumption!$E$149</f>
        <v>1689.974270604</v>
      </c>
      <c r="DK28" s="158" t="n">
        <f aca="false">DK27*Assumption!$E$149</f>
        <v>1746.3067462908</v>
      </c>
      <c r="DL28" s="158" t="n">
        <f aca="false">DL27*Assumption!$E$149</f>
        <v>1689.974270604</v>
      </c>
      <c r="DM28" s="158" t="n">
        <f aca="false">DM27*Assumption!$E$149</f>
        <v>1746.3067462908</v>
      </c>
      <c r="DN28" s="158" t="n">
        <f aca="false">DN27*Assumption!$E$149</f>
        <v>1746.3067462908</v>
      </c>
      <c r="DO28" s="158" t="n">
        <f aca="false">DO27*Assumption!$E$149</f>
        <v>1689.974270604</v>
      </c>
      <c r="DP28" s="158" t="n">
        <f aca="false">DP27*Assumption!$E$149</f>
        <v>1746.3067462908</v>
      </c>
      <c r="DQ28" s="158" t="n">
        <f aca="false">DQ27*Assumption!$E$149</f>
        <v>1689.974270604</v>
      </c>
      <c r="DR28" s="158" t="n">
        <f aca="false">DR27*Assumption!$E$149</f>
        <v>1746.3067462908</v>
      </c>
      <c r="DS28" s="158" t="n">
        <f aca="false">DS27*Assumption!$E$149</f>
        <v>1746.3067462908</v>
      </c>
      <c r="DT28" s="158" t="n">
        <f aca="false">DT27*Assumption!$E$149</f>
        <v>1633.6417949172</v>
      </c>
      <c r="DU28" s="158" t="n">
        <f aca="false">DU27*Assumption!$E$149</f>
        <v>0</v>
      </c>
      <c r="DV28" s="158" t="n">
        <f aca="false">DV27*Assumption!$E$149</f>
        <v>0</v>
      </c>
      <c r="DW28" s="158" t="n">
        <f aca="false">DW27*Assumption!$E$149</f>
        <v>0</v>
      </c>
      <c r="DX28" s="158" t="n">
        <f aca="false">DX27*Assumption!$E$149</f>
        <v>0</v>
      </c>
      <c r="DY28" s="158" t="n">
        <f aca="false">DY27*Assumption!$E$149</f>
        <v>0</v>
      </c>
      <c r="DZ28" s="158" t="n">
        <f aca="false">DZ27*Assumption!$E$149</f>
        <v>0</v>
      </c>
      <c r="EA28" s="158" t="n">
        <f aca="false">EA27*Assumption!$E$149</f>
        <v>0</v>
      </c>
      <c r="EB28" s="158" t="n">
        <f aca="false">EB27*Assumption!$E$149</f>
        <v>0</v>
      </c>
      <c r="EC28" s="158" t="n">
        <f aca="false">EC27*Assumption!$E$149</f>
        <v>0</v>
      </c>
      <c r="ED28" s="158" t="n">
        <f aca="false">ED27*Assumption!$E$149</f>
        <v>0</v>
      </c>
      <c r="EE28" s="158" t="n">
        <f aca="false">EE27*Assumption!$E$149</f>
        <v>0</v>
      </c>
      <c r="EF28" s="158" t="n">
        <f aca="false">EF27*Assumption!$E$149</f>
        <v>0</v>
      </c>
    </row>
    <row r="29" customFormat="false" ht="15" hidden="false" customHeight="false" outlineLevel="0" collapsed="false">
      <c r="A29" s="35" t="s">
        <v>500</v>
      </c>
      <c r="B29" s="241" t="s">
        <v>116</v>
      </c>
      <c r="C29" s="242" t="n">
        <f aca="false">SUM(E29:EF29)</f>
        <v>12856.2814513958</v>
      </c>
      <c r="E29" s="158" t="n">
        <f aca="false">E27*Assumption!$E$150</f>
        <v>0</v>
      </c>
      <c r="F29" s="158" t="n">
        <f aca="false">F27*Assumption!$E$150</f>
        <v>0</v>
      </c>
      <c r="G29" s="158" t="n">
        <f aca="false">G27*Assumption!$E$150</f>
        <v>0</v>
      </c>
      <c r="H29" s="158" t="n">
        <f aca="false">H27*Assumption!$E$150</f>
        <v>0</v>
      </c>
      <c r="I29" s="158" t="n">
        <f aca="false">I27*Assumption!$E$150</f>
        <v>0</v>
      </c>
      <c r="J29" s="158" t="n">
        <f aca="false">J27*Assumption!$E$150</f>
        <v>0</v>
      </c>
      <c r="K29" s="158" t="n">
        <f aca="false">K27*Assumption!$E$150</f>
        <v>0</v>
      </c>
      <c r="L29" s="158" t="n">
        <f aca="false">L27*Assumption!$E$150</f>
        <v>0</v>
      </c>
      <c r="M29" s="158" t="n">
        <f aca="false">M27*Assumption!$E$150</f>
        <v>0</v>
      </c>
      <c r="N29" s="158" t="n">
        <f aca="false">N27*Assumption!$E$150</f>
        <v>0</v>
      </c>
      <c r="O29" s="158" t="n">
        <f aca="false">O27*Assumption!$E$150</f>
        <v>0</v>
      </c>
      <c r="P29" s="158" t="n">
        <f aca="false">P27*Assumption!$E$150</f>
        <v>0</v>
      </c>
      <c r="Q29" s="158" t="n">
        <f aca="false">Q27*Assumption!$E$150</f>
        <v>0</v>
      </c>
      <c r="R29" s="158" t="n">
        <f aca="false">R27*Assumption!$E$150</f>
        <v>0</v>
      </c>
      <c r="S29" s="158" t="n">
        <f aca="false">S27*Assumption!$E$150</f>
        <v>0</v>
      </c>
      <c r="T29" s="158" t="n">
        <f aca="false">T27*Assumption!$E$150</f>
        <v>0</v>
      </c>
      <c r="U29" s="158" t="n">
        <f aca="false">U27*Assumption!$E$150</f>
        <v>0</v>
      </c>
      <c r="V29" s="158" t="n">
        <f aca="false">V27*Assumption!$E$150</f>
        <v>0</v>
      </c>
      <c r="W29" s="158" t="n">
        <f aca="false">W27*Assumption!$E$150</f>
        <v>0</v>
      </c>
      <c r="X29" s="158" t="n">
        <f aca="false">X27*Assumption!$E$150</f>
        <v>0</v>
      </c>
      <c r="Y29" s="158" t="n">
        <f aca="false">Y27*Assumption!$E$150</f>
        <v>0</v>
      </c>
      <c r="Z29" s="158" t="n">
        <f aca="false">Z27*Assumption!$E$150</f>
        <v>0</v>
      </c>
      <c r="AA29" s="158" t="n">
        <f aca="false">AA27*Assumption!$E$150</f>
        <v>0</v>
      </c>
      <c r="AB29" s="158" t="n">
        <f aca="false">AB27*Assumption!$E$150</f>
        <v>0</v>
      </c>
      <c r="AC29" s="158" t="n">
        <f aca="false">AC27*Assumption!$E$150</f>
        <v>0</v>
      </c>
      <c r="AD29" s="158" t="n">
        <f aca="false">AD27*Assumption!$E$150</f>
        <v>0</v>
      </c>
      <c r="AE29" s="158" t="n">
        <f aca="false">AE27*Assumption!$E$150</f>
        <v>0</v>
      </c>
      <c r="AF29" s="158" t="n">
        <f aca="false">AF27*Assumption!$E$150</f>
        <v>0</v>
      </c>
      <c r="AG29" s="158" t="n">
        <f aca="false">AG27*Assumption!$E$150</f>
        <v>0</v>
      </c>
      <c r="AH29" s="158" t="n">
        <f aca="false">AH27*Assumption!$E$150</f>
        <v>0</v>
      </c>
      <c r="AI29" s="158" t="n">
        <f aca="false">AI27*Assumption!$E$150</f>
        <v>0</v>
      </c>
      <c r="AJ29" s="158" t="n">
        <f aca="false">AJ27*Assumption!$E$150</f>
        <v>0</v>
      </c>
      <c r="AK29" s="158" t="n">
        <f aca="false">AK27*Assumption!$E$150</f>
        <v>0</v>
      </c>
      <c r="AL29" s="158" t="n">
        <f aca="false">AL27*Assumption!$E$150</f>
        <v>0</v>
      </c>
      <c r="AM29" s="158" t="n">
        <f aca="false">AM27*Assumption!$E$150</f>
        <v>0</v>
      </c>
      <c r="AN29" s="158" t="n">
        <f aca="false">AN27*Assumption!$E$150</f>
        <v>0</v>
      </c>
      <c r="AO29" s="158" t="n">
        <f aca="false">AO27*Assumption!$E$150</f>
        <v>0</v>
      </c>
      <c r="AP29" s="158" t="n">
        <f aca="false">AP27*Assumption!$E$150</f>
        <v>0</v>
      </c>
      <c r="AQ29" s="158" t="n">
        <f aca="false">AQ27*Assumption!$E$150</f>
        <v>0</v>
      </c>
      <c r="AR29" s="158" t="n">
        <f aca="false">AR27*Assumption!$E$150</f>
        <v>0</v>
      </c>
      <c r="AS29" s="158" t="n">
        <f aca="false">AS27*Assumption!$E$150</f>
        <v>0</v>
      </c>
      <c r="AT29" s="158" t="n">
        <f aca="false">AT27*Assumption!$E$150</f>
        <v>0</v>
      </c>
      <c r="AU29" s="158" t="n">
        <f aca="false">AU27*Assumption!$E$150</f>
        <v>0</v>
      </c>
      <c r="AV29" s="158" t="n">
        <f aca="false">AV27*Assumption!$E$150</f>
        <v>0</v>
      </c>
      <c r="AW29" s="158" t="n">
        <f aca="false">AW27*Assumption!$E$150</f>
        <v>0</v>
      </c>
      <c r="AX29" s="158" t="n">
        <f aca="false">AX27*Assumption!$E$150</f>
        <v>0</v>
      </c>
      <c r="AY29" s="158" t="n">
        <f aca="false">AY27*Assumption!$E$150</f>
        <v>0</v>
      </c>
      <c r="AZ29" s="158" t="n">
        <f aca="false">AZ27*Assumption!$E$150</f>
        <v>0</v>
      </c>
      <c r="BA29" s="158" t="n">
        <f aca="false">BA27*Assumption!$E$150</f>
        <v>0</v>
      </c>
      <c r="BB29" s="158" t="n">
        <f aca="false">BB27*Assumption!$E$150</f>
        <v>0</v>
      </c>
      <c r="BC29" s="158" t="n">
        <f aca="false">BC27*Assumption!$E$150</f>
        <v>0</v>
      </c>
      <c r="BD29" s="158" t="n">
        <f aca="false">BD27*Assumption!$E$150</f>
        <v>0</v>
      </c>
      <c r="BE29" s="158" t="n">
        <f aca="false">BE27*Assumption!$E$150</f>
        <v>0</v>
      </c>
      <c r="BF29" s="158" t="n">
        <f aca="false">BF27*Assumption!$E$150</f>
        <v>0</v>
      </c>
      <c r="BG29" s="158" t="n">
        <f aca="false">BG27*Assumption!$E$150</f>
        <v>0</v>
      </c>
      <c r="BH29" s="158" t="n">
        <f aca="false">BH27*Assumption!$E$150</f>
        <v>0</v>
      </c>
      <c r="BI29" s="158" t="n">
        <f aca="false">BI27*Assumption!$E$150</f>
        <v>0</v>
      </c>
      <c r="BJ29" s="158" t="n">
        <f aca="false">BJ27*Assumption!$E$150</f>
        <v>0</v>
      </c>
      <c r="BK29" s="158" t="n">
        <f aca="false">BK27*Assumption!$E$150</f>
        <v>0</v>
      </c>
      <c r="BL29" s="158" t="n">
        <f aca="false">BL27*Assumption!$E$150</f>
        <v>0</v>
      </c>
      <c r="BM29" s="158" t="n">
        <f aca="false">BM27*Assumption!$E$150</f>
        <v>186.4278</v>
      </c>
      <c r="BN29" s="158" t="n">
        <f aca="false">BN27*Assumption!$E$150</f>
        <v>180.414</v>
      </c>
      <c r="BO29" s="158" t="n">
        <f aca="false">BO27*Assumption!$E$150</f>
        <v>186.4278</v>
      </c>
      <c r="BP29" s="158" t="n">
        <f aca="false">BP27*Assumption!$E$150</f>
        <v>180.414</v>
      </c>
      <c r="BQ29" s="158" t="n">
        <f aca="false">BQ27*Assumption!$E$150</f>
        <v>186.4278</v>
      </c>
      <c r="BR29" s="158" t="n">
        <f aca="false">BR27*Assumption!$E$150</f>
        <v>186.4278</v>
      </c>
      <c r="BS29" s="158" t="n">
        <f aca="false">BS27*Assumption!$E$150</f>
        <v>180.414</v>
      </c>
      <c r="BT29" s="158" t="n">
        <f aca="false">BT27*Assumption!$E$150</f>
        <v>186.4278</v>
      </c>
      <c r="BU29" s="158" t="n">
        <f aca="false">BU27*Assumption!$E$150</f>
        <v>180.414</v>
      </c>
      <c r="BV29" s="158" t="n">
        <f aca="false">BV27*Assumption!$E$150</f>
        <v>186.4278</v>
      </c>
      <c r="BW29" s="158" t="n">
        <f aca="false">BW27*Assumption!$E$150</f>
        <v>186.4278</v>
      </c>
      <c r="BX29" s="158" t="n">
        <f aca="false">BX27*Assumption!$E$150</f>
        <v>174.4002</v>
      </c>
      <c r="BY29" s="158" t="n">
        <f aca="false">BY27*Assumption!$E$150</f>
        <v>219.41118</v>
      </c>
      <c r="BZ29" s="158" t="n">
        <f aca="false">BZ27*Assumption!$E$150</f>
        <v>212.3334</v>
      </c>
      <c r="CA29" s="158" t="n">
        <f aca="false">CA27*Assumption!$E$150</f>
        <v>219.41118</v>
      </c>
      <c r="CB29" s="158" t="n">
        <f aca="false">CB27*Assumption!$E$150</f>
        <v>212.3334</v>
      </c>
      <c r="CC29" s="158" t="n">
        <f aca="false">CC27*Assumption!$E$150</f>
        <v>219.41118</v>
      </c>
      <c r="CD29" s="158" t="n">
        <f aca="false">CD27*Assumption!$E$150</f>
        <v>219.41118</v>
      </c>
      <c r="CE29" s="158" t="n">
        <f aca="false">CE27*Assumption!$E$150</f>
        <v>212.3334</v>
      </c>
      <c r="CF29" s="158" t="n">
        <f aca="false">CF27*Assumption!$E$150</f>
        <v>219.41118</v>
      </c>
      <c r="CG29" s="158" t="n">
        <f aca="false">CG27*Assumption!$E$150</f>
        <v>212.3334</v>
      </c>
      <c r="CH29" s="158" t="n">
        <f aca="false">CH27*Assumption!$E$150</f>
        <v>219.41118</v>
      </c>
      <c r="CI29" s="158" t="n">
        <f aca="false">CI27*Assumption!$E$150</f>
        <v>219.41118</v>
      </c>
      <c r="CJ29" s="158" t="n">
        <f aca="false">CJ27*Assumption!$E$150</f>
        <v>198.17784</v>
      </c>
      <c r="CK29" s="158" t="n">
        <f aca="false">CK27*Assumption!$E$150</f>
        <v>223.7994036</v>
      </c>
      <c r="CL29" s="158" t="n">
        <f aca="false">CL27*Assumption!$E$150</f>
        <v>216.580068</v>
      </c>
      <c r="CM29" s="158" t="n">
        <f aca="false">CM27*Assumption!$E$150</f>
        <v>223.7994036</v>
      </c>
      <c r="CN29" s="158" t="n">
        <f aca="false">CN27*Assumption!$E$150</f>
        <v>216.580068</v>
      </c>
      <c r="CO29" s="158" t="n">
        <f aca="false">CO27*Assumption!$E$150</f>
        <v>223.7994036</v>
      </c>
      <c r="CP29" s="158" t="n">
        <f aca="false">CP27*Assumption!$E$150</f>
        <v>223.7994036</v>
      </c>
      <c r="CQ29" s="158" t="n">
        <f aca="false">CQ27*Assumption!$E$150</f>
        <v>216.580068</v>
      </c>
      <c r="CR29" s="158" t="n">
        <f aca="false">CR27*Assumption!$E$150</f>
        <v>223.7994036</v>
      </c>
      <c r="CS29" s="158" t="n">
        <f aca="false">CS27*Assumption!$E$150</f>
        <v>216.580068</v>
      </c>
      <c r="CT29" s="158" t="n">
        <f aca="false">CT27*Assumption!$E$150</f>
        <v>223.7994036</v>
      </c>
      <c r="CU29" s="158" t="n">
        <f aca="false">CU27*Assumption!$E$150</f>
        <v>223.7994036</v>
      </c>
      <c r="CV29" s="158" t="n">
        <f aca="false">CV27*Assumption!$E$150</f>
        <v>202.1413968</v>
      </c>
      <c r="CW29" s="158" t="n">
        <f aca="false">CW27*Assumption!$E$150</f>
        <v>228.275391672</v>
      </c>
      <c r="CX29" s="158" t="n">
        <f aca="false">CX27*Assumption!$E$150</f>
        <v>220.91166936</v>
      </c>
      <c r="CY29" s="158" t="n">
        <f aca="false">CY27*Assumption!$E$150</f>
        <v>228.275391672</v>
      </c>
      <c r="CZ29" s="158" t="n">
        <f aca="false">CZ27*Assumption!$E$150</f>
        <v>220.91166936</v>
      </c>
      <c r="DA29" s="158" t="n">
        <f aca="false">DA27*Assumption!$E$150</f>
        <v>228.275391672</v>
      </c>
      <c r="DB29" s="158" t="n">
        <f aca="false">DB27*Assumption!$E$150</f>
        <v>228.275391672</v>
      </c>
      <c r="DC29" s="158" t="n">
        <f aca="false">DC27*Assumption!$E$150</f>
        <v>220.91166936</v>
      </c>
      <c r="DD29" s="158" t="n">
        <f aca="false">DD27*Assumption!$E$150</f>
        <v>228.275391672</v>
      </c>
      <c r="DE29" s="158" t="n">
        <f aca="false">DE27*Assumption!$E$150</f>
        <v>220.91166936</v>
      </c>
      <c r="DF29" s="158" t="n">
        <f aca="false">DF27*Assumption!$E$150</f>
        <v>228.275391672</v>
      </c>
      <c r="DG29" s="158" t="n">
        <f aca="false">DG27*Assumption!$E$150</f>
        <v>228.275391672</v>
      </c>
      <c r="DH29" s="158" t="n">
        <f aca="false">DH27*Assumption!$E$150</f>
        <v>206.184224736</v>
      </c>
      <c r="DI29" s="158" t="n">
        <f aca="false">DI27*Assumption!$E$150</f>
        <v>232.84089950544</v>
      </c>
      <c r="DJ29" s="158" t="n">
        <f aca="false">DJ27*Assumption!$E$150</f>
        <v>225.3299027472</v>
      </c>
      <c r="DK29" s="158" t="n">
        <f aca="false">DK27*Assumption!$E$150</f>
        <v>232.84089950544</v>
      </c>
      <c r="DL29" s="158" t="n">
        <f aca="false">DL27*Assumption!$E$150</f>
        <v>225.3299027472</v>
      </c>
      <c r="DM29" s="158" t="n">
        <f aca="false">DM27*Assumption!$E$150</f>
        <v>232.84089950544</v>
      </c>
      <c r="DN29" s="158" t="n">
        <f aca="false">DN27*Assumption!$E$150</f>
        <v>232.84089950544</v>
      </c>
      <c r="DO29" s="158" t="n">
        <f aca="false">DO27*Assumption!$E$150</f>
        <v>225.3299027472</v>
      </c>
      <c r="DP29" s="158" t="n">
        <f aca="false">DP27*Assumption!$E$150</f>
        <v>232.84089950544</v>
      </c>
      <c r="DQ29" s="158" t="n">
        <f aca="false">DQ27*Assumption!$E$150</f>
        <v>225.3299027472</v>
      </c>
      <c r="DR29" s="158" t="n">
        <f aca="false">DR27*Assumption!$E$150</f>
        <v>232.84089950544</v>
      </c>
      <c r="DS29" s="158" t="n">
        <f aca="false">DS27*Assumption!$E$150</f>
        <v>232.84089950544</v>
      </c>
      <c r="DT29" s="158" t="n">
        <f aca="false">DT27*Assumption!$E$150</f>
        <v>217.81890598896</v>
      </c>
      <c r="DU29" s="158" t="n">
        <f aca="false">DU27*Assumption!$E$150</f>
        <v>0</v>
      </c>
      <c r="DV29" s="158" t="n">
        <f aca="false">DV27*Assumption!$E$150</f>
        <v>0</v>
      </c>
      <c r="DW29" s="158" t="n">
        <f aca="false">DW27*Assumption!$E$150</f>
        <v>0</v>
      </c>
      <c r="DX29" s="158" t="n">
        <f aca="false">DX27*Assumption!$E$150</f>
        <v>0</v>
      </c>
      <c r="DY29" s="158" t="n">
        <f aca="false">DY27*Assumption!$E$150</f>
        <v>0</v>
      </c>
      <c r="DZ29" s="158" t="n">
        <f aca="false">DZ27*Assumption!$E$150</f>
        <v>0</v>
      </c>
      <c r="EA29" s="158" t="n">
        <f aca="false">EA27*Assumption!$E$150</f>
        <v>0</v>
      </c>
      <c r="EB29" s="158" t="n">
        <f aca="false">EB27*Assumption!$E$150</f>
        <v>0</v>
      </c>
      <c r="EC29" s="158" t="n">
        <f aca="false">EC27*Assumption!$E$150</f>
        <v>0</v>
      </c>
      <c r="ED29" s="158" t="n">
        <f aca="false">ED27*Assumption!$E$150</f>
        <v>0</v>
      </c>
      <c r="EE29" s="158" t="n">
        <f aca="false">EE27*Assumption!$E$150</f>
        <v>0</v>
      </c>
      <c r="EF29" s="158" t="n">
        <f aca="false">EF27*Assumption!$E$150</f>
        <v>0</v>
      </c>
    </row>
    <row r="30" customFormat="false" ht="15" hidden="false" customHeight="false" outlineLevel="0" collapsed="false">
      <c r="A30" s="35" t="s">
        <v>175</v>
      </c>
      <c r="B30" s="241" t="s">
        <v>116</v>
      </c>
      <c r="C30" s="242" t="n">
        <f aca="false">SUM(E30:EF30)</f>
        <v>77137.6887083751</v>
      </c>
      <c r="E30" s="158" t="n">
        <f aca="false">E27*Assumption!$E$155</f>
        <v>0</v>
      </c>
      <c r="F30" s="158" t="n">
        <f aca="false">F27*Assumption!$E$155</f>
        <v>0</v>
      </c>
      <c r="G30" s="158" t="n">
        <f aca="false">G27*Assumption!$E$155</f>
        <v>0</v>
      </c>
      <c r="H30" s="158" t="n">
        <f aca="false">H27*Assumption!$E$155</f>
        <v>0</v>
      </c>
      <c r="I30" s="158" t="n">
        <f aca="false">I27*Assumption!$E$155</f>
        <v>0</v>
      </c>
      <c r="J30" s="158" t="n">
        <f aca="false">J27*Assumption!$E$155</f>
        <v>0</v>
      </c>
      <c r="K30" s="158" t="n">
        <f aca="false">K27*Assumption!$E$155</f>
        <v>0</v>
      </c>
      <c r="L30" s="158" t="n">
        <f aca="false">L27*Assumption!$E$155</f>
        <v>0</v>
      </c>
      <c r="M30" s="158" t="n">
        <f aca="false">M27*Assumption!$E$155</f>
        <v>0</v>
      </c>
      <c r="N30" s="158" t="n">
        <f aca="false">N27*Assumption!$E$155</f>
        <v>0</v>
      </c>
      <c r="O30" s="158" t="n">
        <f aca="false">O27*Assumption!$E$155</f>
        <v>0</v>
      </c>
      <c r="P30" s="158" t="n">
        <f aca="false">P27*Assumption!$E$155</f>
        <v>0</v>
      </c>
      <c r="Q30" s="158" t="n">
        <f aca="false">Q27*Assumption!$E$155</f>
        <v>0</v>
      </c>
      <c r="R30" s="158" t="n">
        <f aca="false">R27*Assumption!$E$155</f>
        <v>0</v>
      </c>
      <c r="S30" s="158" t="n">
        <f aca="false">S27*Assumption!$E$155</f>
        <v>0</v>
      </c>
      <c r="T30" s="158" t="n">
        <f aca="false">T27*Assumption!$E$155</f>
        <v>0</v>
      </c>
      <c r="U30" s="158" t="n">
        <f aca="false">U27*Assumption!$E$155</f>
        <v>0</v>
      </c>
      <c r="V30" s="158" t="n">
        <f aca="false">V27*Assumption!$E$155</f>
        <v>0</v>
      </c>
      <c r="W30" s="158" t="n">
        <f aca="false">W27*Assumption!$E$155</f>
        <v>0</v>
      </c>
      <c r="X30" s="158" t="n">
        <f aca="false">X27*Assumption!$E$155</f>
        <v>0</v>
      </c>
      <c r="Y30" s="158" t="n">
        <f aca="false">Y27*Assumption!$E$155</f>
        <v>0</v>
      </c>
      <c r="Z30" s="158" t="n">
        <f aca="false">Z27*Assumption!$E$155</f>
        <v>0</v>
      </c>
      <c r="AA30" s="158" t="n">
        <f aca="false">AA27*Assumption!$E$155</f>
        <v>0</v>
      </c>
      <c r="AB30" s="158" t="n">
        <f aca="false">AB27*Assumption!$E$155</f>
        <v>0</v>
      </c>
      <c r="AC30" s="158" t="n">
        <f aca="false">AC27*Assumption!$E$155</f>
        <v>0</v>
      </c>
      <c r="AD30" s="158" t="n">
        <f aca="false">AD27*Assumption!$E$155</f>
        <v>0</v>
      </c>
      <c r="AE30" s="158" t="n">
        <f aca="false">AE27*Assumption!$E$155</f>
        <v>0</v>
      </c>
      <c r="AF30" s="158" t="n">
        <f aca="false">AF27*Assumption!$E$155</f>
        <v>0</v>
      </c>
      <c r="AG30" s="158" t="n">
        <f aca="false">AG27*Assumption!$E$155</f>
        <v>0</v>
      </c>
      <c r="AH30" s="158" t="n">
        <f aca="false">AH27*Assumption!$E$155</f>
        <v>0</v>
      </c>
      <c r="AI30" s="158" t="n">
        <f aca="false">AI27*Assumption!$E$155</f>
        <v>0</v>
      </c>
      <c r="AJ30" s="158" t="n">
        <f aca="false">AJ27*Assumption!$E$155</f>
        <v>0</v>
      </c>
      <c r="AK30" s="158" t="n">
        <f aca="false">AK27*Assumption!$E$155</f>
        <v>0</v>
      </c>
      <c r="AL30" s="158" t="n">
        <f aca="false">AL27*Assumption!$E$155</f>
        <v>0</v>
      </c>
      <c r="AM30" s="158" t="n">
        <f aca="false">AM27*Assumption!$E$155</f>
        <v>0</v>
      </c>
      <c r="AN30" s="158" t="n">
        <f aca="false">AN27*Assumption!$E$155</f>
        <v>0</v>
      </c>
      <c r="AO30" s="158" t="n">
        <f aca="false">AO27*Assumption!$E$155</f>
        <v>0</v>
      </c>
      <c r="AP30" s="158" t="n">
        <f aca="false">AP27*Assumption!$E$155</f>
        <v>0</v>
      </c>
      <c r="AQ30" s="158" t="n">
        <f aca="false">AQ27*Assumption!$E$155</f>
        <v>0</v>
      </c>
      <c r="AR30" s="158" t="n">
        <f aca="false">AR27*Assumption!$E$155</f>
        <v>0</v>
      </c>
      <c r="AS30" s="158" t="n">
        <f aca="false">AS27*Assumption!$E$155</f>
        <v>0</v>
      </c>
      <c r="AT30" s="158" t="n">
        <f aca="false">AT27*Assumption!$E$155</f>
        <v>0</v>
      </c>
      <c r="AU30" s="158" t="n">
        <f aca="false">AU27*Assumption!$E$155</f>
        <v>0</v>
      </c>
      <c r="AV30" s="158" t="n">
        <f aca="false">AV27*Assumption!$E$155</f>
        <v>0</v>
      </c>
      <c r="AW30" s="158" t="n">
        <f aca="false">AW27*Assumption!$E$155</f>
        <v>0</v>
      </c>
      <c r="AX30" s="158" t="n">
        <f aca="false">AX27*Assumption!$E$155</f>
        <v>0</v>
      </c>
      <c r="AY30" s="158" t="n">
        <f aca="false">AY27*Assumption!$E$155</f>
        <v>0</v>
      </c>
      <c r="AZ30" s="158" t="n">
        <f aca="false">AZ27*Assumption!$E$155</f>
        <v>0</v>
      </c>
      <c r="BA30" s="158" t="n">
        <f aca="false">BA27*Assumption!$E$155</f>
        <v>0</v>
      </c>
      <c r="BB30" s="158" t="n">
        <f aca="false">BB27*Assumption!$E$155</f>
        <v>0</v>
      </c>
      <c r="BC30" s="158" t="n">
        <f aca="false">BC27*Assumption!$E$155</f>
        <v>0</v>
      </c>
      <c r="BD30" s="158" t="n">
        <f aca="false">BD27*Assumption!$E$155</f>
        <v>0</v>
      </c>
      <c r="BE30" s="158" t="n">
        <f aca="false">BE27*Assumption!$E$155</f>
        <v>0</v>
      </c>
      <c r="BF30" s="158" t="n">
        <f aca="false">BF27*Assumption!$E$155</f>
        <v>0</v>
      </c>
      <c r="BG30" s="158" t="n">
        <f aca="false">BG27*Assumption!$E$155</f>
        <v>0</v>
      </c>
      <c r="BH30" s="158" t="n">
        <f aca="false">BH27*Assumption!$E$155</f>
        <v>0</v>
      </c>
      <c r="BI30" s="158" t="n">
        <f aca="false">BI27*Assumption!$E$155</f>
        <v>0</v>
      </c>
      <c r="BJ30" s="158" t="n">
        <f aca="false">BJ27*Assumption!$E$155</f>
        <v>0</v>
      </c>
      <c r="BK30" s="158" t="n">
        <f aca="false">BK27*Assumption!$E$155</f>
        <v>0</v>
      </c>
      <c r="BL30" s="158" t="n">
        <f aca="false">BL27*Assumption!$E$155</f>
        <v>0</v>
      </c>
      <c r="BM30" s="158" t="n">
        <f aca="false">BM27*Assumption!$E$155</f>
        <v>1118.5668</v>
      </c>
      <c r="BN30" s="158" t="n">
        <f aca="false">BN27*Assumption!$E$155</f>
        <v>1082.484</v>
      </c>
      <c r="BO30" s="158" t="n">
        <f aca="false">BO27*Assumption!$E$155</f>
        <v>1118.5668</v>
      </c>
      <c r="BP30" s="158" t="n">
        <f aca="false">BP27*Assumption!$E$155</f>
        <v>1082.484</v>
      </c>
      <c r="BQ30" s="158" t="n">
        <f aca="false">BQ27*Assumption!$E$155</f>
        <v>1118.5668</v>
      </c>
      <c r="BR30" s="158" t="n">
        <f aca="false">BR27*Assumption!$E$155</f>
        <v>1118.5668</v>
      </c>
      <c r="BS30" s="158" t="n">
        <f aca="false">BS27*Assumption!$E$155</f>
        <v>1082.484</v>
      </c>
      <c r="BT30" s="158" t="n">
        <f aca="false">BT27*Assumption!$E$155</f>
        <v>1118.5668</v>
      </c>
      <c r="BU30" s="158" t="n">
        <f aca="false">BU27*Assumption!$E$155</f>
        <v>1082.484</v>
      </c>
      <c r="BV30" s="158" t="n">
        <f aca="false">BV27*Assumption!$E$155</f>
        <v>1118.5668</v>
      </c>
      <c r="BW30" s="158" t="n">
        <f aca="false">BW27*Assumption!$E$155</f>
        <v>1118.5668</v>
      </c>
      <c r="BX30" s="158" t="n">
        <f aca="false">BX27*Assumption!$E$155</f>
        <v>1046.4012</v>
      </c>
      <c r="BY30" s="158" t="n">
        <f aca="false">BY27*Assumption!$E$155</f>
        <v>1316.46708</v>
      </c>
      <c r="BZ30" s="158" t="n">
        <f aca="false">BZ27*Assumption!$E$155</f>
        <v>1274.0004</v>
      </c>
      <c r="CA30" s="158" t="n">
        <f aca="false">CA27*Assumption!$E$155</f>
        <v>1316.46708</v>
      </c>
      <c r="CB30" s="158" t="n">
        <f aca="false">CB27*Assumption!$E$155</f>
        <v>1274.0004</v>
      </c>
      <c r="CC30" s="158" t="n">
        <f aca="false">CC27*Assumption!$E$155</f>
        <v>1316.46708</v>
      </c>
      <c r="CD30" s="158" t="n">
        <f aca="false">CD27*Assumption!$E$155</f>
        <v>1316.46708</v>
      </c>
      <c r="CE30" s="158" t="n">
        <f aca="false">CE27*Assumption!$E$155</f>
        <v>1274.0004</v>
      </c>
      <c r="CF30" s="158" t="n">
        <f aca="false">CF27*Assumption!$E$155</f>
        <v>1316.46708</v>
      </c>
      <c r="CG30" s="158" t="n">
        <f aca="false">CG27*Assumption!$E$155</f>
        <v>1274.0004</v>
      </c>
      <c r="CH30" s="158" t="n">
        <f aca="false">CH27*Assumption!$E$155</f>
        <v>1316.46708</v>
      </c>
      <c r="CI30" s="158" t="n">
        <f aca="false">CI27*Assumption!$E$155</f>
        <v>1316.46708</v>
      </c>
      <c r="CJ30" s="158" t="n">
        <f aca="false">CJ27*Assumption!$E$155</f>
        <v>1189.06704</v>
      </c>
      <c r="CK30" s="158" t="n">
        <f aca="false">CK27*Assumption!$E$155</f>
        <v>1342.7964216</v>
      </c>
      <c r="CL30" s="158" t="n">
        <f aca="false">CL27*Assumption!$E$155</f>
        <v>1299.480408</v>
      </c>
      <c r="CM30" s="158" t="n">
        <f aca="false">CM27*Assumption!$E$155</f>
        <v>1342.7964216</v>
      </c>
      <c r="CN30" s="158" t="n">
        <f aca="false">CN27*Assumption!$E$155</f>
        <v>1299.480408</v>
      </c>
      <c r="CO30" s="158" t="n">
        <f aca="false">CO27*Assumption!$E$155</f>
        <v>1342.7964216</v>
      </c>
      <c r="CP30" s="158" t="n">
        <f aca="false">CP27*Assumption!$E$155</f>
        <v>1342.7964216</v>
      </c>
      <c r="CQ30" s="158" t="n">
        <f aca="false">CQ27*Assumption!$E$155</f>
        <v>1299.480408</v>
      </c>
      <c r="CR30" s="158" t="n">
        <f aca="false">CR27*Assumption!$E$155</f>
        <v>1342.7964216</v>
      </c>
      <c r="CS30" s="158" t="n">
        <f aca="false">CS27*Assumption!$E$155</f>
        <v>1299.480408</v>
      </c>
      <c r="CT30" s="158" t="n">
        <f aca="false">CT27*Assumption!$E$155</f>
        <v>1342.7964216</v>
      </c>
      <c r="CU30" s="158" t="n">
        <f aca="false">CU27*Assumption!$E$155</f>
        <v>1342.7964216</v>
      </c>
      <c r="CV30" s="158" t="n">
        <f aca="false">CV27*Assumption!$E$155</f>
        <v>1212.8483808</v>
      </c>
      <c r="CW30" s="158" t="n">
        <f aca="false">CW27*Assumption!$E$155</f>
        <v>1369.652350032</v>
      </c>
      <c r="CX30" s="158" t="n">
        <f aca="false">CX27*Assumption!$E$155</f>
        <v>1325.47001616</v>
      </c>
      <c r="CY30" s="158" t="n">
        <f aca="false">CY27*Assumption!$E$155</f>
        <v>1369.652350032</v>
      </c>
      <c r="CZ30" s="158" t="n">
        <f aca="false">CZ27*Assumption!$E$155</f>
        <v>1325.47001616</v>
      </c>
      <c r="DA30" s="158" t="n">
        <f aca="false">DA27*Assumption!$E$155</f>
        <v>1369.652350032</v>
      </c>
      <c r="DB30" s="158" t="n">
        <f aca="false">DB27*Assumption!$E$155</f>
        <v>1369.652350032</v>
      </c>
      <c r="DC30" s="158" t="n">
        <f aca="false">DC27*Assumption!$E$155</f>
        <v>1325.47001616</v>
      </c>
      <c r="DD30" s="158" t="n">
        <f aca="false">DD27*Assumption!$E$155</f>
        <v>1369.652350032</v>
      </c>
      <c r="DE30" s="158" t="n">
        <f aca="false">DE27*Assumption!$E$155</f>
        <v>1325.47001616</v>
      </c>
      <c r="DF30" s="158" t="n">
        <f aca="false">DF27*Assumption!$E$155</f>
        <v>1369.652350032</v>
      </c>
      <c r="DG30" s="158" t="n">
        <f aca="false">DG27*Assumption!$E$155</f>
        <v>1369.652350032</v>
      </c>
      <c r="DH30" s="158" t="n">
        <f aca="false">DH27*Assumption!$E$155</f>
        <v>1237.105348416</v>
      </c>
      <c r="DI30" s="158" t="n">
        <f aca="false">DI27*Assumption!$E$155</f>
        <v>1397.04539703264</v>
      </c>
      <c r="DJ30" s="158" t="n">
        <f aca="false">DJ27*Assumption!$E$155</f>
        <v>1351.9794164832</v>
      </c>
      <c r="DK30" s="158" t="n">
        <f aca="false">DK27*Assumption!$E$155</f>
        <v>1397.04539703264</v>
      </c>
      <c r="DL30" s="158" t="n">
        <f aca="false">DL27*Assumption!$E$155</f>
        <v>1351.9794164832</v>
      </c>
      <c r="DM30" s="158" t="n">
        <f aca="false">DM27*Assumption!$E$155</f>
        <v>1397.04539703264</v>
      </c>
      <c r="DN30" s="158" t="n">
        <f aca="false">DN27*Assumption!$E$155</f>
        <v>1397.04539703264</v>
      </c>
      <c r="DO30" s="158" t="n">
        <f aca="false">DO27*Assumption!$E$155</f>
        <v>1351.9794164832</v>
      </c>
      <c r="DP30" s="158" t="n">
        <f aca="false">DP27*Assumption!$E$155</f>
        <v>1397.04539703264</v>
      </c>
      <c r="DQ30" s="158" t="n">
        <f aca="false">DQ27*Assumption!$E$155</f>
        <v>1351.9794164832</v>
      </c>
      <c r="DR30" s="158" t="n">
        <f aca="false">DR27*Assumption!$E$155</f>
        <v>1397.04539703264</v>
      </c>
      <c r="DS30" s="158" t="n">
        <f aca="false">DS27*Assumption!$E$155</f>
        <v>1397.04539703264</v>
      </c>
      <c r="DT30" s="158" t="n">
        <f aca="false">DT27*Assumption!$E$155</f>
        <v>1306.91343593376</v>
      </c>
      <c r="DU30" s="158" t="n">
        <f aca="false">DU27*Assumption!$E$155</f>
        <v>0</v>
      </c>
      <c r="DV30" s="158" t="n">
        <f aca="false">DV27*Assumption!$E$155</f>
        <v>0</v>
      </c>
      <c r="DW30" s="158" t="n">
        <f aca="false">DW27*Assumption!$E$155</f>
        <v>0</v>
      </c>
      <c r="DX30" s="158" t="n">
        <f aca="false">DX27*Assumption!$E$155</f>
        <v>0</v>
      </c>
      <c r="DY30" s="158" t="n">
        <f aca="false">DY27*Assumption!$E$155</f>
        <v>0</v>
      </c>
      <c r="DZ30" s="158" t="n">
        <f aca="false">DZ27*Assumption!$E$155</f>
        <v>0</v>
      </c>
      <c r="EA30" s="158" t="n">
        <f aca="false">EA27*Assumption!$E$155</f>
        <v>0</v>
      </c>
      <c r="EB30" s="158" t="n">
        <f aca="false">EB27*Assumption!$E$155</f>
        <v>0</v>
      </c>
      <c r="EC30" s="158" t="n">
        <f aca="false">EC27*Assumption!$E$155</f>
        <v>0</v>
      </c>
      <c r="ED30" s="158" t="n">
        <f aca="false">ED27*Assumption!$E$155</f>
        <v>0</v>
      </c>
      <c r="EE30" s="158" t="n">
        <f aca="false">EE27*Assumption!$E$155</f>
        <v>0</v>
      </c>
      <c r="EF30" s="158" t="n">
        <f aca="false">EF27*Assumption!$E$155</f>
        <v>0</v>
      </c>
    </row>
    <row r="31" customFormat="false" ht="15" hidden="false" customHeight="false" outlineLevel="0" collapsed="false">
      <c r="A31" s="35" t="s">
        <v>177</v>
      </c>
      <c r="B31" s="241" t="s">
        <v>116</v>
      </c>
      <c r="C31" s="242" t="n">
        <f aca="false">SUM(E31:EF31)</f>
        <v>29997.990053257</v>
      </c>
      <c r="E31" s="158" t="n">
        <f aca="false">E27*Assumption!$E$156</f>
        <v>0</v>
      </c>
      <c r="F31" s="158" t="n">
        <f aca="false">F27*Assumption!$E$156</f>
        <v>0</v>
      </c>
      <c r="G31" s="158" t="n">
        <f aca="false">G27*Assumption!$E$156</f>
        <v>0</v>
      </c>
      <c r="H31" s="158" t="n">
        <f aca="false">H27*Assumption!$E$156</f>
        <v>0</v>
      </c>
      <c r="I31" s="158" t="n">
        <f aca="false">I27*Assumption!$E$156</f>
        <v>0</v>
      </c>
      <c r="J31" s="158" t="n">
        <f aca="false">J27*Assumption!$E$156</f>
        <v>0</v>
      </c>
      <c r="K31" s="158" t="n">
        <f aca="false">K27*Assumption!$E$156</f>
        <v>0</v>
      </c>
      <c r="L31" s="158" t="n">
        <f aca="false">L27*Assumption!$E$156</f>
        <v>0</v>
      </c>
      <c r="M31" s="158" t="n">
        <f aca="false">M27*Assumption!$E$156</f>
        <v>0</v>
      </c>
      <c r="N31" s="158" t="n">
        <f aca="false">N27*Assumption!$E$156</f>
        <v>0</v>
      </c>
      <c r="O31" s="158" t="n">
        <f aca="false">O27*Assumption!$E$156</f>
        <v>0</v>
      </c>
      <c r="P31" s="158" t="n">
        <f aca="false">P27*Assumption!$E$156</f>
        <v>0</v>
      </c>
      <c r="Q31" s="158" t="n">
        <f aca="false">Q27*Assumption!$E$156</f>
        <v>0</v>
      </c>
      <c r="R31" s="158" t="n">
        <f aca="false">R27*Assumption!$E$156</f>
        <v>0</v>
      </c>
      <c r="S31" s="158" t="n">
        <f aca="false">S27*Assumption!$E$156</f>
        <v>0</v>
      </c>
      <c r="T31" s="158" t="n">
        <f aca="false">T27*Assumption!$E$156</f>
        <v>0</v>
      </c>
      <c r="U31" s="158" t="n">
        <f aca="false">U27*Assumption!$E$156</f>
        <v>0</v>
      </c>
      <c r="V31" s="158" t="n">
        <f aca="false">V27*Assumption!$E$156</f>
        <v>0</v>
      </c>
      <c r="W31" s="158" t="n">
        <f aca="false">W27*Assumption!$E$156</f>
        <v>0</v>
      </c>
      <c r="X31" s="158" t="n">
        <f aca="false">X27*Assumption!$E$156</f>
        <v>0</v>
      </c>
      <c r="Y31" s="158" t="n">
        <f aca="false">Y27*Assumption!$E$156</f>
        <v>0</v>
      </c>
      <c r="Z31" s="158" t="n">
        <f aca="false">Z27*Assumption!$E$156</f>
        <v>0</v>
      </c>
      <c r="AA31" s="158" t="n">
        <f aca="false">AA27*Assumption!$E$156</f>
        <v>0</v>
      </c>
      <c r="AB31" s="158" t="n">
        <f aca="false">AB27*Assumption!$E$156</f>
        <v>0</v>
      </c>
      <c r="AC31" s="158" t="n">
        <f aca="false">AC27*Assumption!$E$156</f>
        <v>0</v>
      </c>
      <c r="AD31" s="158" t="n">
        <f aca="false">AD27*Assumption!$E$156</f>
        <v>0</v>
      </c>
      <c r="AE31" s="158" t="n">
        <f aca="false">AE27*Assumption!$E$156</f>
        <v>0</v>
      </c>
      <c r="AF31" s="158" t="n">
        <f aca="false">AF27*Assumption!$E$156</f>
        <v>0</v>
      </c>
      <c r="AG31" s="158" t="n">
        <f aca="false">AG27*Assumption!$E$156</f>
        <v>0</v>
      </c>
      <c r="AH31" s="158" t="n">
        <f aca="false">AH27*Assumption!$E$156</f>
        <v>0</v>
      </c>
      <c r="AI31" s="158" t="n">
        <f aca="false">AI27*Assumption!$E$156</f>
        <v>0</v>
      </c>
      <c r="AJ31" s="158" t="n">
        <f aca="false">AJ27*Assumption!$E$156</f>
        <v>0</v>
      </c>
      <c r="AK31" s="158" t="n">
        <f aca="false">AK27*Assumption!$E$156</f>
        <v>0</v>
      </c>
      <c r="AL31" s="158" t="n">
        <f aca="false">AL27*Assumption!$E$156</f>
        <v>0</v>
      </c>
      <c r="AM31" s="158" t="n">
        <f aca="false">AM27*Assumption!$E$156</f>
        <v>0</v>
      </c>
      <c r="AN31" s="158" t="n">
        <f aca="false">AN27*Assumption!$E$156</f>
        <v>0</v>
      </c>
      <c r="AO31" s="158" t="n">
        <f aca="false">AO27*Assumption!$E$156</f>
        <v>0</v>
      </c>
      <c r="AP31" s="158" t="n">
        <f aca="false">AP27*Assumption!$E$156</f>
        <v>0</v>
      </c>
      <c r="AQ31" s="158" t="n">
        <f aca="false">AQ27*Assumption!$E$156</f>
        <v>0</v>
      </c>
      <c r="AR31" s="158" t="n">
        <f aca="false">AR27*Assumption!$E$156</f>
        <v>0</v>
      </c>
      <c r="AS31" s="158" t="n">
        <f aca="false">AS27*Assumption!$E$156</f>
        <v>0</v>
      </c>
      <c r="AT31" s="158" t="n">
        <f aca="false">AT27*Assumption!$E$156</f>
        <v>0</v>
      </c>
      <c r="AU31" s="158" t="n">
        <f aca="false">AU27*Assumption!$E$156</f>
        <v>0</v>
      </c>
      <c r="AV31" s="158" t="n">
        <f aca="false">AV27*Assumption!$E$156</f>
        <v>0</v>
      </c>
      <c r="AW31" s="158" t="n">
        <f aca="false">AW27*Assumption!$E$156</f>
        <v>0</v>
      </c>
      <c r="AX31" s="158" t="n">
        <f aca="false">AX27*Assumption!$E$156</f>
        <v>0</v>
      </c>
      <c r="AY31" s="158" t="n">
        <f aca="false">AY27*Assumption!$E$156</f>
        <v>0</v>
      </c>
      <c r="AZ31" s="158" t="n">
        <f aca="false">AZ27*Assumption!$E$156</f>
        <v>0</v>
      </c>
      <c r="BA31" s="158" t="n">
        <f aca="false">BA27*Assumption!$E$156</f>
        <v>0</v>
      </c>
      <c r="BB31" s="158" t="n">
        <f aca="false">BB27*Assumption!$E$156</f>
        <v>0</v>
      </c>
      <c r="BC31" s="158" t="n">
        <f aca="false">BC27*Assumption!$E$156</f>
        <v>0</v>
      </c>
      <c r="BD31" s="158" t="n">
        <f aca="false">BD27*Assumption!$E$156</f>
        <v>0</v>
      </c>
      <c r="BE31" s="158" t="n">
        <f aca="false">BE27*Assumption!$E$156</f>
        <v>0</v>
      </c>
      <c r="BF31" s="158" t="n">
        <f aca="false">BF27*Assumption!$E$156</f>
        <v>0</v>
      </c>
      <c r="BG31" s="158" t="n">
        <f aca="false">BG27*Assumption!$E$156</f>
        <v>0</v>
      </c>
      <c r="BH31" s="158" t="n">
        <f aca="false">BH27*Assumption!$E$156</f>
        <v>0</v>
      </c>
      <c r="BI31" s="158" t="n">
        <f aca="false">BI27*Assumption!$E$156</f>
        <v>0</v>
      </c>
      <c r="BJ31" s="158" t="n">
        <f aca="false">BJ27*Assumption!$E$156</f>
        <v>0</v>
      </c>
      <c r="BK31" s="158" t="n">
        <f aca="false">BK27*Assumption!$E$156</f>
        <v>0</v>
      </c>
      <c r="BL31" s="158" t="n">
        <f aca="false">BL27*Assumption!$E$156</f>
        <v>0</v>
      </c>
      <c r="BM31" s="158" t="n">
        <f aca="false">BM27*Assumption!$E$156</f>
        <v>434.9982</v>
      </c>
      <c r="BN31" s="158" t="n">
        <f aca="false">BN27*Assumption!$E$156</f>
        <v>420.966</v>
      </c>
      <c r="BO31" s="158" t="n">
        <f aca="false">BO27*Assumption!$E$156</f>
        <v>434.9982</v>
      </c>
      <c r="BP31" s="158" t="n">
        <f aca="false">BP27*Assumption!$E$156</f>
        <v>420.966</v>
      </c>
      <c r="BQ31" s="158" t="n">
        <f aca="false">BQ27*Assumption!$E$156</f>
        <v>434.9982</v>
      </c>
      <c r="BR31" s="158" t="n">
        <f aca="false">BR27*Assumption!$E$156</f>
        <v>434.9982</v>
      </c>
      <c r="BS31" s="158" t="n">
        <f aca="false">BS27*Assumption!$E$156</f>
        <v>420.966</v>
      </c>
      <c r="BT31" s="158" t="n">
        <f aca="false">BT27*Assumption!$E$156</f>
        <v>434.9982</v>
      </c>
      <c r="BU31" s="158" t="n">
        <f aca="false">BU27*Assumption!$E$156</f>
        <v>420.966</v>
      </c>
      <c r="BV31" s="158" t="n">
        <f aca="false">BV27*Assumption!$E$156</f>
        <v>434.9982</v>
      </c>
      <c r="BW31" s="158" t="n">
        <f aca="false">BW27*Assumption!$E$156</f>
        <v>434.9982</v>
      </c>
      <c r="BX31" s="158" t="n">
        <f aca="false">BX27*Assumption!$E$156</f>
        <v>406.9338</v>
      </c>
      <c r="BY31" s="158" t="n">
        <f aca="false">BY27*Assumption!$E$156</f>
        <v>511.95942</v>
      </c>
      <c r="BZ31" s="158" t="n">
        <f aca="false">BZ27*Assumption!$E$156</f>
        <v>495.4446</v>
      </c>
      <c r="CA31" s="158" t="n">
        <f aca="false">CA27*Assumption!$E$156</f>
        <v>511.95942</v>
      </c>
      <c r="CB31" s="158" t="n">
        <f aca="false">CB27*Assumption!$E$156</f>
        <v>495.4446</v>
      </c>
      <c r="CC31" s="158" t="n">
        <f aca="false">CC27*Assumption!$E$156</f>
        <v>511.95942</v>
      </c>
      <c r="CD31" s="158" t="n">
        <f aca="false">CD27*Assumption!$E$156</f>
        <v>511.95942</v>
      </c>
      <c r="CE31" s="158" t="n">
        <f aca="false">CE27*Assumption!$E$156</f>
        <v>495.4446</v>
      </c>
      <c r="CF31" s="158" t="n">
        <f aca="false">CF27*Assumption!$E$156</f>
        <v>511.95942</v>
      </c>
      <c r="CG31" s="158" t="n">
        <f aca="false">CG27*Assumption!$E$156</f>
        <v>495.4446</v>
      </c>
      <c r="CH31" s="158" t="n">
        <f aca="false">CH27*Assumption!$E$156</f>
        <v>511.95942</v>
      </c>
      <c r="CI31" s="158" t="n">
        <f aca="false">CI27*Assumption!$E$156</f>
        <v>511.95942</v>
      </c>
      <c r="CJ31" s="158" t="n">
        <f aca="false">CJ27*Assumption!$E$156</f>
        <v>462.41496</v>
      </c>
      <c r="CK31" s="158" t="n">
        <f aca="false">CK27*Assumption!$E$156</f>
        <v>522.1986084</v>
      </c>
      <c r="CL31" s="158" t="n">
        <f aca="false">CL27*Assumption!$E$156</f>
        <v>505.353492</v>
      </c>
      <c r="CM31" s="158" t="n">
        <f aca="false">CM27*Assumption!$E$156</f>
        <v>522.1986084</v>
      </c>
      <c r="CN31" s="158" t="n">
        <f aca="false">CN27*Assumption!$E$156</f>
        <v>505.353492</v>
      </c>
      <c r="CO31" s="158" t="n">
        <f aca="false">CO27*Assumption!$E$156</f>
        <v>522.1986084</v>
      </c>
      <c r="CP31" s="158" t="n">
        <f aca="false">CP27*Assumption!$E$156</f>
        <v>522.1986084</v>
      </c>
      <c r="CQ31" s="158" t="n">
        <f aca="false">CQ27*Assumption!$E$156</f>
        <v>505.353492</v>
      </c>
      <c r="CR31" s="158" t="n">
        <f aca="false">CR27*Assumption!$E$156</f>
        <v>522.1986084</v>
      </c>
      <c r="CS31" s="158" t="n">
        <f aca="false">CS27*Assumption!$E$156</f>
        <v>505.353492</v>
      </c>
      <c r="CT31" s="158" t="n">
        <f aca="false">CT27*Assumption!$E$156</f>
        <v>522.1986084</v>
      </c>
      <c r="CU31" s="158" t="n">
        <f aca="false">CU27*Assumption!$E$156</f>
        <v>522.1986084</v>
      </c>
      <c r="CV31" s="158" t="n">
        <f aca="false">CV27*Assumption!$E$156</f>
        <v>471.6632592</v>
      </c>
      <c r="CW31" s="158" t="n">
        <f aca="false">CW27*Assumption!$E$156</f>
        <v>532.642580568</v>
      </c>
      <c r="CX31" s="158" t="n">
        <f aca="false">CX27*Assumption!$E$156</f>
        <v>515.46056184</v>
      </c>
      <c r="CY31" s="158" t="n">
        <f aca="false">CY27*Assumption!$E$156</f>
        <v>532.642580568</v>
      </c>
      <c r="CZ31" s="158" t="n">
        <f aca="false">CZ27*Assumption!$E$156</f>
        <v>515.46056184</v>
      </c>
      <c r="DA31" s="158" t="n">
        <f aca="false">DA27*Assumption!$E$156</f>
        <v>532.642580568</v>
      </c>
      <c r="DB31" s="158" t="n">
        <f aca="false">DB27*Assumption!$E$156</f>
        <v>532.642580568</v>
      </c>
      <c r="DC31" s="158" t="n">
        <f aca="false">DC27*Assumption!$E$156</f>
        <v>515.46056184</v>
      </c>
      <c r="DD31" s="158" t="n">
        <f aca="false">DD27*Assumption!$E$156</f>
        <v>532.642580568</v>
      </c>
      <c r="DE31" s="158" t="n">
        <f aca="false">DE27*Assumption!$E$156</f>
        <v>515.46056184</v>
      </c>
      <c r="DF31" s="158" t="n">
        <f aca="false">DF27*Assumption!$E$156</f>
        <v>532.642580568</v>
      </c>
      <c r="DG31" s="158" t="n">
        <f aca="false">DG27*Assumption!$E$156</f>
        <v>532.642580568</v>
      </c>
      <c r="DH31" s="158" t="n">
        <f aca="false">DH27*Assumption!$E$156</f>
        <v>481.096524384</v>
      </c>
      <c r="DI31" s="158" t="n">
        <f aca="false">DI27*Assumption!$E$156</f>
        <v>543.29543217936</v>
      </c>
      <c r="DJ31" s="158" t="n">
        <f aca="false">DJ27*Assumption!$E$156</f>
        <v>525.7697730768</v>
      </c>
      <c r="DK31" s="158" t="n">
        <f aca="false">DK27*Assumption!$E$156</f>
        <v>543.29543217936</v>
      </c>
      <c r="DL31" s="158" t="n">
        <f aca="false">DL27*Assumption!$E$156</f>
        <v>525.7697730768</v>
      </c>
      <c r="DM31" s="158" t="n">
        <f aca="false">DM27*Assumption!$E$156</f>
        <v>543.29543217936</v>
      </c>
      <c r="DN31" s="158" t="n">
        <f aca="false">DN27*Assumption!$E$156</f>
        <v>543.29543217936</v>
      </c>
      <c r="DO31" s="158" t="n">
        <f aca="false">DO27*Assumption!$E$156</f>
        <v>525.7697730768</v>
      </c>
      <c r="DP31" s="158" t="n">
        <f aca="false">DP27*Assumption!$E$156</f>
        <v>543.29543217936</v>
      </c>
      <c r="DQ31" s="158" t="n">
        <f aca="false">DQ27*Assumption!$E$156</f>
        <v>525.7697730768</v>
      </c>
      <c r="DR31" s="158" t="n">
        <f aca="false">DR27*Assumption!$E$156</f>
        <v>543.29543217936</v>
      </c>
      <c r="DS31" s="158" t="n">
        <f aca="false">DS27*Assumption!$E$156</f>
        <v>543.29543217936</v>
      </c>
      <c r="DT31" s="158" t="n">
        <f aca="false">DT27*Assumption!$E$156</f>
        <v>508.24411397424</v>
      </c>
      <c r="DU31" s="158" t="n">
        <f aca="false">DU27*Assumption!$E$156</f>
        <v>0</v>
      </c>
      <c r="DV31" s="158" t="n">
        <f aca="false">DV27*Assumption!$E$156</f>
        <v>0</v>
      </c>
      <c r="DW31" s="158" t="n">
        <f aca="false">DW27*Assumption!$E$156</f>
        <v>0</v>
      </c>
      <c r="DX31" s="158" t="n">
        <f aca="false">DX27*Assumption!$E$156</f>
        <v>0</v>
      </c>
      <c r="DY31" s="158" t="n">
        <f aca="false">DY27*Assumption!$E$156</f>
        <v>0</v>
      </c>
      <c r="DZ31" s="158" t="n">
        <f aca="false">DZ27*Assumption!$E$156</f>
        <v>0</v>
      </c>
      <c r="EA31" s="158" t="n">
        <f aca="false">EA27*Assumption!$E$156</f>
        <v>0</v>
      </c>
      <c r="EB31" s="158" t="n">
        <f aca="false">EB27*Assumption!$E$156</f>
        <v>0</v>
      </c>
      <c r="EC31" s="158" t="n">
        <f aca="false">EC27*Assumption!$E$156</f>
        <v>0</v>
      </c>
      <c r="ED31" s="158" t="n">
        <f aca="false">ED27*Assumption!$E$156</f>
        <v>0</v>
      </c>
      <c r="EE31" s="158" t="n">
        <f aca="false">EE27*Assumption!$E$156</f>
        <v>0</v>
      </c>
      <c r="EF31" s="158" t="n">
        <f aca="false">EF27*Assumption!$E$156</f>
        <v>0</v>
      </c>
    </row>
    <row r="32" customFormat="false" ht="15" hidden="false" customHeight="false" outlineLevel="0" collapsed="false">
      <c r="A32" s="35" t="s">
        <v>178</v>
      </c>
      <c r="B32" s="241" t="s">
        <v>116</v>
      </c>
      <c r="C32" s="242" t="n">
        <f aca="false">SUM(E32:EF32)</f>
        <v>96422.1108854688</v>
      </c>
      <c r="E32" s="158" t="n">
        <f aca="false">E27*Assumption!$E$157</f>
        <v>0</v>
      </c>
      <c r="F32" s="158" t="n">
        <f aca="false">F27*Assumption!$E$157</f>
        <v>0</v>
      </c>
      <c r="G32" s="158" t="n">
        <f aca="false">G27*Assumption!$E$157</f>
        <v>0</v>
      </c>
      <c r="H32" s="158" t="n">
        <f aca="false">H27*Assumption!$E$157</f>
        <v>0</v>
      </c>
      <c r="I32" s="158" t="n">
        <f aca="false">I27*Assumption!$E$157</f>
        <v>0</v>
      </c>
      <c r="J32" s="158" t="n">
        <f aca="false">J27*Assumption!$E$157</f>
        <v>0</v>
      </c>
      <c r="K32" s="158" t="n">
        <f aca="false">K27*Assumption!$E$157</f>
        <v>0</v>
      </c>
      <c r="L32" s="158" t="n">
        <f aca="false">L27*Assumption!$E$157</f>
        <v>0</v>
      </c>
      <c r="M32" s="158" t="n">
        <f aca="false">M27*Assumption!$E$157</f>
        <v>0</v>
      </c>
      <c r="N32" s="158" t="n">
        <f aca="false">N27*Assumption!$E$157</f>
        <v>0</v>
      </c>
      <c r="O32" s="158" t="n">
        <f aca="false">O27*Assumption!$E$157</f>
        <v>0</v>
      </c>
      <c r="P32" s="158" t="n">
        <f aca="false">P27*Assumption!$E$157</f>
        <v>0</v>
      </c>
      <c r="Q32" s="158" t="n">
        <f aca="false">Q27*Assumption!$E$157</f>
        <v>0</v>
      </c>
      <c r="R32" s="158" t="n">
        <f aca="false">R27*Assumption!$E$157</f>
        <v>0</v>
      </c>
      <c r="S32" s="158" t="n">
        <f aca="false">S27*Assumption!$E$157</f>
        <v>0</v>
      </c>
      <c r="T32" s="158" t="n">
        <f aca="false">T27*Assumption!$E$157</f>
        <v>0</v>
      </c>
      <c r="U32" s="158" t="n">
        <f aca="false">U27*Assumption!$E$157</f>
        <v>0</v>
      </c>
      <c r="V32" s="158" t="n">
        <f aca="false">V27*Assumption!$E$157</f>
        <v>0</v>
      </c>
      <c r="W32" s="158" t="n">
        <f aca="false">W27*Assumption!$E$157</f>
        <v>0</v>
      </c>
      <c r="X32" s="158" t="n">
        <f aca="false">X27*Assumption!$E$157</f>
        <v>0</v>
      </c>
      <c r="Y32" s="158" t="n">
        <f aca="false">Y27*Assumption!$E$157</f>
        <v>0</v>
      </c>
      <c r="Z32" s="158" t="n">
        <f aca="false">Z27*Assumption!$E$157</f>
        <v>0</v>
      </c>
      <c r="AA32" s="158" t="n">
        <f aca="false">AA27*Assumption!$E$157</f>
        <v>0</v>
      </c>
      <c r="AB32" s="158" t="n">
        <f aca="false">AB27*Assumption!$E$157</f>
        <v>0</v>
      </c>
      <c r="AC32" s="158" t="n">
        <f aca="false">AC27*Assumption!$E$157</f>
        <v>0</v>
      </c>
      <c r="AD32" s="158" t="n">
        <f aca="false">AD27*Assumption!$E$157</f>
        <v>0</v>
      </c>
      <c r="AE32" s="158" t="n">
        <f aca="false">AE27*Assumption!$E$157</f>
        <v>0</v>
      </c>
      <c r="AF32" s="158" t="n">
        <f aca="false">AF27*Assumption!$E$157</f>
        <v>0</v>
      </c>
      <c r="AG32" s="158" t="n">
        <f aca="false">AG27*Assumption!$E$157</f>
        <v>0</v>
      </c>
      <c r="AH32" s="158" t="n">
        <f aca="false">AH27*Assumption!$E$157</f>
        <v>0</v>
      </c>
      <c r="AI32" s="158" t="n">
        <f aca="false">AI27*Assumption!$E$157</f>
        <v>0</v>
      </c>
      <c r="AJ32" s="158" t="n">
        <f aca="false">AJ27*Assumption!$E$157</f>
        <v>0</v>
      </c>
      <c r="AK32" s="158" t="n">
        <f aca="false">AK27*Assumption!$E$157</f>
        <v>0</v>
      </c>
      <c r="AL32" s="158" t="n">
        <f aca="false">AL27*Assumption!$E$157</f>
        <v>0</v>
      </c>
      <c r="AM32" s="158" t="n">
        <f aca="false">AM27*Assumption!$E$157</f>
        <v>0</v>
      </c>
      <c r="AN32" s="158" t="n">
        <f aca="false">AN27*Assumption!$E$157</f>
        <v>0</v>
      </c>
      <c r="AO32" s="158" t="n">
        <f aca="false">AO27*Assumption!$E$157</f>
        <v>0</v>
      </c>
      <c r="AP32" s="158" t="n">
        <f aca="false">AP27*Assumption!$E$157</f>
        <v>0</v>
      </c>
      <c r="AQ32" s="158" t="n">
        <f aca="false">AQ27*Assumption!$E$157</f>
        <v>0</v>
      </c>
      <c r="AR32" s="158" t="n">
        <f aca="false">AR27*Assumption!$E$157</f>
        <v>0</v>
      </c>
      <c r="AS32" s="158" t="n">
        <f aca="false">AS27*Assumption!$E$157</f>
        <v>0</v>
      </c>
      <c r="AT32" s="158" t="n">
        <f aca="false">AT27*Assumption!$E$157</f>
        <v>0</v>
      </c>
      <c r="AU32" s="158" t="n">
        <f aca="false">AU27*Assumption!$E$157</f>
        <v>0</v>
      </c>
      <c r="AV32" s="158" t="n">
        <f aca="false">AV27*Assumption!$E$157</f>
        <v>0</v>
      </c>
      <c r="AW32" s="158" t="n">
        <f aca="false">AW27*Assumption!$E$157</f>
        <v>0</v>
      </c>
      <c r="AX32" s="158" t="n">
        <f aca="false">AX27*Assumption!$E$157</f>
        <v>0</v>
      </c>
      <c r="AY32" s="158" t="n">
        <f aca="false">AY27*Assumption!$E$157</f>
        <v>0</v>
      </c>
      <c r="AZ32" s="158" t="n">
        <f aca="false">AZ27*Assumption!$E$157</f>
        <v>0</v>
      </c>
      <c r="BA32" s="158" t="n">
        <f aca="false">BA27*Assumption!$E$157</f>
        <v>0</v>
      </c>
      <c r="BB32" s="158" t="n">
        <f aca="false">BB27*Assumption!$E$157</f>
        <v>0</v>
      </c>
      <c r="BC32" s="158" t="n">
        <f aca="false">BC27*Assumption!$E$157</f>
        <v>0</v>
      </c>
      <c r="BD32" s="158" t="n">
        <f aca="false">BD27*Assumption!$E$157</f>
        <v>0</v>
      </c>
      <c r="BE32" s="158" t="n">
        <f aca="false">BE27*Assumption!$E$157</f>
        <v>0</v>
      </c>
      <c r="BF32" s="158" t="n">
        <f aca="false">BF27*Assumption!$E$157</f>
        <v>0</v>
      </c>
      <c r="BG32" s="158" t="n">
        <f aca="false">BG27*Assumption!$E$157</f>
        <v>0</v>
      </c>
      <c r="BH32" s="158" t="n">
        <f aca="false">BH27*Assumption!$E$157</f>
        <v>0</v>
      </c>
      <c r="BI32" s="158" t="n">
        <f aca="false">BI27*Assumption!$E$157</f>
        <v>0</v>
      </c>
      <c r="BJ32" s="158" t="n">
        <f aca="false">BJ27*Assumption!$E$157</f>
        <v>0</v>
      </c>
      <c r="BK32" s="158" t="n">
        <f aca="false">BK27*Assumption!$E$157</f>
        <v>0</v>
      </c>
      <c r="BL32" s="158" t="n">
        <f aca="false">BL27*Assumption!$E$157</f>
        <v>0</v>
      </c>
      <c r="BM32" s="158" t="n">
        <f aca="false">BM27*Assumption!$E$157</f>
        <v>1398.2085</v>
      </c>
      <c r="BN32" s="158" t="n">
        <f aca="false">BN27*Assumption!$E$157</f>
        <v>1353.105</v>
      </c>
      <c r="BO32" s="158" t="n">
        <f aca="false">BO27*Assumption!$E$157</f>
        <v>1398.2085</v>
      </c>
      <c r="BP32" s="158" t="n">
        <f aca="false">BP27*Assumption!$E$157</f>
        <v>1353.105</v>
      </c>
      <c r="BQ32" s="158" t="n">
        <f aca="false">BQ27*Assumption!$E$157</f>
        <v>1398.2085</v>
      </c>
      <c r="BR32" s="158" t="n">
        <f aca="false">BR27*Assumption!$E$157</f>
        <v>1398.2085</v>
      </c>
      <c r="BS32" s="158" t="n">
        <f aca="false">BS27*Assumption!$E$157</f>
        <v>1353.105</v>
      </c>
      <c r="BT32" s="158" t="n">
        <f aca="false">BT27*Assumption!$E$157</f>
        <v>1398.2085</v>
      </c>
      <c r="BU32" s="158" t="n">
        <f aca="false">BU27*Assumption!$E$157</f>
        <v>1353.105</v>
      </c>
      <c r="BV32" s="158" t="n">
        <f aca="false">BV27*Assumption!$E$157</f>
        <v>1398.2085</v>
      </c>
      <c r="BW32" s="158" t="n">
        <f aca="false">BW27*Assumption!$E$157</f>
        <v>1398.2085</v>
      </c>
      <c r="BX32" s="158" t="n">
        <f aca="false">BX27*Assumption!$E$157</f>
        <v>1308.0015</v>
      </c>
      <c r="BY32" s="158" t="n">
        <f aca="false">BY27*Assumption!$E$157</f>
        <v>1645.58385</v>
      </c>
      <c r="BZ32" s="158" t="n">
        <f aca="false">BZ27*Assumption!$E$157</f>
        <v>1592.5005</v>
      </c>
      <c r="CA32" s="158" t="n">
        <f aca="false">CA27*Assumption!$E$157</f>
        <v>1645.58385</v>
      </c>
      <c r="CB32" s="158" t="n">
        <f aca="false">CB27*Assumption!$E$157</f>
        <v>1592.5005</v>
      </c>
      <c r="CC32" s="158" t="n">
        <f aca="false">CC27*Assumption!$E$157</f>
        <v>1645.58385</v>
      </c>
      <c r="CD32" s="158" t="n">
        <f aca="false">CD27*Assumption!$E$157</f>
        <v>1645.58385</v>
      </c>
      <c r="CE32" s="158" t="n">
        <f aca="false">CE27*Assumption!$E$157</f>
        <v>1592.5005</v>
      </c>
      <c r="CF32" s="158" t="n">
        <f aca="false">CF27*Assumption!$E$157</f>
        <v>1645.58385</v>
      </c>
      <c r="CG32" s="158" t="n">
        <f aca="false">CG27*Assumption!$E$157</f>
        <v>1592.5005</v>
      </c>
      <c r="CH32" s="158" t="n">
        <f aca="false">CH27*Assumption!$E$157</f>
        <v>1645.58385</v>
      </c>
      <c r="CI32" s="158" t="n">
        <f aca="false">CI27*Assumption!$E$157</f>
        <v>1645.58385</v>
      </c>
      <c r="CJ32" s="158" t="n">
        <f aca="false">CJ27*Assumption!$E$157</f>
        <v>1486.3338</v>
      </c>
      <c r="CK32" s="158" t="n">
        <f aca="false">CK27*Assumption!$E$157</f>
        <v>1678.495527</v>
      </c>
      <c r="CL32" s="158" t="n">
        <f aca="false">CL27*Assumption!$E$157</f>
        <v>1624.35051</v>
      </c>
      <c r="CM32" s="158" t="n">
        <f aca="false">CM27*Assumption!$E$157</f>
        <v>1678.495527</v>
      </c>
      <c r="CN32" s="158" t="n">
        <f aca="false">CN27*Assumption!$E$157</f>
        <v>1624.35051</v>
      </c>
      <c r="CO32" s="158" t="n">
        <f aca="false">CO27*Assumption!$E$157</f>
        <v>1678.495527</v>
      </c>
      <c r="CP32" s="158" t="n">
        <f aca="false">CP27*Assumption!$E$157</f>
        <v>1678.495527</v>
      </c>
      <c r="CQ32" s="158" t="n">
        <f aca="false">CQ27*Assumption!$E$157</f>
        <v>1624.35051</v>
      </c>
      <c r="CR32" s="158" t="n">
        <f aca="false">CR27*Assumption!$E$157</f>
        <v>1678.495527</v>
      </c>
      <c r="CS32" s="158" t="n">
        <f aca="false">CS27*Assumption!$E$157</f>
        <v>1624.35051</v>
      </c>
      <c r="CT32" s="158" t="n">
        <f aca="false">CT27*Assumption!$E$157</f>
        <v>1678.495527</v>
      </c>
      <c r="CU32" s="158" t="n">
        <f aca="false">CU27*Assumption!$E$157</f>
        <v>1678.495527</v>
      </c>
      <c r="CV32" s="158" t="n">
        <f aca="false">CV27*Assumption!$E$157</f>
        <v>1516.060476</v>
      </c>
      <c r="CW32" s="158" t="n">
        <f aca="false">CW27*Assumption!$E$157</f>
        <v>1712.06543754</v>
      </c>
      <c r="CX32" s="158" t="n">
        <f aca="false">CX27*Assumption!$E$157</f>
        <v>1656.8375202</v>
      </c>
      <c r="CY32" s="158" t="n">
        <f aca="false">CY27*Assumption!$E$157</f>
        <v>1712.06543754</v>
      </c>
      <c r="CZ32" s="158" t="n">
        <f aca="false">CZ27*Assumption!$E$157</f>
        <v>1656.8375202</v>
      </c>
      <c r="DA32" s="158" t="n">
        <f aca="false">DA27*Assumption!$E$157</f>
        <v>1712.06543754</v>
      </c>
      <c r="DB32" s="158" t="n">
        <f aca="false">DB27*Assumption!$E$157</f>
        <v>1712.06543754</v>
      </c>
      <c r="DC32" s="158" t="n">
        <f aca="false">DC27*Assumption!$E$157</f>
        <v>1656.8375202</v>
      </c>
      <c r="DD32" s="158" t="n">
        <f aca="false">DD27*Assumption!$E$157</f>
        <v>1712.06543754</v>
      </c>
      <c r="DE32" s="158" t="n">
        <f aca="false">DE27*Assumption!$E$157</f>
        <v>1656.8375202</v>
      </c>
      <c r="DF32" s="158" t="n">
        <f aca="false">DF27*Assumption!$E$157</f>
        <v>1712.06543754</v>
      </c>
      <c r="DG32" s="158" t="n">
        <f aca="false">DG27*Assumption!$E$157</f>
        <v>1712.06543754</v>
      </c>
      <c r="DH32" s="158" t="n">
        <f aca="false">DH27*Assumption!$E$157</f>
        <v>1546.38168552</v>
      </c>
      <c r="DI32" s="158" t="n">
        <f aca="false">DI27*Assumption!$E$157</f>
        <v>1746.3067462908</v>
      </c>
      <c r="DJ32" s="158" t="n">
        <f aca="false">DJ27*Assumption!$E$157</f>
        <v>1689.974270604</v>
      </c>
      <c r="DK32" s="158" t="n">
        <f aca="false">DK27*Assumption!$E$157</f>
        <v>1746.3067462908</v>
      </c>
      <c r="DL32" s="158" t="n">
        <f aca="false">DL27*Assumption!$E$157</f>
        <v>1689.974270604</v>
      </c>
      <c r="DM32" s="158" t="n">
        <f aca="false">DM27*Assumption!$E$157</f>
        <v>1746.3067462908</v>
      </c>
      <c r="DN32" s="158" t="n">
        <f aca="false">DN27*Assumption!$E$157</f>
        <v>1746.3067462908</v>
      </c>
      <c r="DO32" s="158" t="n">
        <f aca="false">DO27*Assumption!$E$157</f>
        <v>1689.974270604</v>
      </c>
      <c r="DP32" s="158" t="n">
        <f aca="false">DP27*Assumption!$E$157</f>
        <v>1746.3067462908</v>
      </c>
      <c r="DQ32" s="158" t="n">
        <f aca="false">DQ27*Assumption!$E$157</f>
        <v>1689.974270604</v>
      </c>
      <c r="DR32" s="158" t="n">
        <f aca="false">DR27*Assumption!$E$157</f>
        <v>1746.3067462908</v>
      </c>
      <c r="DS32" s="158" t="n">
        <f aca="false">DS27*Assumption!$E$157</f>
        <v>1746.3067462908</v>
      </c>
      <c r="DT32" s="158" t="n">
        <f aca="false">DT27*Assumption!$E$157</f>
        <v>1633.6417949172</v>
      </c>
      <c r="DU32" s="158" t="n">
        <f aca="false">DU27*Assumption!$E$157</f>
        <v>0</v>
      </c>
      <c r="DV32" s="158" t="n">
        <f aca="false">DV27*Assumption!$E$157</f>
        <v>0</v>
      </c>
      <c r="DW32" s="158" t="n">
        <f aca="false">DW27*Assumption!$E$157</f>
        <v>0</v>
      </c>
      <c r="DX32" s="158" t="n">
        <f aca="false">DX27*Assumption!$E$157</f>
        <v>0</v>
      </c>
      <c r="DY32" s="158" t="n">
        <f aca="false">DY27*Assumption!$E$157</f>
        <v>0</v>
      </c>
      <c r="DZ32" s="158" t="n">
        <f aca="false">DZ27*Assumption!$E$157</f>
        <v>0</v>
      </c>
      <c r="EA32" s="158" t="n">
        <f aca="false">EA27*Assumption!$E$157</f>
        <v>0</v>
      </c>
      <c r="EB32" s="158" t="n">
        <f aca="false">EB27*Assumption!$E$157</f>
        <v>0</v>
      </c>
      <c r="EC32" s="158" t="n">
        <f aca="false">EC27*Assumption!$E$157</f>
        <v>0</v>
      </c>
      <c r="ED32" s="158" t="n">
        <f aca="false">ED27*Assumption!$E$157</f>
        <v>0</v>
      </c>
      <c r="EE32" s="158" t="n">
        <f aca="false">EE27*Assumption!$E$157</f>
        <v>0</v>
      </c>
      <c r="EF32" s="158" t="n">
        <f aca="false">EF27*Assumption!$E$157</f>
        <v>0</v>
      </c>
    </row>
    <row r="33" customFormat="false" ht="15" hidden="false" customHeight="false" outlineLevel="0" collapsed="false">
      <c r="A33" s="35" t="s">
        <v>179</v>
      </c>
      <c r="B33" s="241" t="s">
        <v>116</v>
      </c>
      <c r="C33" s="242" t="n">
        <f aca="false">SUM(E33:EF33)</f>
        <v>42854.2715046528</v>
      </c>
      <c r="E33" s="158" t="n">
        <f aca="false">E27*Assumption!$E$158</f>
        <v>0</v>
      </c>
      <c r="F33" s="158" t="n">
        <f aca="false">F27*Assumption!$E$158</f>
        <v>0</v>
      </c>
      <c r="G33" s="158" t="n">
        <f aca="false">G27*Assumption!$E$158</f>
        <v>0</v>
      </c>
      <c r="H33" s="158" t="n">
        <f aca="false">H27*Assumption!$E$158</f>
        <v>0</v>
      </c>
      <c r="I33" s="158" t="n">
        <f aca="false">I27*Assumption!$E$158</f>
        <v>0</v>
      </c>
      <c r="J33" s="158" t="n">
        <f aca="false">J27*Assumption!$E$158</f>
        <v>0</v>
      </c>
      <c r="K33" s="158" t="n">
        <f aca="false">K27*Assumption!$E$158</f>
        <v>0</v>
      </c>
      <c r="L33" s="158" t="n">
        <f aca="false">L27*Assumption!$E$158</f>
        <v>0</v>
      </c>
      <c r="M33" s="158" t="n">
        <f aca="false">M27*Assumption!$E$158</f>
        <v>0</v>
      </c>
      <c r="N33" s="158" t="n">
        <f aca="false">N27*Assumption!$E$158</f>
        <v>0</v>
      </c>
      <c r="O33" s="158" t="n">
        <f aca="false">O27*Assumption!$E$158</f>
        <v>0</v>
      </c>
      <c r="P33" s="158" t="n">
        <f aca="false">P27*Assumption!$E$158</f>
        <v>0</v>
      </c>
      <c r="Q33" s="158" t="n">
        <f aca="false">Q27*Assumption!$E$158</f>
        <v>0</v>
      </c>
      <c r="R33" s="158" t="n">
        <f aca="false">R27*Assumption!$E$158</f>
        <v>0</v>
      </c>
      <c r="S33" s="158" t="n">
        <f aca="false">S27*Assumption!$E$158</f>
        <v>0</v>
      </c>
      <c r="T33" s="158" t="n">
        <f aca="false">T27*Assumption!$E$158</f>
        <v>0</v>
      </c>
      <c r="U33" s="158" t="n">
        <f aca="false">U27*Assumption!$E$158</f>
        <v>0</v>
      </c>
      <c r="V33" s="158" t="n">
        <f aca="false">V27*Assumption!$E$158</f>
        <v>0</v>
      </c>
      <c r="W33" s="158" t="n">
        <f aca="false">W27*Assumption!$E$158</f>
        <v>0</v>
      </c>
      <c r="X33" s="158" t="n">
        <f aca="false">X27*Assumption!$E$158</f>
        <v>0</v>
      </c>
      <c r="Y33" s="158" t="n">
        <f aca="false">Y27*Assumption!$E$158</f>
        <v>0</v>
      </c>
      <c r="Z33" s="158" t="n">
        <f aca="false">Z27*Assumption!$E$158</f>
        <v>0</v>
      </c>
      <c r="AA33" s="158" t="n">
        <f aca="false">AA27*Assumption!$E$158</f>
        <v>0</v>
      </c>
      <c r="AB33" s="158" t="n">
        <f aca="false">AB27*Assumption!$E$158</f>
        <v>0</v>
      </c>
      <c r="AC33" s="158" t="n">
        <f aca="false">AC27*Assumption!$E$158</f>
        <v>0</v>
      </c>
      <c r="AD33" s="158" t="n">
        <f aca="false">AD27*Assumption!$E$158</f>
        <v>0</v>
      </c>
      <c r="AE33" s="158" t="n">
        <f aca="false">AE27*Assumption!$E$158</f>
        <v>0</v>
      </c>
      <c r="AF33" s="158" t="n">
        <f aca="false">AF27*Assumption!$E$158</f>
        <v>0</v>
      </c>
      <c r="AG33" s="158" t="n">
        <f aca="false">AG27*Assumption!$E$158</f>
        <v>0</v>
      </c>
      <c r="AH33" s="158" t="n">
        <f aca="false">AH27*Assumption!$E$158</f>
        <v>0</v>
      </c>
      <c r="AI33" s="158" t="n">
        <f aca="false">AI27*Assumption!$E$158</f>
        <v>0</v>
      </c>
      <c r="AJ33" s="158" t="n">
        <f aca="false">AJ27*Assumption!$E$158</f>
        <v>0</v>
      </c>
      <c r="AK33" s="158" t="n">
        <f aca="false">AK27*Assumption!$E$158</f>
        <v>0</v>
      </c>
      <c r="AL33" s="158" t="n">
        <f aca="false">AL27*Assumption!$E$158</f>
        <v>0</v>
      </c>
      <c r="AM33" s="158" t="n">
        <f aca="false">AM27*Assumption!$E$158</f>
        <v>0</v>
      </c>
      <c r="AN33" s="158" t="n">
        <f aca="false">AN27*Assumption!$E$158</f>
        <v>0</v>
      </c>
      <c r="AO33" s="158" t="n">
        <f aca="false">AO27*Assumption!$E$158</f>
        <v>0</v>
      </c>
      <c r="AP33" s="158" t="n">
        <f aca="false">AP27*Assumption!$E$158</f>
        <v>0</v>
      </c>
      <c r="AQ33" s="158" t="n">
        <f aca="false">AQ27*Assumption!$E$158</f>
        <v>0</v>
      </c>
      <c r="AR33" s="158" t="n">
        <f aca="false">AR27*Assumption!$E$158</f>
        <v>0</v>
      </c>
      <c r="AS33" s="158" t="n">
        <f aca="false">AS27*Assumption!$E$158</f>
        <v>0</v>
      </c>
      <c r="AT33" s="158" t="n">
        <f aca="false">AT27*Assumption!$E$158</f>
        <v>0</v>
      </c>
      <c r="AU33" s="158" t="n">
        <f aca="false">AU27*Assumption!$E$158</f>
        <v>0</v>
      </c>
      <c r="AV33" s="158" t="n">
        <f aca="false">AV27*Assumption!$E$158</f>
        <v>0</v>
      </c>
      <c r="AW33" s="158" t="n">
        <f aca="false">AW27*Assumption!$E$158</f>
        <v>0</v>
      </c>
      <c r="AX33" s="158" t="n">
        <f aca="false">AX27*Assumption!$E$158</f>
        <v>0</v>
      </c>
      <c r="AY33" s="158" t="n">
        <f aca="false">AY27*Assumption!$E$158</f>
        <v>0</v>
      </c>
      <c r="AZ33" s="158" t="n">
        <f aca="false">AZ27*Assumption!$E$158</f>
        <v>0</v>
      </c>
      <c r="BA33" s="158" t="n">
        <f aca="false">BA27*Assumption!$E$158</f>
        <v>0</v>
      </c>
      <c r="BB33" s="158" t="n">
        <f aca="false">BB27*Assumption!$E$158</f>
        <v>0</v>
      </c>
      <c r="BC33" s="158" t="n">
        <f aca="false">BC27*Assumption!$E$158</f>
        <v>0</v>
      </c>
      <c r="BD33" s="158" t="n">
        <f aca="false">BD27*Assumption!$E$158</f>
        <v>0</v>
      </c>
      <c r="BE33" s="158" t="n">
        <f aca="false">BE27*Assumption!$E$158</f>
        <v>0</v>
      </c>
      <c r="BF33" s="158" t="n">
        <f aca="false">BF27*Assumption!$E$158</f>
        <v>0</v>
      </c>
      <c r="BG33" s="158" t="n">
        <f aca="false">BG27*Assumption!$E$158</f>
        <v>0</v>
      </c>
      <c r="BH33" s="158" t="n">
        <f aca="false">BH27*Assumption!$E$158</f>
        <v>0</v>
      </c>
      <c r="BI33" s="158" t="n">
        <f aca="false">BI27*Assumption!$E$158</f>
        <v>0</v>
      </c>
      <c r="BJ33" s="158" t="n">
        <f aca="false">BJ27*Assumption!$E$158</f>
        <v>0</v>
      </c>
      <c r="BK33" s="158" t="n">
        <f aca="false">BK27*Assumption!$E$158</f>
        <v>0</v>
      </c>
      <c r="BL33" s="158" t="n">
        <f aca="false">BL27*Assumption!$E$158</f>
        <v>0</v>
      </c>
      <c r="BM33" s="158" t="n">
        <f aca="false">BM27*Assumption!$E$158</f>
        <v>621.426</v>
      </c>
      <c r="BN33" s="158" t="n">
        <f aca="false">BN27*Assumption!$E$158</f>
        <v>601.38</v>
      </c>
      <c r="BO33" s="158" t="n">
        <f aca="false">BO27*Assumption!$E$158</f>
        <v>621.426</v>
      </c>
      <c r="BP33" s="158" t="n">
        <f aca="false">BP27*Assumption!$E$158</f>
        <v>601.38</v>
      </c>
      <c r="BQ33" s="158" t="n">
        <f aca="false">BQ27*Assumption!$E$158</f>
        <v>621.426</v>
      </c>
      <c r="BR33" s="158" t="n">
        <f aca="false">BR27*Assumption!$E$158</f>
        <v>621.426</v>
      </c>
      <c r="BS33" s="158" t="n">
        <f aca="false">BS27*Assumption!$E$158</f>
        <v>601.38</v>
      </c>
      <c r="BT33" s="158" t="n">
        <f aca="false">BT27*Assumption!$E$158</f>
        <v>621.426</v>
      </c>
      <c r="BU33" s="158" t="n">
        <f aca="false">BU27*Assumption!$E$158</f>
        <v>601.38</v>
      </c>
      <c r="BV33" s="158" t="n">
        <f aca="false">BV27*Assumption!$E$158</f>
        <v>621.426</v>
      </c>
      <c r="BW33" s="158" t="n">
        <f aca="false">BW27*Assumption!$E$158</f>
        <v>621.426</v>
      </c>
      <c r="BX33" s="158" t="n">
        <f aca="false">BX27*Assumption!$E$158</f>
        <v>581.334</v>
      </c>
      <c r="BY33" s="158" t="n">
        <f aca="false">BY27*Assumption!$E$158</f>
        <v>731.3706</v>
      </c>
      <c r="BZ33" s="158" t="n">
        <f aca="false">BZ27*Assumption!$E$158</f>
        <v>707.778</v>
      </c>
      <c r="CA33" s="158" t="n">
        <f aca="false">CA27*Assumption!$E$158</f>
        <v>731.3706</v>
      </c>
      <c r="CB33" s="158" t="n">
        <f aca="false">CB27*Assumption!$E$158</f>
        <v>707.778</v>
      </c>
      <c r="CC33" s="158" t="n">
        <f aca="false">CC27*Assumption!$E$158</f>
        <v>731.3706</v>
      </c>
      <c r="CD33" s="158" t="n">
        <f aca="false">CD27*Assumption!$E$158</f>
        <v>731.3706</v>
      </c>
      <c r="CE33" s="158" t="n">
        <f aca="false">CE27*Assumption!$E$158</f>
        <v>707.778</v>
      </c>
      <c r="CF33" s="158" t="n">
        <f aca="false">CF27*Assumption!$E$158</f>
        <v>731.3706</v>
      </c>
      <c r="CG33" s="158" t="n">
        <f aca="false">CG27*Assumption!$E$158</f>
        <v>707.778</v>
      </c>
      <c r="CH33" s="158" t="n">
        <f aca="false">CH27*Assumption!$E$158</f>
        <v>731.3706</v>
      </c>
      <c r="CI33" s="158" t="n">
        <f aca="false">CI27*Assumption!$E$158</f>
        <v>731.3706</v>
      </c>
      <c r="CJ33" s="158" t="n">
        <f aca="false">CJ27*Assumption!$E$158</f>
        <v>660.5928</v>
      </c>
      <c r="CK33" s="158" t="n">
        <f aca="false">CK27*Assumption!$E$158</f>
        <v>745.998012</v>
      </c>
      <c r="CL33" s="158" t="n">
        <f aca="false">CL27*Assumption!$E$158</f>
        <v>721.93356</v>
      </c>
      <c r="CM33" s="158" t="n">
        <f aca="false">CM27*Assumption!$E$158</f>
        <v>745.998012</v>
      </c>
      <c r="CN33" s="158" t="n">
        <f aca="false">CN27*Assumption!$E$158</f>
        <v>721.93356</v>
      </c>
      <c r="CO33" s="158" t="n">
        <f aca="false">CO27*Assumption!$E$158</f>
        <v>745.998012</v>
      </c>
      <c r="CP33" s="158" t="n">
        <f aca="false">CP27*Assumption!$E$158</f>
        <v>745.998012</v>
      </c>
      <c r="CQ33" s="158" t="n">
        <f aca="false">CQ27*Assumption!$E$158</f>
        <v>721.93356</v>
      </c>
      <c r="CR33" s="158" t="n">
        <f aca="false">CR27*Assumption!$E$158</f>
        <v>745.998012</v>
      </c>
      <c r="CS33" s="158" t="n">
        <f aca="false">CS27*Assumption!$E$158</f>
        <v>721.93356</v>
      </c>
      <c r="CT33" s="158" t="n">
        <f aca="false">CT27*Assumption!$E$158</f>
        <v>745.998012</v>
      </c>
      <c r="CU33" s="158" t="n">
        <f aca="false">CU27*Assumption!$E$158</f>
        <v>745.998012</v>
      </c>
      <c r="CV33" s="158" t="n">
        <f aca="false">CV27*Assumption!$E$158</f>
        <v>673.804656</v>
      </c>
      <c r="CW33" s="158" t="n">
        <f aca="false">CW27*Assumption!$E$158</f>
        <v>760.91797224</v>
      </c>
      <c r="CX33" s="158" t="n">
        <f aca="false">CX27*Assumption!$E$158</f>
        <v>736.3722312</v>
      </c>
      <c r="CY33" s="158" t="n">
        <f aca="false">CY27*Assumption!$E$158</f>
        <v>760.91797224</v>
      </c>
      <c r="CZ33" s="158" t="n">
        <f aca="false">CZ27*Assumption!$E$158</f>
        <v>736.3722312</v>
      </c>
      <c r="DA33" s="158" t="n">
        <f aca="false">DA27*Assumption!$E$158</f>
        <v>760.91797224</v>
      </c>
      <c r="DB33" s="158" t="n">
        <f aca="false">DB27*Assumption!$E$158</f>
        <v>760.91797224</v>
      </c>
      <c r="DC33" s="158" t="n">
        <f aca="false">DC27*Assumption!$E$158</f>
        <v>736.3722312</v>
      </c>
      <c r="DD33" s="158" t="n">
        <f aca="false">DD27*Assumption!$E$158</f>
        <v>760.91797224</v>
      </c>
      <c r="DE33" s="158" t="n">
        <f aca="false">DE27*Assumption!$E$158</f>
        <v>736.3722312</v>
      </c>
      <c r="DF33" s="158" t="n">
        <f aca="false">DF27*Assumption!$E$158</f>
        <v>760.91797224</v>
      </c>
      <c r="DG33" s="158" t="n">
        <f aca="false">DG27*Assumption!$E$158</f>
        <v>760.91797224</v>
      </c>
      <c r="DH33" s="158" t="n">
        <f aca="false">DH27*Assumption!$E$158</f>
        <v>687.28074912</v>
      </c>
      <c r="DI33" s="158" t="n">
        <f aca="false">DI27*Assumption!$E$158</f>
        <v>776.1363316848</v>
      </c>
      <c r="DJ33" s="158" t="n">
        <f aca="false">DJ27*Assumption!$E$158</f>
        <v>751.099675824</v>
      </c>
      <c r="DK33" s="158" t="n">
        <f aca="false">DK27*Assumption!$E$158</f>
        <v>776.1363316848</v>
      </c>
      <c r="DL33" s="158" t="n">
        <f aca="false">DL27*Assumption!$E$158</f>
        <v>751.099675824</v>
      </c>
      <c r="DM33" s="158" t="n">
        <f aca="false">DM27*Assumption!$E$158</f>
        <v>776.1363316848</v>
      </c>
      <c r="DN33" s="158" t="n">
        <f aca="false">DN27*Assumption!$E$158</f>
        <v>776.1363316848</v>
      </c>
      <c r="DO33" s="158" t="n">
        <f aca="false">DO27*Assumption!$E$158</f>
        <v>751.099675824</v>
      </c>
      <c r="DP33" s="158" t="n">
        <f aca="false">DP27*Assumption!$E$158</f>
        <v>776.1363316848</v>
      </c>
      <c r="DQ33" s="158" t="n">
        <f aca="false">DQ27*Assumption!$E$158</f>
        <v>751.099675824</v>
      </c>
      <c r="DR33" s="158" t="n">
        <f aca="false">DR27*Assumption!$E$158</f>
        <v>776.1363316848</v>
      </c>
      <c r="DS33" s="158" t="n">
        <f aca="false">DS27*Assumption!$E$158</f>
        <v>776.1363316848</v>
      </c>
      <c r="DT33" s="158" t="n">
        <f aca="false">DT27*Assumption!$E$158</f>
        <v>726.0630199632</v>
      </c>
      <c r="DU33" s="158" t="n">
        <f aca="false">DU27*Assumption!$E$158</f>
        <v>0</v>
      </c>
      <c r="DV33" s="158" t="n">
        <f aca="false">DV27*Assumption!$E$158</f>
        <v>0</v>
      </c>
      <c r="DW33" s="158" t="n">
        <f aca="false">DW27*Assumption!$E$158</f>
        <v>0</v>
      </c>
      <c r="DX33" s="158" t="n">
        <f aca="false">DX27*Assumption!$E$158</f>
        <v>0</v>
      </c>
      <c r="DY33" s="158" t="n">
        <f aca="false">DY27*Assumption!$E$158</f>
        <v>0</v>
      </c>
      <c r="DZ33" s="158" t="n">
        <f aca="false">DZ27*Assumption!$E$158</f>
        <v>0</v>
      </c>
      <c r="EA33" s="158" t="n">
        <f aca="false">EA27*Assumption!$E$158</f>
        <v>0</v>
      </c>
      <c r="EB33" s="158" t="n">
        <f aca="false">EB27*Assumption!$E$158</f>
        <v>0</v>
      </c>
      <c r="EC33" s="158" t="n">
        <f aca="false">EC27*Assumption!$E$158</f>
        <v>0</v>
      </c>
      <c r="ED33" s="158" t="n">
        <f aca="false">ED27*Assumption!$E$158</f>
        <v>0</v>
      </c>
      <c r="EE33" s="158" t="n">
        <f aca="false">EE27*Assumption!$E$158</f>
        <v>0</v>
      </c>
      <c r="EF33" s="158" t="n">
        <f aca="false">EF27*Assumption!$E$158</f>
        <v>0</v>
      </c>
    </row>
    <row r="34" customFormat="false" ht="15" hidden="false" customHeight="false" outlineLevel="0" collapsed="false">
      <c r="A34" s="112" t="s">
        <v>180</v>
      </c>
      <c r="B34" s="241" t="s">
        <v>116</v>
      </c>
      <c r="C34" s="242" t="n">
        <f aca="false">SUM(E34:EF34)</f>
        <v>8570.85430093056</v>
      </c>
      <c r="E34" s="158" t="n">
        <f aca="false">E33*Assumption!$E$159</f>
        <v>0</v>
      </c>
      <c r="F34" s="158" t="n">
        <f aca="false">F33*Assumption!$E$159</f>
        <v>0</v>
      </c>
      <c r="G34" s="158" t="n">
        <f aca="false">G33*Assumption!$E$159</f>
        <v>0</v>
      </c>
      <c r="H34" s="158" t="n">
        <f aca="false">H33*Assumption!$E$159</f>
        <v>0</v>
      </c>
      <c r="I34" s="158" t="n">
        <f aca="false">I33*Assumption!$E$159</f>
        <v>0</v>
      </c>
      <c r="J34" s="158" t="n">
        <f aca="false">J33*Assumption!$E$159</f>
        <v>0</v>
      </c>
      <c r="K34" s="158" t="n">
        <f aca="false">K33*Assumption!$E$159</f>
        <v>0</v>
      </c>
      <c r="L34" s="158" t="n">
        <f aca="false">L33*Assumption!$E$159</f>
        <v>0</v>
      </c>
      <c r="M34" s="158" t="n">
        <f aca="false">M33*Assumption!$E$159</f>
        <v>0</v>
      </c>
      <c r="N34" s="158" t="n">
        <f aca="false">N33*Assumption!$E$159</f>
        <v>0</v>
      </c>
      <c r="O34" s="158" t="n">
        <f aca="false">O33*Assumption!$E$159</f>
        <v>0</v>
      </c>
      <c r="P34" s="158" t="n">
        <f aca="false">P33*Assumption!$E$159</f>
        <v>0</v>
      </c>
      <c r="Q34" s="158" t="n">
        <f aca="false">Q33*Assumption!$E$159</f>
        <v>0</v>
      </c>
      <c r="R34" s="158" t="n">
        <f aca="false">R33*Assumption!$E$159</f>
        <v>0</v>
      </c>
      <c r="S34" s="158" t="n">
        <f aca="false">S33*Assumption!$E$159</f>
        <v>0</v>
      </c>
      <c r="T34" s="158" t="n">
        <f aca="false">T33*Assumption!$E$159</f>
        <v>0</v>
      </c>
      <c r="U34" s="158" t="n">
        <f aca="false">U33*Assumption!$E$159</f>
        <v>0</v>
      </c>
      <c r="V34" s="158" t="n">
        <f aca="false">V33*Assumption!$E$159</f>
        <v>0</v>
      </c>
      <c r="W34" s="158" t="n">
        <f aca="false">W33*Assumption!$E$159</f>
        <v>0</v>
      </c>
      <c r="X34" s="158" t="n">
        <f aca="false">X33*Assumption!$E$159</f>
        <v>0</v>
      </c>
      <c r="Y34" s="158" t="n">
        <f aca="false">Y33*Assumption!$E$159</f>
        <v>0</v>
      </c>
      <c r="Z34" s="158" t="n">
        <f aca="false">Z33*Assumption!$E$159</f>
        <v>0</v>
      </c>
      <c r="AA34" s="158" t="n">
        <f aca="false">AA33*Assumption!$E$159</f>
        <v>0</v>
      </c>
      <c r="AB34" s="158" t="n">
        <f aca="false">AB33*Assumption!$E$159</f>
        <v>0</v>
      </c>
      <c r="AC34" s="158" t="n">
        <f aca="false">AC33*Assumption!$E$159</f>
        <v>0</v>
      </c>
      <c r="AD34" s="158" t="n">
        <f aca="false">AD33*Assumption!$E$159</f>
        <v>0</v>
      </c>
      <c r="AE34" s="158" t="n">
        <f aca="false">AE33*Assumption!$E$159</f>
        <v>0</v>
      </c>
      <c r="AF34" s="158" t="n">
        <f aca="false">AF33*Assumption!$E$159</f>
        <v>0</v>
      </c>
      <c r="AG34" s="158" t="n">
        <f aca="false">AG33*Assumption!$E$159</f>
        <v>0</v>
      </c>
      <c r="AH34" s="158" t="n">
        <f aca="false">AH33*Assumption!$E$159</f>
        <v>0</v>
      </c>
      <c r="AI34" s="158" t="n">
        <f aca="false">AI33*Assumption!$E$159</f>
        <v>0</v>
      </c>
      <c r="AJ34" s="158" t="n">
        <f aca="false">AJ33*Assumption!$E$159</f>
        <v>0</v>
      </c>
      <c r="AK34" s="158" t="n">
        <f aca="false">AK33*Assumption!$E$159</f>
        <v>0</v>
      </c>
      <c r="AL34" s="158" t="n">
        <f aca="false">AL33*Assumption!$E$159</f>
        <v>0</v>
      </c>
      <c r="AM34" s="158" t="n">
        <f aca="false">AM33*Assumption!$E$159</f>
        <v>0</v>
      </c>
      <c r="AN34" s="158" t="n">
        <f aca="false">AN33*Assumption!$E$159</f>
        <v>0</v>
      </c>
      <c r="AO34" s="158" t="n">
        <f aca="false">AO33*Assumption!$E$159</f>
        <v>0</v>
      </c>
      <c r="AP34" s="158" t="n">
        <f aca="false">AP33*Assumption!$E$159</f>
        <v>0</v>
      </c>
      <c r="AQ34" s="158" t="n">
        <f aca="false">AQ33*Assumption!$E$159</f>
        <v>0</v>
      </c>
      <c r="AR34" s="158" t="n">
        <f aca="false">AR33*Assumption!$E$159</f>
        <v>0</v>
      </c>
      <c r="AS34" s="158" t="n">
        <f aca="false">AS33*Assumption!$E$159</f>
        <v>0</v>
      </c>
      <c r="AT34" s="158" t="n">
        <f aca="false">AT33*Assumption!$E$159</f>
        <v>0</v>
      </c>
      <c r="AU34" s="158" t="n">
        <f aca="false">AU33*Assumption!$E$159</f>
        <v>0</v>
      </c>
      <c r="AV34" s="158" t="n">
        <f aca="false">AV33*Assumption!$E$159</f>
        <v>0</v>
      </c>
      <c r="AW34" s="158" t="n">
        <f aca="false">AW33*Assumption!$E$159</f>
        <v>0</v>
      </c>
      <c r="AX34" s="158" t="n">
        <f aca="false">AX33*Assumption!$E$159</f>
        <v>0</v>
      </c>
      <c r="AY34" s="158" t="n">
        <f aca="false">AY33*Assumption!$E$159</f>
        <v>0</v>
      </c>
      <c r="AZ34" s="158" t="n">
        <f aca="false">AZ33*Assumption!$E$159</f>
        <v>0</v>
      </c>
      <c r="BA34" s="158" t="n">
        <f aca="false">BA33*Assumption!$E$159</f>
        <v>0</v>
      </c>
      <c r="BB34" s="158" t="n">
        <f aca="false">BB33*Assumption!$E$159</f>
        <v>0</v>
      </c>
      <c r="BC34" s="158" t="n">
        <f aca="false">BC33*Assumption!$E$159</f>
        <v>0</v>
      </c>
      <c r="BD34" s="158" t="n">
        <f aca="false">BD33*Assumption!$E$159</f>
        <v>0</v>
      </c>
      <c r="BE34" s="158" t="n">
        <f aca="false">BE33*Assumption!$E$159</f>
        <v>0</v>
      </c>
      <c r="BF34" s="158" t="n">
        <f aca="false">BF33*Assumption!$E$159</f>
        <v>0</v>
      </c>
      <c r="BG34" s="158" t="n">
        <f aca="false">BG33*Assumption!$E$159</f>
        <v>0</v>
      </c>
      <c r="BH34" s="158" t="n">
        <f aca="false">BH33*Assumption!$E$159</f>
        <v>0</v>
      </c>
      <c r="BI34" s="158" t="n">
        <f aca="false">BI33*Assumption!$E$159</f>
        <v>0</v>
      </c>
      <c r="BJ34" s="158" t="n">
        <f aca="false">BJ33*Assumption!$E$159</f>
        <v>0</v>
      </c>
      <c r="BK34" s="158" t="n">
        <f aca="false">BK33*Assumption!$E$159</f>
        <v>0</v>
      </c>
      <c r="BL34" s="158" t="n">
        <f aca="false">BL33*Assumption!$E$159</f>
        <v>0</v>
      </c>
      <c r="BM34" s="158" t="n">
        <f aca="false">BM33*Assumption!$E$159</f>
        <v>124.2852</v>
      </c>
      <c r="BN34" s="158" t="n">
        <f aca="false">BN33*Assumption!$E$159</f>
        <v>120.276</v>
      </c>
      <c r="BO34" s="158" t="n">
        <f aca="false">BO33*Assumption!$E$159</f>
        <v>124.2852</v>
      </c>
      <c r="BP34" s="158" t="n">
        <f aca="false">BP33*Assumption!$E$159</f>
        <v>120.276</v>
      </c>
      <c r="BQ34" s="158" t="n">
        <f aca="false">BQ33*Assumption!$E$159</f>
        <v>124.2852</v>
      </c>
      <c r="BR34" s="158" t="n">
        <f aca="false">BR33*Assumption!$E$159</f>
        <v>124.2852</v>
      </c>
      <c r="BS34" s="158" t="n">
        <f aca="false">BS33*Assumption!$E$159</f>
        <v>120.276</v>
      </c>
      <c r="BT34" s="158" t="n">
        <f aca="false">BT33*Assumption!$E$159</f>
        <v>124.2852</v>
      </c>
      <c r="BU34" s="158" t="n">
        <f aca="false">BU33*Assumption!$E$159</f>
        <v>120.276</v>
      </c>
      <c r="BV34" s="158" t="n">
        <f aca="false">BV33*Assumption!$E$159</f>
        <v>124.2852</v>
      </c>
      <c r="BW34" s="158" t="n">
        <f aca="false">BW33*Assumption!$E$159</f>
        <v>124.2852</v>
      </c>
      <c r="BX34" s="158" t="n">
        <f aca="false">BX33*Assumption!$E$159</f>
        <v>116.2668</v>
      </c>
      <c r="BY34" s="158" t="n">
        <f aca="false">BY33*Assumption!$E$159</f>
        <v>146.27412</v>
      </c>
      <c r="BZ34" s="158" t="n">
        <f aca="false">BZ33*Assumption!$E$159</f>
        <v>141.5556</v>
      </c>
      <c r="CA34" s="158" t="n">
        <f aca="false">CA33*Assumption!$E$159</f>
        <v>146.27412</v>
      </c>
      <c r="CB34" s="158" t="n">
        <f aca="false">CB33*Assumption!$E$159</f>
        <v>141.5556</v>
      </c>
      <c r="CC34" s="158" t="n">
        <f aca="false">CC33*Assumption!$E$159</f>
        <v>146.27412</v>
      </c>
      <c r="CD34" s="158" t="n">
        <f aca="false">CD33*Assumption!$E$159</f>
        <v>146.27412</v>
      </c>
      <c r="CE34" s="158" t="n">
        <f aca="false">CE33*Assumption!$E$159</f>
        <v>141.5556</v>
      </c>
      <c r="CF34" s="158" t="n">
        <f aca="false">CF33*Assumption!$E$159</f>
        <v>146.27412</v>
      </c>
      <c r="CG34" s="158" t="n">
        <f aca="false">CG33*Assumption!$E$159</f>
        <v>141.5556</v>
      </c>
      <c r="CH34" s="158" t="n">
        <f aca="false">CH33*Assumption!$E$159</f>
        <v>146.27412</v>
      </c>
      <c r="CI34" s="158" t="n">
        <f aca="false">CI33*Assumption!$E$159</f>
        <v>146.27412</v>
      </c>
      <c r="CJ34" s="158" t="n">
        <f aca="false">CJ33*Assumption!$E$159</f>
        <v>132.11856</v>
      </c>
      <c r="CK34" s="158" t="n">
        <f aca="false">CK33*Assumption!$E$159</f>
        <v>149.1996024</v>
      </c>
      <c r="CL34" s="158" t="n">
        <f aca="false">CL33*Assumption!$E$159</f>
        <v>144.386712</v>
      </c>
      <c r="CM34" s="158" t="n">
        <f aca="false">CM33*Assumption!$E$159</f>
        <v>149.1996024</v>
      </c>
      <c r="CN34" s="158" t="n">
        <f aca="false">CN33*Assumption!$E$159</f>
        <v>144.386712</v>
      </c>
      <c r="CO34" s="158" t="n">
        <f aca="false">CO33*Assumption!$E$159</f>
        <v>149.1996024</v>
      </c>
      <c r="CP34" s="158" t="n">
        <f aca="false">CP33*Assumption!$E$159</f>
        <v>149.1996024</v>
      </c>
      <c r="CQ34" s="158" t="n">
        <f aca="false">CQ33*Assumption!$E$159</f>
        <v>144.386712</v>
      </c>
      <c r="CR34" s="158" t="n">
        <f aca="false">CR33*Assumption!$E$159</f>
        <v>149.1996024</v>
      </c>
      <c r="CS34" s="158" t="n">
        <f aca="false">CS33*Assumption!$E$159</f>
        <v>144.386712</v>
      </c>
      <c r="CT34" s="158" t="n">
        <f aca="false">CT33*Assumption!$E$159</f>
        <v>149.1996024</v>
      </c>
      <c r="CU34" s="158" t="n">
        <f aca="false">CU33*Assumption!$E$159</f>
        <v>149.1996024</v>
      </c>
      <c r="CV34" s="158" t="n">
        <f aca="false">CV33*Assumption!$E$159</f>
        <v>134.7609312</v>
      </c>
      <c r="CW34" s="158" t="n">
        <f aca="false">CW33*Assumption!$E$159</f>
        <v>152.183594448</v>
      </c>
      <c r="CX34" s="158" t="n">
        <f aca="false">CX33*Assumption!$E$159</f>
        <v>147.27444624</v>
      </c>
      <c r="CY34" s="158" t="n">
        <f aca="false">CY33*Assumption!$E$159</f>
        <v>152.183594448</v>
      </c>
      <c r="CZ34" s="158" t="n">
        <f aca="false">CZ33*Assumption!$E$159</f>
        <v>147.27444624</v>
      </c>
      <c r="DA34" s="158" t="n">
        <f aca="false">DA33*Assumption!$E$159</f>
        <v>152.183594448</v>
      </c>
      <c r="DB34" s="158" t="n">
        <f aca="false">DB33*Assumption!$E$159</f>
        <v>152.183594448</v>
      </c>
      <c r="DC34" s="158" t="n">
        <f aca="false">DC33*Assumption!$E$159</f>
        <v>147.27444624</v>
      </c>
      <c r="DD34" s="158" t="n">
        <f aca="false">DD33*Assumption!$E$159</f>
        <v>152.183594448</v>
      </c>
      <c r="DE34" s="158" t="n">
        <f aca="false">DE33*Assumption!$E$159</f>
        <v>147.27444624</v>
      </c>
      <c r="DF34" s="158" t="n">
        <f aca="false">DF33*Assumption!$E$159</f>
        <v>152.183594448</v>
      </c>
      <c r="DG34" s="158" t="n">
        <f aca="false">DG33*Assumption!$E$159</f>
        <v>152.183594448</v>
      </c>
      <c r="DH34" s="158" t="n">
        <f aca="false">DH33*Assumption!$E$159</f>
        <v>137.456149824</v>
      </c>
      <c r="DI34" s="158" t="n">
        <f aca="false">DI33*Assumption!$E$159</f>
        <v>155.22726633696</v>
      </c>
      <c r="DJ34" s="158" t="n">
        <f aca="false">DJ33*Assumption!$E$159</f>
        <v>150.2199351648</v>
      </c>
      <c r="DK34" s="158" t="n">
        <f aca="false">DK33*Assumption!$E$159</f>
        <v>155.22726633696</v>
      </c>
      <c r="DL34" s="158" t="n">
        <f aca="false">DL33*Assumption!$E$159</f>
        <v>150.2199351648</v>
      </c>
      <c r="DM34" s="158" t="n">
        <f aca="false">DM33*Assumption!$E$159</f>
        <v>155.22726633696</v>
      </c>
      <c r="DN34" s="158" t="n">
        <f aca="false">DN33*Assumption!$E$159</f>
        <v>155.22726633696</v>
      </c>
      <c r="DO34" s="158" t="n">
        <f aca="false">DO33*Assumption!$E$159</f>
        <v>150.2199351648</v>
      </c>
      <c r="DP34" s="158" t="n">
        <f aca="false">DP33*Assumption!$E$159</f>
        <v>155.22726633696</v>
      </c>
      <c r="DQ34" s="158" t="n">
        <f aca="false">DQ33*Assumption!$E$159</f>
        <v>150.2199351648</v>
      </c>
      <c r="DR34" s="158" t="n">
        <f aca="false">DR33*Assumption!$E$159</f>
        <v>155.22726633696</v>
      </c>
      <c r="DS34" s="158" t="n">
        <f aca="false">DS33*Assumption!$E$159</f>
        <v>155.22726633696</v>
      </c>
      <c r="DT34" s="158" t="n">
        <f aca="false">DT33*Assumption!$E$159</f>
        <v>145.21260399264</v>
      </c>
      <c r="DU34" s="158" t="n">
        <f aca="false">DU33*Assumption!$E$159</f>
        <v>0</v>
      </c>
      <c r="DV34" s="158" t="n">
        <f aca="false">DV33*Assumption!$E$159</f>
        <v>0</v>
      </c>
      <c r="DW34" s="158" t="n">
        <f aca="false">DW33*Assumption!$E$159</f>
        <v>0</v>
      </c>
      <c r="DX34" s="158" t="n">
        <f aca="false">DX33*Assumption!$E$159</f>
        <v>0</v>
      </c>
      <c r="DY34" s="158" t="n">
        <f aca="false">DY33*Assumption!$E$159</f>
        <v>0</v>
      </c>
      <c r="DZ34" s="158" t="n">
        <f aca="false">DZ33*Assumption!$E$159</f>
        <v>0</v>
      </c>
      <c r="EA34" s="158" t="n">
        <f aca="false">EA33*Assumption!$E$159</f>
        <v>0</v>
      </c>
      <c r="EB34" s="158" t="n">
        <f aca="false">EB33*Assumption!$E$159</f>
        <v>0</v>
      </c>
      <c r="EC34" s="158" t="n">
        <f aca="false">EC33*Assumption!$E$159</f>
        <v>0</v>
      </c>
      <c r="ED34" s="158" t="n">
        <f aca="false">ED33*Assumption!$E$159</f>
        <v>0</v>
      </c>
      <c r="EE34" s="158" t="n">
        <f aca="false">EE33*Assumption!$E$159</f>
        <v>0</v>
      </c>
      <c r="EF34" s="158" t="n">
        <f aca="false">EF33*Assumption!$E$159</f>
        <v>0</v>
      </c>
    </row>
    <row r="35" customFormat="false" ht="15" hidden="false" customHeight="false" outlineLevel="0" collapsed="false">
      <c r="A35" s="35" t="s">
        <v>501</v>
      </c>
      <c r="B35" s="241" t="s">
        <v>116</v>
      </c>
      <c r="C35" s="242" t="n">
        <f aca="false">SUM(E35:EF35)</f>
        <v>84940.5064605628</v>
      </c>
      <c r="E35" s="158" t="n">
        <f aca="false">(E14=1)*Assumption!$E$169*Assumption!$E$170/1000*(1+Assumption!$E$172)^INT((E15-1)/Assumption!$E$173)*(1-CHOOSE(MIN(MAX(E16,1),3),Assumption!$E$175,Assumption!$E$176,Assumption!$E$177))</f>
        <v>0</v>
      </c>
      <c r="F35" s="158" t="n">
        <f aca="false">(F14=1)*Assumption!$E$169*Assumption!$E$170/1000*(1+Assumption!$E$172)^INT((F15-1)/Assumption!$E$173)*(1-CHOOSE(MIN(MAX(F16,1),3),Assumption!$E$175,Assumption!$E$176,Assumption!$E$177))</f>
        <v>0</v>
      </c>
      <c r="G35" s="158" t="n">
        <f aca="false">(G14=1)*Assumption!$E$169*Assumption!$E$170/1000*(1+Assumption!$E$172)^INT((G15-1)/Assumption!$E$173)*(1-CHOOSE(MIN(MAX(G16,1),3),Assumption!$E$175,Assumption!$E$176,Assumption!$E$177))</f>
        <v>0</v>
      </c>
      <c r="H35" s="158" t="n">
        <f aca="false">(H14=1)*Assumption!$E$169*Assumption!$E$170/1000*(1+Assumption!$E$172)^INT((H15-1)/Assumption!$E$173)*(1-CHOOSE(MIN(MAX(H16,1),3),Assumption!$E$175,Assumption!$E$176,Assumption!$E$177))</f>
        <v>0</v>
      </c>
      <c r="I35" s="158" t="n">
        <f aca="false">(I14=1)*Assumption!$E$169*Assumption!$E$170/1000*(1+Assumption!$E$172)^INT((I15-1)/Assumption!$E$173)*(1-CHOOSE(MIN(MAX(I16,1),3),Assumption!$E$175,Assumption!$E$176,Assumption!$E$177))</f>
        <v>0</v>
      </c>
      <c r="J35" s="158" t="n">
        <f aca="false">(J14=1)*Assumption!$E$169*Assumption!$E$170/1000*(1+Assumption!$E$172)^INT((J15-1)/Assumption!$E$173)*(1-CHOOSE(MIN(MAX(J16,1),3),Assumption!$E$175,Assumption!$E$176,Assumption!$E$177))</f>
        <v>0</v>
      </c>
      <c r="K35" s="158" t="n">
        <f aca="false">(K14=1)*Assumption!$E$169*Assumption!$E$170/1000*(1+Assumption!$E$172)^INT((K15-1)/Assumption!$E$173)*(1-CHOOSE(MIN(MAX(K16,1),3),Assumption!$E$175,Assumption!$E$176,Assumption!$E$177))</f>
        <v>0</v>
      </c>
      <c r="L35" s="158" t="n">
        <f aca="false">(L14=1)*Assumption!$E$169*Assumption!$E$170/1000*(1+Assumption!$E$172)^INT((L15-1)/Assumption!$E$173)*(1-CHOOSE(MIN(MAX(L16,1),3),Assumption!$E$175,Assumption!$E$176,Assumption!$E$177))</f>
        <v>0</v>
      </c>
      <c r="M35" s="158" t="n">
        <f aca="false">(M14=1)*Assumption!$E$169*Assumption!$E$170/1000*(1+Assumption!$E$172)^INT((M15-1)/Assumption!$E$173)*(1-CHOOSE(MIN(MAX(M16,1),3),Assumption!$E$175,Assumption!$E$176,Assumption!$E$177))</f>
        <v>0</v>
      </c>
      <c r="N35" s="158" t="n">
        <f aca="false">(N14=1)*Assumption!$E$169*Assumption!$E$170/1000*(1+Assumption!$E$172)^INT((N15-1)/Assumption!$E$173)*(1-CHOOSE(MIN(MAX(N16,1),3),Assumption!$E$175,Assumption!$E$176,Assumption!$E$177))</f>
        <v>0</v>
      </c>
      <c r="O35" s="158" t="n">
        <f aca="false">(O14=1)*Assumption!$E$169*Assumption!$E$170/1000*(1+Assumption!$E$172)^INT((O15-1)/Assumption!$E$173)*(1-CHOOSE(MIN(MAX(O16,1),3),Assumption!$E$175,Assumption!$E$176,Assumption!$E$177))</f>
        <v>0</v>
      </c>
      <c r="P35" s="158" t="n">
        <f aca="false">(P14=1)*Assumption!$E$169*Assumption!$E$170/1000*(1+Assumption!$E$172)^INT((P15-1)/Assumption!$E$173)*(1-CHOOSE(MIN(MAX(P16,1),3),Assumption!$E$175,Assumption!$E$176,Assumption!$E$177))</f>
        <v>0</v>
      </c>
      <c r="Q35" s="158" t="n">
        <f aca="false">(Q14=1)*Assumption!$E$169*Assumption!$E$170/1000*(1+Assumption!$E$172)^INT((Q15-1)/Assumption!$E$173)*(1-CHOOSE(MIN(MAX(Q16,1),3),Assumption!$E$175,Assumption!$E$176,Assumption!$E$177))</f>
        <v>0</v>
      </c>
      <c r="R35" s="158" t="n">
        <f aca="false">(R14=1)*Assumption!$E$169*Assumption!$E$170/1000*(1+Assumption!$E$172)^INT((R15-1)/Assumption!$E$173)*(1-CHOOSE(MIN(MAX(R16,1),3),Assumption!$E$175,Assumption!$E$176,Assumption!$E$177))</f>
        <v>0</v>
      </c>
      <c r="S35" s="158" t="n">
        <f aca="false">(S14=1)*Assumption!$E$169*Assumption!$E$170/1000*(1+Assumption!$E$172)^INT((S15-1)/Assumption!$E$173)*(1-CHOOSE(MIN(MAX(S16,1),3),Assumption!$E$175,Assumption!$E$176,Assumption!$E$177))</f>
        <v>0</v>
      </c>
      <c r="T35" s="158" t="n">
        <f aca="false">(T14=1)*Assumption!$E$169*Assumption!$E$170/1000*(1+Assumption!$E$172)^INT((T15-1)/Assumption!$E$173)*(1-CHOOSE(MIN(MAX(T16,1),3),Assumption!$E$175,Assumption!$E$176,Assumption!$E$177))</f>
        <v>0</v>
      </c>
      <c r="U35" s="158" t="n">
        <f aca="false">(U14=1)*Assumption!$E$169*Assumption!$E$170/1000*(1+Assumption!$E$172)^INT((U15-1)/Assumption!$E$173)*(1-CHOOSE(MIN(MAX(U16,1),3),Assumption!$E$175,Assumption!$E$176,Assumption!$E$177))</f>
        <v>0</v>
      </c>
      <c r="V35" s="158" t="n">
        <f aca="false">(V14=1)*Assumption!$E$169*Assumption!$E$170/1000*(1+Assumption!$E$172)^INT((V15-1)/Assumption!$E$173)*(1-CHOOSE(MIN(MAX(V16,1),3),Assumption!$E$175,Assumption!$E$176,Assumption!$E$177))</f>
        <v>0</v>
      </c>
      <c r="W35" s="158" t="n">
        <f aca="false">(W14=1)*Assumption!$E$169*Assumption!$E$170/1000*(1+Assumption!$E$172)^INT((W15-1)/Assumption!$E$173)*(1-CHOOSE(MIN(MAX(W16,1),3),Assumption!$E$175,Assumption!$E$176,Assumption!$E$177))</f>
        <v>0</v>
      </c>
      <c r="X35" s="158" t="n">
        <f aca="false">(X14=1)*Assumption!$E$169*Assumption!$E$170/1000*(1+Assumption!$E$172)^INT((X15-1)/Assumption!$E$173)*(1-CHOOSE(MIN(MAX(X16,1),3),Assumption!$E$175,Assumption!$E$176,Assumption!$E$177))</f>
        <v>0</v>
      </c>
      <c r="Y35" s="158" t="n">
        <f aca="false">(Y14=1)*Assumption!$E$169*Assumption!$E$170/1000*(1+Assumption!$E$172)^INT((Y15-1)/Assumption!$E$173)*(1-CHOOSE(MIN(MAX(Y16,1),3),Assumption!$E$175,Assumption!$E$176,Assumption!$E$177))</f>
        <v>0</v>
      </c>
      <c r="Z35" s="158" t="n">
        <f aca="false">(Z14=1)*Assumption!$E$169*Assumption!$E$170/1000*(1+Assumption!$E$172)^INT((Z15-1)/Assumption!$E$173)*(1-CHOOSE(MIN(MAX(Z16,1),3),Assumption!$E$175,Assumption!$E$176,Assumption!$E$177))</f>
        <v>0</v>
      </c>
      <c r="AA35" s="158" t="n">
        <f aca="false">(AA14=1)*Assumption!$E$169*Assumption!$E$170/1000*(1+Assumption!$E$172)^INT((AA15-1)/Assumption!$E$173)*(1-CHOOSE(MIN(MAX(AA16,1),3),Assumption!$E$175,Assumption!$E$176,Assumption!$E$177))</f>
        <v>0</v>
      </c>
      <c r="AB35" s="158" t="n">
        <f aca="false">(AB14=1)*Assumption!$E$169*Assumption!$E$170/1000*(1+Assumption!$E$172)^INT((AB15-1)/Assumption!$E$173)*(1-CHOOSE(MIN(MAX(AB16,1),3),Assumption!$E$175,Assumption!$E$176,Assumption!$E$177))</f>
        <v>0</v>
      </c>
      <c r="AC35" s="158" t="n">
        <f aca="false">(AC14=1)*Assumption!$E$169*Assumption!$E$170/1000*(1+Assumption!$E$172)^INT((AC15-1)/Assumption!$E$173)*(1-CHOOSE(MIN(MAX(AC16,1),3),Assumption!$E$175,Assumption!$E$176,Assumption!$E$177))</f>
        <v>0</v>
      </c>
      <c r="AD35" s="158" t="n">
        <f aca="false">(AD14=1)*Assumption!$E$169*Assumption!$E$170/1000*(1+Assumption!$E$172)^INT((AD15-1)/Assumption!$E$173)*(1-CHOOSE(MIN(MAX(AD16,1),3),Assumption!$E$175,Assumption!$E$176,Assumption!$E$177))</f>
        <v>0</v>
      </c>
      <c r="AE35" s="158" t="n">
        <f aca="false">(AE14=1)*Assumption!$E$169*Assumption!$E$170/1000*(1+Assumption!$E$172)^INT((AE15-1)/Assumption!$E$173)*(1-CHOOSE(MIN(MAX(AE16,1),3),Assumption!$E$175,Assumption!$E$176,Assumption!$E$177))</f>
        <v>0</v>
      </c>
      <c r="AF35" s="158" t="n">
        <f aca="false">(AF14=1)*Assumption!$E$169*Assumption!$E$170/1000*(1+Assumption!$E$172)^INT((AF15-1)/Assumption!$E$173)*(1-CHOOSE(MIN(MAX(AF16,1),3),Assumption!$E$175,Assumption!$E$176,Assumption!$E$177))</f>
        <v>0</v>
      </c>
      <c r="AG35" s="158" t="n">
        <f aca="false">(AG14=1)*Assumption!$E$169*Assumption!$E$170/1000*(1+Assumption!$E$172)^INT((AG15-1)/Assumption!$E$173)*(1-CHOOSE(MIN(MAX(AG16,1),3),Assumption!$E$175,Assumption!$E$176,Assumption!$E$177))</f>
        <v>0</v>
      </c>
      <c r="AH35" s="158" t="n">
        <f aca="false">(AH14=1)*Assumption!$E$169*Assumption!$E$170/1000*(1+Assumption!$E$172)^INT((AH15-1)/Assumption!$E$173)*(1-CHOOSE(MIN(MAX(AH16,1),3),Assumption!$E$175,Assumption!$E$176,Assumption!$E$177))</f>
        <v>0</v>
      </c>
      <c r="AI35" s="158" t="n">
        <f aca="false">(AI14=1)*Assumption!$E$169*Assumption!$E$170/1000*(1+Assumption!$E$172)^INT((AI15-1)/Assumption!$E$173)*(1-CHOOSE(MIN(MAX(AI16,1),3),Assumption!$E$175,Assumption!$E$176,Assumption!$E$177))</f>
        <v>0</v>
      </c>
      <c r="AJ35" s="158" t="n">
        <f aca="false">(AJ14=1)*Assumption!$E$169*Assumption!$E$170/1000*(1+Assumption!$E$172)^INT((AJ15-1)/Assumption!$E$173)*(1-CHOOSE(MIN(MAX(AJ16,1),3),Assumption!$E$175,Assumption!$E$176,Assumption!$E$177))</f>
        <v>0</v>
      </c>
      <c r="AK35" s="158" t="n">
        <f aca="false">(AK14=1)*Assumption!$E$169*Assumption!$E$170/1000*(1+Assumption!$E$172)^INT((AK15-1)/Assumption!$E$173)*(1-CHOOSE(MIN(MAX(AK16,1),3),Assumption!$E$175,Assumption!$E$176,Assumption!$E$177))</f>
        <v>0</v>
      </c>
      <c r="AL35" s="158" t="n">
        <f aca="false">(AL14=1)*Assumption!$E$169*Assumption!$E$170/1000*(1+Assumption!$E$172)^INT((AL15-1)/Assumption!$E$173)*(1-CHOOSE(MIN(MAX(AL16,1),3),Assumption!$E$175,Assumption!$E$176,Assumption!$E$177))</f>
        <v>0</v>
      </c>
      <c r="AM35" s="158" t="n">
        <f aca="false">(AM14=1)*Assumption!$E$169*Assumption!$E$170/1000*(1+Assumption!$E$172)^INT((AM15-1)/Assumption!$E$173)*(1-CHOOSE(MIN(MAX(AM16,1),3),Assumption!$E$175,Assumption!$E$176,Assumption!$E$177))</f>
        <v>0</v>
      </c>
      <c r="AN35" s="158" t="n">
        <f aca="false">(AN14=1)*Assumption!$E$169*Assumption!$E$170/1000*(1+Assumption!$E$172)^INT((AN15-1)/Assumption!$E$173)*(1-CHOOSE(MIN(MAX(AN16,1),3),Assumption!$E$175,Assumption!$E$176,Assumption!$E$177))</f>
        <v>0</v>
      </c>
      <c r="AO35" s="158" t="n">
        <f aca="false">(AO14=1)*Assumption!$E$169*Assumption!$E$170/1000*(1+Assumption!$E$172)^INT((AO15-1)/Assumption!$E$173)*(1-CHOOSE(MIN(MAX(AO16,1),3),Assumption!$E$175,Assumption!$E$176,Assumption!$E$177))</f>
        <v>0</v>
      </c>
      <c r="AP35" s="158" t="n">
        <f aca="false">(AP14=1)*Assumption!$E$169*Assumption!$E$170/1000*(1+Assumption!$E$172)^INT((AP15-1)/Assumption!$E$173)*(1-CHOOSE(MIN(MAX(AP16,1),3),Assumption!$E$175,Assumption!$E$176,Assumption!$E$177))</f>
        <v>0</v>
      </c>
      <c r="AQ35" s="158" t="n">
        <f aca="false">(AQ14=1)*Assumption!$E$169*Assumption!$E$170/1000*(1+Assumption!$E$172)^INT((AQ15-1)/Assumption!$E$173)*(1-CHOOSE(MIN(MAX(AQ16,1),3),Assumption!$E$175,Assumption!$E$176,Assumption!$E$177))</f>
        <v>0</v>
      </c>
      <c r="AR35" s="158" t="n">
        <f aca="false">(AR14=1)*Assumption!$E$169*Assumption!$E$170/1000*(1+Assumption!$E$172)^INT((AR15-1)/Assumption!$E$173)*(1-CHOOSE(MIN(MAX(AR16,1),3),Assumption!$E$175,Assumption!$E$176,Assumption!$E$177))</f>
        <v>0</v>
      </c>
      <c r="AS35" s="158" t="n">
        <f aca="false">(AS14=1)*Assumption!$E$169*Assumption!$E$170/1000*(1+Assumption!$E$172)^INT((AS15-1)/Assumption!$E$173)*(1-CHOOSE(MIN(MAX(AS16,1),3),Assumption!$E$175,Assumption!$E$176,Assumption!$E$177))</f>
        <v>0</v>
      </c>
      <c r="AT35" s="158" t="n">
        <f aca="false">(AT14=1)*Assumption!$E$169*Assumption!$E$170/1000*(1+Assumption!$E$172)^INT((AT15-1)/Assumption!$E$173)*(1-CHOOSE(MIN(MAX(AT16,1),3),Assumption!$E$175,Assumption!$E$176,Assumption!$E$177))</f>
        <v>0</v>
      </c>
      <c r="AU35" s="158" t="n">
        <f aca="false">(AU14=1)*Assumption!$E$169*Assumption!$E$170/1000*(1+Assumption!$E$172)^INT((AU15-1)/Assumption!$E$173)*(1-CHOOSE(MIN(MAX(AU16,1),3),Assumption!$E$175,Assumption!$E$176,Assumption!$E$177))</f>
        <v>0</v>
      </c>
      <c r="AV35" s="158" t="n">
        <f aca="false">(AV14=1)*Assumption!$E$169*Assumption!$E$170/1000*(1+Assumption!$E$172)^INT((AV15-1)/Assumption!$E$173)*(1-CHOOSE(MIN(MAX(AV16,1),3),Assumption!$E$175,Assumption!$E$176,Assumption!$E$177))</f>
        <v>0</v>
      </c>
      <c r="AW35" s="158" t="n">
        <f aca="false">(AW14=1)*Assumption!$E$169*Assumption!$E$170/1000*(1+Assumption!$E$172)^INT((AW15-1)/Assumption!$E$173)*(1-CHOOSE(MIN(MAX(AW16,1),3),Assumption!$E$175,Assumption!$E$176,Assumption!$E$177))</f>
        <v>0</v>
      </c>
      <c r="AX35" s="158" t="n">
        <f aca="false">(AX14=1)*Assumption!$E$169*Assumption!$E$170/1000*(1+Assumption!$E$172)^INT((AX15-1)/Assumption!$E$173)*(1-CHOOSE(MIN(MAX(AX16,1),3),Assumption!$E$175,Assumption!$E$176,Assumption!$E$177))</f>
        <v>0</v>
      </c>
      <c r="AY35" s="158" t="n">
        <f aca="false">(AY14=1)*Assumption!$E$169*Assumption!$E$170/1000*(1+Assumption!$E$172)^INT((AY15-1)/Assumption!$E$173)*(1-CHOOSE(MIN(MAX(AY16,1),3),Assumption!$E$175,Assumption!$E$176,Assumption!$E$177))</f>
        <v>0</v>
      </c>
      <c r="AZ35" s="158" t="n">
        <f aca="false">(AZ14=1)*Assumption!$E$169*Assumption!$E$170/1000*(1+Assumption!$E$172)^INT((AZ15-1)/Assumption!$E$173)*(1-CHOOSE(MIN(MAX(AZ16,1),3),Assumption!$E$175,Assumption!$E$176,Assumption!$E$177))</f>
        <v>0</v>
      </c>
      <c r="BA35" s="158" t="n">
        <f aca="false">(BA14=1)*Assumption!$E$169*Assumption!$E$170/1000*(1+Assumption!$E$172)^INT((BA15-1)/Assumption!$E$173)*(1-CHOOSE(MIN(MAX(BA16,1),3),Assumption!$E$175,Assumption!$E$176,Assumption!$E$177))</f>
        <v>0</v>
      </c>
      <c r="BB35" s="158" t="n">
        <f aca="false">(BB14=1)*Assumption!$E$169*Assumption!$E$170/1000*(1+Assumption!$E$172)^INT((BB15-1)/Assumption!$E$173)*(1-CHOOSE(MIN(MAX(BB16,1),3),Assumption!$E$175,Assumption!$E$176,Assumption!$E$177))</f>
        <v>0</v>
      </c>
      <c r="BC35" s="158" t="n">
        <f aca="false">(BC14=1)*Assumption!$E$169*Assumption!$E$170/1000*(1+Assumption!$E$172)^INT((BC15-1)/Assumption!$E$173)*(1-CHOOSE(MIN(MAX(BC16,1),3),Assumption!$E$175,Assumption!$E$176,Assumption!$E$177))</f>
        <v>0</v>
      </c>
      <c r="BD35" s="158" t="n">
        <f aca="false">(BD14=1)*Assumption!$E$169*Assumption!$E$170/1000*(1+Assumption!$E$172)^INT((BD15-1)/Assumption!$E$173)*(1-CHOOSE(MIN(MAX(BD16,1),3),Assumption!$E$175,Assumption!$E$176,Assumption!$E$177))</f>
        <v>0</v>
      </c>
      <c r="BE35" s="158" t="n">
        <f aca="false">(BE14=1)*Assumption!$E$169*Assumption!$E$170/1000*(1+Assumption!$E$172)^INT((BE15-1)/Assumption!$E$173)*(1-CHOOSE(MIN(MAX(BE16,1),3),Assumption!$E$175,Assumption!$E$176,Assumption!$E$177))</f>
        <v>0</v>
      </c>
      <c r="BF35" s="158" t="n">
        <f aca="false">(BF14=1)*Assumption!$E$169*Assumption!$E$170/1000*(1+Assumption!$E$172)^INT((BF15-1)/Assumption!$E$173)*(1-CHOOSE(MIN(MAX(BF16,1),3),Assumption!$E$175,Assumption!$E$176,Assumption!$E$177))</f>
        <v>0</v>
      </c>
      <c r="BG35" s="158" t="n">
        <f aca="false">(BG14=1)*Assumption!$E$169*Assumption!$E$170/1000*(1+Assumption!$E$172)^INT((BG15-1)/Assumption!$E$173)*(1-CHOOSE(MIN(MAX(BG16,1),3),Assumption!$E$175,Assumption!$E$176,Assumption!$E$177))</f>
        <v>0</v>
      </c>
      <c r="BH35" s="158" t="n">
        <f aca="false">(BH14=1)*Assumption!$E$169*Assumption!$E$170/1000*(1+Assumption!$E$172)^INT((BH15-1)/Assumption!$E$173)*(1-CHOOSE(MIN(MAX(BH16,1),3),Assumption!$E$175,Assumption!$E$176,Assumption!$E$177))</f>
        <v>0</v>
      </c>
      <c r="BI35" s="158" t="n">
        <f aca="false">(BI14=1)*Assumption!$E$169*Assumption!$E$170/1000*(1+Assumption!$E$172)^INT((BI15-1)/Assumption!$E$173)*(1-CHOOSE(MIN(MAX(BI16,1),3),Assumption!$E$175,Assumption!$E$176,Assumption!$E$177))</f>
        <v>0</v>
      </c>
      <c r="BJ35" s="158" t="n">
        <f aca="false">(BJ14=1)*Assumption!$E$169*Assumption!$E$170/1000*(1+Assumption!$E$172)^INT((BJ15-1)/Assumption!$E$173)*(1-CHOOSE(MIN(MAX(BJ16,1),3),Assumption!$E$175,Assumption!$E$176,Assumption!$E$177))</f>
        <v>0</v>
      </c>
      <c r="BK35" s="158" t="n">
        <f aca="false">(BK14=1)*Assumption!$E$169*Assumption!$E$170/1000*(1+Assumption!$E$172)^INT((BK15-1)/Assumption!$E$173)*(1-CHOOSE(MIN(MAX(BK16,1),3),Assumption!$E$175,Assumption!$E$176,Assumption!$E$177))</f>
        <v>0</v>
      </c>
      <c r="BL35" s="158" t="n">
        <f aca="false">(BL14=1)*Assumption!$E$169*Assumption!$E$170/1000*(1+Assumption!$E$172)^INT((BL15-1)/Assumption!$E$173)*(1-CHOOSE(MIN(MAX(BL16,1),3),Assumption!$E$175,Assumption!$E$176,Assumption!$E$177))</f>
        <v>0</v>
      </c>
      <c r="BM35" s="158" t="n">
        <f aca="false">(BM14=1)*Assumption!$E$169*Assumption!$E$170/1000*(1+Assumption!$E$172)^INT((BM15-1)/Assumption!$E$173)*(1-CHOOSE(MIN(MAX(BM16,1),3),Assumption!$E$175,Assumption!$E$176,Assumption!$E$177))</f>
        <v>1150.96488</v>
      </c>
      <c r="BN35" s="158" t="n">
        <f aca="false">(BN14=1)*Assumption!$E$169*Assumption!$E$170/1000*(1+Assumption!$E$172)^INT((BN15-1)/Assumption!$E$173)*(1-CHOOSE(MIN(MAX(BN16,1),3),Assumption!$E$175,Assumption!$E$176,Assumption!$E$177))</f>
        <v>1150.96488</v>
      </c>
      <c r="BO35" s="158" t="n">
        <f aca="false">(BO14=1)*Assumption!$E$169*Assumption!$E$170/1000*(1+Assumption!$E$172)^INT((BO15-1)/Assumption!$E$173)*(1-CHOOSE(MIN(MAX(BO16,1),3),Assumption!$E$175,Assumption!$E$176,Assumption!$E$177))</f>
        <v>1150.96488</v>
      </c>
      <c r="BP35" s="158" t="n">
        <f aca="false">(BP14=1)*Assumption!$E$169*Assumption!$E$170/1000*(1+Assumption!$E$172)^INT((BP15-1)/Assumption!$E$173)*(1-CHOOSE(MIN(MAX(BP16,1),3),Assumption!$E$175,Assumption!$E$176,Assumption!$E$177))</f>
        <v>1150.96488</v>
      </c>
      <c r="BQ35" s="158" t="n">
        <f aca="false">(BQ14=1)*Assumption!$E$169*Assumption!$E$170/1000*(1+Assumption!$E$172)^INT((BQ15-1)/Assumption!$E$173)*(1-CHOOSE(MIN(MAX(BQ16,1),3),Assumption!$E$175,Assumption!$E$176,Assumption!$E$177))</f>
        <v>1150.96488</v>
      </c>
      <c r="BR35" s="158" t="n">
        <f aca="false">(BR14=1)*Assumption!$E$169*Assumption!$E$170/1000*(1+Assumption!$E$172)^INT((BR15-1)/Assumption!$E$173)*(1-CHOOSE(MIN(MAX(BR16,1),3),Assumption!$E$175,Assumption!$E$176,Assumption!$E$177))</f>
        <v>1150.96488</v>
      </c>
      <c r="BS35" s="158" t="n">
        <f aca="false">(BS14=1)*Assumption!$E$169*Assumption!$E$170/1000*(1+Assumption!$E$172)^INT((BS15-1)/Assumption!$E$173)*(1-CHOOSE(MIN(MAX(BS16,1),3),Assumption!$E$175,Assumption!$E$176,Assumption!$E$177))</f>
        <v>1150.96488</v>
      </c>
      <c r="BT35" s="158" t="n">
        <f aca="false">(BT14=1)*Assumption!$E$169*Assumption!$E$170/1000*(1+Assumption!$E$172)^INT((BT15-1)/Assumption!$E$173)*(1-CHOOSE(MIN(MAX(BT16,1),3),Assumption!$E$175,Assumption!$E$176,Assumption!$E$177))</f>
        <v>1150.96488</v>
      </c>
      <c r="BU35" s="158" t="n">
        <f aca="false">(BU14=1)*Assumption!$E$169*Assumption!$E$170/1000*(1+Assumption!$E$172)^INT((BU15-1)/Assumption!$E$173)*(1-CHOOSE(MIN(MAX(BU16,1),3),Assumption!$E$175,Assumption!$E$176,Assumption!$E$177))</f>
        <v>1150.96488</v>
      </c>
      <c r="BV35" s="158" t="n">
        <f aca="false">(BV14=1)*Assumption!$E$169*Assumption!$E$170/1000*(1+Assumption!$E$172)^INT((BV15-1)/Assumption!$E$173)*(1-CHOOSE(MIN(MAX(BV16,1),3),Assumption!$E$175,Assumption!$E$176,Assumption!$E$177))</f>
        <v>1150.96488</v>
      </c>
      <c r="BW35" s="158" t="n">
        <f aca="false">(BW14=1)*Assumption!$E$169*Assumption!$E$170/1000*(1+Assumption!$E$172)^INT((BW15-1)/Assumption!$E$173)*(1-CHOOSE(MIN(MAX(BW16,1),3),Assumption!$E$175,Assumption!$E$176,Assumption!$E$177))</f>
        <v>1150.96488</v>
      </c>
      <c r="BX35" s="158" t="n">
        <f aca="false">(BX14=1)*Assumption!$E$169*Assumption!$E$170/1000*(1+Assumption!$E$172)^INT((BX15-1)/Assumption!$E$173)*(1-CHOOSE(MIN(MAX(BX16,1),3),Assumption!$E$175,Assumption!$E$176,Assumption!$E$177))</f>
        <v>1150.96488</v>
      </c>
      <c r="BY35" s="158" t="n">
        <f aca="false">(BY14=1)*Assumption!$E$169*Assumption!$E$170/1000*(1+Assumption!$E$172)^INT((BY15-1)/Assumption!$E$173)*(1-CHOOSE(MIN(MAX(BY16,1),3),Assumption!$E$175,Assumption!$E$176,Assumption!$E$177))</f>
        <v>1438.13061756</v>
      </c>
      <c r="BZ35" s="158" t="n">
        <f aca="false">(BZ14=1)*Assumption!$E$169*Assumption!$E$170/1000*(1+Assumption!$E$172)^INT((BZ15-1)/Assumption!$E$173)*(1-CHOOSE(MIN(MAX(BZ16,1),3),Assumption!$E$175,Assumption!$E$176,Assumption!$E$177))</f>
        <v>1438.13061756</v>
      </c>
      <c r="CA35" s="158" t="n">
        <f aca="false">(CA14=1)*Assumption!$E$169*Assumption!$E$170/1000*(1+Assumption!$E$172)^INT((CA15-1)/Assumption!$E$173)*(1-CHOOSE(MIN(MAX(CA16,1),3),Assumption!$E$175,Assumption!$E$176,Assumption!$E$177))</f>
        <v>1438.13061756</v>
      </c>
      <c r="CB35" s="158" t="n">
        <f aca="false">(CB14=1)*Assumption!$E$169*Assumption!$E$170/1000*(1+Assumption!$E$172)^INT((CB15-1)/Assumption!$E$173)*(1-CHOOSE(MIN(MAX(CB16,1),3),Assumption!$E$175,Assumption!$E$176,Assumption!$E$177))</f>
        <v>1438.13061756</v>
      </c>
      <c r="CC35" s="158" t="n">
        <f aca="false">(CC14=1)*Assumption!$E$169*Assumption!$E$170/1000*(1+Assumption!$E$172)^INT((CC15-1)/Assumption!$E$173)*(1-CHOOSE(MIN(MAX(CC16,1),3),Assumption!$E$175,Assumption!$E$176,Assumption!$E$177))</f>
        <v>1438.13061756</v>
      </c>
      <c r="CD35" s="158" t="n">
        <f aca="false">(CD14=1)*Assumption!$E$169*Assumption!$E$170/1000*(1+Assumption!$E$172)^INT((CD15-1)/Assumption!$E$173)*(1-CHOOSE(MIN(MAX(CD16,1),3),Assumption!$E$175,Assumption!$E$176,Assumption!$E$177))</f>
        <v>1438.13061756</v>
      </c>
      <c r="CE35" s="158" t="n">
        <f aca="false">(CE14=1)*Assumption!$E$169*Assumption!$E$170/1000*(1+Assumption!$E$172)^INT((CE15-1)/Assumption!$E$173)*(1-CHOOSE(MIN(MAX(CE16,1),3),Assumption!$E$175,Assumption!$E$176,Assumption!$E$177))</f>
        <v>1438.13061756</v>
      </c>
      <c r="CF35" s="158" t="n">
        <f aca="false">(CF14=1)*Assumption!$E$169*Assumption!$E$170/1000*(1+Assumption!$E$172)^INT((CF15-1)/Assumption!$E$173)*(1-CHOOSE(MIN(MAX(CF16,1),3),Assumption!$E$175,Assumption!$E$176,Assumption!$E$177))</f>
        <v>1438.13061756</v>
      </c>
      <c r="CG35" s="158" t="n">
        <f aca="false">(CG14=1)*Assumption!$E$169*Assumption!$E$170/1000*(1+Assumption!$E$172)^INT((CG15-1)/Assumption!$E$173)*(1-CHOOSE(MIN(MAX(CG16,1),3),Assumption!$E$175,Assumption!$E$176,Assumption!$E$177))</f>
        <v>1438.13061756</v>
      </c>
      <c r="CH35" s="158" t="n">
        <f aca="false">(CH14=1)*Assumption!$E$169*Assumption!$E$170/1000*(1+Assumption!$E$172)^INT((CH15-1)/Assumption!$E$173)*(1-CHOOSE(MIN(MAX(CH16,1),3),Assumption!$E$175,Assumption!$E$176,Assumption!$E$177))</f>
        <v>1438.13061756</v>
      </c>
      <c r="CI35" s="158" t="n">
        <f aca="false">(CI14=1)*Assumption!$E$169*Assumption!$E$170/1000*(1+Assumption!$E$172)^INT((CI15-1)/Assumption!$E$173)*(1-CHOOSE(MIN(MAX(CI16,1),3),Assumption!$E$175,Assumption!$E$176,Assumption!$E$177))</f>
        <v>1438.13061756</v>
      </c>
      <c r="CJ35" s="158" t="n">
        <f aca="false">(CJ14=1)*Assumption!$E$169*Assumption!$E$170/1000*(1+Assumption!$E$172)^INT((CJ15-1)/Assumption!$E$173)*(1-CHOOSE(MIN(MAX(CJ16,1),3),Assumption!$E$175,Assumption!$E$176,Assumption!$E$177))</f>
        <v>1438.13061756</v>
      </c>
      <c r="CK35" s="158" t="n">
        <f aca="false">(CK14=1)*Assumption!$E$169*Assumption!$E$170/1000*(1+Assumption!$E$172)^INT((CK15-1)/Assumption!$E$173)*(1-CHOOSE(MIN(MAX(CK16,1),3),Assumption!$E$175,Assumption!$E$176,Assumption!$E$177))</f>
        <v>1466.8932299112</v>
      </c>
      <c r="CL35" s="158" t="n">
        <f aca="false">(CL14=1)*Assumption!$E$169*Assumption!$E$170/1000*(1+Assumption!$E$172)^INT((CL15-1)/Assumption!$E$173)*(1-CHOOSE(MIN(MAX(CL16,1),3),Assumption!$E$175,Assumption!$E$176,Assumption!$E$177))</f>
        <v>1466.8932299112</v>
      </c>
      <c r="CM35" s="158" t="n">
        <f aca="false">(CM14=1)*Assumption!$E$169*Assumption!$E$170/1000*(1+Assumption!$E$172)^INT((CM15-1)/Assumption!$E$173)*(1-CHOOSE(MIN(MAX(CM16,1),3),Assumption!$E$175,Assumption!$E$176,Assumption!$E$177))</f>
        <v>1466.8932299112</v>
      </c>
      <c r="CN35" s="158" t="n">
        <f aca="false">(CN14=1)*Assumption!$E$169*Assumption!$E$170/1000*(1+Assumption!$E$172)^INT((CN15-1)/Assumption!$E$173)*(1-CHOOSE(MIN(MAX(CN16,1),3),Assumption!$E$175,Assumption!$E$176,Assumption!$E$177))</f>
        <v>1466.8932299112</v>
      </c>
      <c r="CO35" s="158" t="n">
        <f aca="false">(CO14=1)*Assumption!$E$169*Assumption!$E$170/1000*(1+Assumption!$E$172)^INT((CO15-1)/Assumption!$E$173)*(1-CHOOSE(MIN(MAX(CO16,1),3),Assumption!$E$175,Assumption!$E$176,Assumption!$E$177))</f>
        <v>1466.8932299112</v>
      </c>
      <c r="CP35" s="158" t="n">
        <f aca="false">(CP14=1)*Assumption!$E$169*Assumption!$E$170/1000*(1+Assumption!$E$172)^INT((CP15-1)/Assumption!$E$173)*(1-CHOOSE(MIN(MAX(CP16,1),3),Assumption!$E$175,Assumption!$E$176,Assumption!$E$177))</f>
        <v>1466.8932299112</v>
      </c>
      <c r="CQ35" s="158" t="n">
        <f aca="false">(CQ14=1)*Assumption!$E$169*Assumption!$E$170/1000*(1+Assumption!$E$172)^INT((CQ15-1)/Assumption!$E$173)*(1-CHOOSE(MIN(MAX(CQ16,1),3),Assumption!$E$175,Assumption!$E$176,Assumption!$E$177))</f>
        <v>1466.8932299112</v>
      </c>
      <c r="CR35" s="158" t="n">
        <f aca="false">(CR14=1)*Assumption!$E$169*Assumption!$E$170/1000*(1+Assumption!$E$172)^INT((CR15-1)/Assumption!$E$173)*(1-CHOOSE(MIN(MAX(CR16,1),3),Assumption!$E$175,Assumption!$E$176,Assumption!$E$177))</f>
        <v>1466.8932299112</v>
      </c>
      <c r="CS35" s="158" t="n">
        <f aca="false">(CS14=1)*Assumption!$E$169*Assumption!$E$170/1000*(1+Assumption!$E$172)^INT((CS15-1)/Assumption!$E$173)*(1-CHOOSE(MIN(MAX(CS16,1),3),Assumption!$E$175,Assumption!$E$176,Assumption!$E$177))</f>
        <v>1466.8932299112</v>
      </c>
      <c r="CT35" s="158" t="n">
        <f aca="false">(CT14=1)*Assumption!$E$169*Assumption!$E$170/1000*(1+Assumption!$E$172)^INT((CT15-1)/Assumption!$E$173)*(1-CHOOSE(MIN(MAX(CT16,1),3),Assumption!$E$175,Assumption!$E$176,Assumption!$E$177))</f>
        <v>1466.8932299112</v>
      </c>
      <c r="CU35" s="158" t="n">
        <f aca="false">(CU14=1)*Assumption!$E$169*Assumption!$E$170/1000*(1+Assumption!$E$172)^INT((CU15-1)/Assumption!$E$173)*(1-CHOOSE(MIN(MAX(CU16,1),3),Assumption!$E$175,Assumption!$E$176,Assumption!$E$177))</f>
        <v>1466.8932299112</v>
      </c>
      <c r="CV35" s="158" t="n">
        <f aca="false">(CV14=1)*Assumption!$E$169*Assumption!$E$170/1000*(1+Assumption!$E$172)^INT((CV15-1)/Assumption!$E$173)*(1-CHOOSE(MIN(MAX(CV16,1),3),Assumption!$E$175,Assumption!$E$176,Assumption!$E$177))</f>
        <v>1466.8932299112</v>
      </c>
      <c r="CW35" s="158" t="n">
        <f aca="false">(CW14=1)*Assumption!$E$169*Assumption!$E$170/1000*(1+Assumption!$E$172)^INT((CW15-1)/Assumption!$E$173)*(1-CHOOSE(MIN(MAX(CW16,1),3),Assumption!$E$175,Assumption!$E$176,Assumption!$E$177))</f>
        <v>1496.23109450942</v>
      </c>
      <c r="CX35" s="158" t="n">
        <f aca="false">(CX14=1)*Assumption!$E$169*Assumption!$E$170/1000*(1+Assumption!$E$172)^INT((CX15-1)/Assumption!$E$173)*(1-CHOOSE(MIN(MAX(CX16,1),3),Assumption!$E$175,Assumption!$E$176,Assumption!$E$177))</f>
        <v>1496.23109450942</v>
      </c>
      <c r="CY35" s="158" t="n">
        <f aca="false">(CY14=1)*Assumption!$E$169*Assumption!$E$170/1000*(1+Assumption!$E$172)^INT((CY15-1)/Assumption!$E$173)*(1-CHOOSE(MIN(MAX(CY16,1),3),Assumption!$E$175,Assumption!$E$176,Assumption!$E$177))</f>
        <v>1496.23109450942</v>
      </c>
      <c r="CZ35" s="158" t="n">
        <f aca="false">(CZ14=1)*Assumption!$E$169*Assumption!$E$170/1000*(1+Assumption!$E$172)^INT((CZ15-1)/Assumption!$E$173)*(1-CHOOSE(MIN(MAX(CZ16,1),3),Assumption!$E$175,Assumption!$E$176,Assumption!$E$177))</f>
        <v>1496.23109450942</v>
      </c>
      <c r="DA35" s="158" t="n">
        <f aca="false">(DA14=1)*Assumption!$E$169*Assumption!$E$170/1000*(1+Assumption!$E$172)^INT((DA15-1)/Assumption!$E$173)*(1-CHOOSE(MIN(MAX(DA16,1),3),Assumption!$E$175,Assumption!$E$176,Assumption!$E$177))</f>
        <v>1496.23109450942</v>
      </c>
      <c r="DB35" s="158" t="n">
        <f aca="false">(DB14=1)*Assumption!$E$169*Assumption!$E$170/1000*(1+Assumption!$E$172)^INT((DB15-1)/Assumption!$E$173)*(1-CHOOSE(MIN(MAX(DB16,1),3),Assumption!$E$175,Assumption!$E$176,Assumption!$E$177))</f>
        <v>1496.23109450942</v>
      </c>
      <c r="DC35" s="158" t="n">
        <f aca="false">(DC14=1)*Assumption!$E$169*Assumption!$E$170/1000*(1+Assumption!$E$172)^INT((DC15-1)/Assumption!$E$173)*(1-CHOOSE(MIN(MAX(DC16,1),3),Assumption!$E$175,Assumption!$E$176,Assumption!$E$177))</f>
        <v>1496.23109450942</v>
      </c>
      <c r="DD35" s="158" t="n">
        <f aca="false">(DD14=1)*Assumption!$E$169*Assumption!$E$170/1000*(1+Assumption!$E$172)^INT((DD15-1)/Assumption!$E$173)*(1-CHOOSE(MIN(MAX(DD16,1),3),Assumption!$E$175,Assumption!$E$176,Assumption!$E$177))</f>
        <v>1496.23109450942</v>
      </c>
      <c r="DE35" s="158" t="n">
        <f aca="false">(DE14=1)*Assumption!$E$169*Assumption!$E$170/1000*(1+Assumption!$E$172)^INT((DE15-1)/Assumption!$E$173)*(1-CHOOSE(MIN(MAX(DE16,1),3),Assumption!$E$175,Assumption!$E$176,Assumption!$E$177))</f>
        <v>1496.23109450942</v>
      </c>
      <c r="DF35" s="158" t="n">
        <f aca="false">(DF14=1)*Assumption!$E$169*Assumption!$E$170/1000*(1+Assumption!$E$172)^INT((DF15-1)/Assumption!$E$173)*(1-CHOOSE(MIN(MAX(DF16,1),3),Assumption!$E$175,Assumption!$E$176,Assumption!$E$177))</f>
        <v>1496.23109450942</v>
      </c>
      <c r="DG35" s="158" t="n">
        <f aca="false">(DG14=1)*Assumption!$E$169*Assumption!$E$170/1000*(1+Assumption!$E$172)^INT((DG15-1)/Assumption!$E$173)*(1-CHOOSE(MIN(MAX(DG16,1),3),Assumption!$E$175,Assumption!$E$176,Assumption!$E$177))</f>
        <v>1496.23109450942</v>
      </c>
      <c r="DH35" s="158" t="n">
        <f aca="false">(DH14=1)*Assumption!$E$169*Assumption!$E$170/1000*(1+Assumption!$E$172)^INT((DH15-1)/Assumption!$E$173)*(1-CHOOSE(MIN(MAX(DH16,1),3),Assumption!$E$175,Assumption!$E$176,Assumption!$E$177))</f>
        <v>1496.23109450942</v>
      </c>
      <c r="DI35" s="158" t="n">
        <f aca="false">(DI14=1)*Assumption!$E$169*Assumption!$E$170/1000*(1+Assumption!$E$172)^INT((DI15-1)/Assumption!$E$173)*(1-CHOOSE(MIN(MAX(DI16,1),3),Assumption!$E$175,Assumption!$E$176,Assumption!$E$177))</f>
        <v>1526.15571639961</v>
      </c>
      <c r="DJ35" s="158" t="n">
        <f aca="false">(DJ14=1)*Assumption!$E$169*Assumption!$E$170/1000*(1+Assumption!$E$172)^INT((DJ15-1)/Assumption!$E$173)*(1-CHOOSE(MIN(MAX(DJ16,1),3),Assumption!$E$175,Assumption!$E$176,Assumption!$E$177))</f>
        <v>1526.15571639961</v>
      </c>
      <c r="DK35" s="158" t="n">
        <f aca="false">(DK14=1)*Assumption!$E$169*Assumption!$E$170/1000*(1+Assumption!$E$172)^INT((DK15-1)/Assumption!$E$173)*(1-CHOOSE(MIN(MAX(DK16,1),3),Assumption!$E$175,Assumption!$E$176,Assumption!$E$177))</f>
        <v>1526.15571639961</v>
      </c>
      <c r="DL35" s="158" t="n">
        <f aca="false">(DL14=1)*Assumption!$E$169*Assumption!$E$170/1000*(1+Assumption!$E$172)^INT((DL15-1)/Assumption!$E$173)*(1-CHOOSE(MIN(MAX(DL16,1),3),Assumption!$E$175,Assumption!$E$176,Assumption!$E$177))</f>
        <v>1526.15571639961</v>
      </c>
      <c r="DM35" s="158" t="n">
        <f aca="false">(DM14=1)*Assumption!$E$169*Assumption!$E$170/1000*(1+Assumption!$E$172)^INT((DM15-1)/Assumption!$E$173)*(1-CHOOSE(MIN(MAX(DM16,1),3),Assumption!$E$175,Assumption!$E$176,Assumption!$E$177))</f>
        <v>1526.15571639961</v>
      </c>
      <c r="DN35" s="158" t="n">
        <f aca="false">(DN14=1)*Assumption!$E$169*Assumption!$E$170/1000*(1+Assumption!$E$172)^INT((DN15-1)/Assumption!$E$173)*(1-CHOOSE(MIN(MAX(DN16,1),3),Assumption!$E$175,Assumption!$E$176,Assumption!$E$177))</f>
        <v>1526.15571639961</v>
      </c>
      <c r="DO35" s="158" t="n">
        <f aca="false">(DO14=1)*Assumption!$E$169*Assumption!$E$170/1000*(1+Assumption!$E$172)^INT((DO15-1)/Assumption!$E$173)*(1-CHOOSE(MIN(MAX(DO16,1),3),Assumption!$E$175,Assumption!$E$176,Assumption!$E$177))</f>
        <v>1526.15571639961</v>
      </c>
      <c r="DP35" s="158" t="n">
        <f aca="false">(DP14=1)*Assumption!$E$169*Assumption!$E$170/1000*(1+Assumption!$E$172)^INT((DP15-1)/Assumption!$E$173)*(1-CHOOSE(MIN(MAX(DP16,1),3),Assumption!$E$175,Assumption!$E$176,Assumption!$E$177))</f>
        <v>1526.15571639961</v>
      </c>
      <c r="DQ35" s="158" t="n">
        <f aca="false">(DQ14=1)*Assumption!$E$169*Assumption!$E$170/1000*(1+Assumption!$E$172)^INT((DQ15-1)/Assumption!$E$173)*(1-CHOOSE(MIN(MAX(DQ16,1),3),Assumption!$E$175,Assumption!$E$176,Assumption!$E$177))</f>
        <v>1526.15571639961</v>
      </c>
      <c r="DR35" s="158" t="n">
        <f aca="false">(DR14=1)*Assumption!$E$169*Assumption!$E$170/1000*(1+Assumption!$E$172)^INT((DR15-1)/Assumption!$E$173)*(1-CHOOSE(MIN(MAX(DR16,1),3),Assumption!$E$175,Assumption!$E$176,Assumption!$E$177))</f>
        <v>1526.15571639961</v>
      </c>
      <c r="DS35" s="158" t="n">
        <f aca="false">(DS14=1)*Assumption!$E$169*Assumption!$E$170/1000*(1+Assumption!$E$172)^INT((DS15-1)/Assumption!$E$173)*(1-CHOOSE(MIN(MAX(DS16,1),3),Assumption!$E$175,Assumption!$E$176,Assumption!$E$177))</f>
        <v>1526.15571639961</v>
      </c>
      <c r="DT35" s="158" t="n">
        <f aca="false">(DT14=1)*Assumption!$E$169*Assumption!$E$170/1000*(1+Assumption!$E$172)^INT((DT15-1)/Assumption!$E$173)*(1-CHOOSE(MIN(MAX(DT16,1),3),Assumption!$E$175,Assumption!$E$176,Assumption!$E$177))</f>
        <v>1526.15571639961</v>
      </c>
      <c r="DU35" s="158" t="n">
        <f aca="false">(DU14=1)*Assumption!$E$169*Assumption!$E$170/1000*(1+Assumption!$E$172)^INT((DU15-1)/Assumption!$E$173)*(1-CHOOSE(MIN(MAX(DU16,1),3),Assumption!$E$175,Assumption!$E$176,Assumption!$E$177))</f>
        <v>0</v>
      </c>
      <c r="DV35" s="158" t="n">
        <f aca="false">(DV14=1)*Assumption!$E$169*Assumption!$E$170/1000*(1+Assumption!$E$172)^INT((DV15-1)/Assumption!$E$173)*(1-CHOOSE(MIN(MAX(DV16,1),3),Assumption!$E$175,Assumption!$E$176,Assumption!$E$177))</f>
        <v>0</v>
      </c>
      <c r="DW35" s="158" t="n">
        <f aca="false">(DW14=1)*Assumption!$E$169*Assumption!$E$170/1000*(1+Assumption!$E$172)^INT((DW15-1)/Assumption!$E$173)*(1-CHOOSE(MIN(MAX(DW16,1),3),Assumption!$E$175,Assumption!$E$176,Assumption!$E$177))</f>
        <v>0</v>
      </c>
      <c r="DX35" s="158" t="n">
        <f aca="false">(DX14=1)*Assumption!$E$169*Assumption!$E$170/1000*(1+Assumption!$E$172)^INT((DX15-1)/Assumption!$E$173)*(1-CHOOSE(MIN(MAX(DX16,1),3),Assumption!$E$175,Assumption!$E$176,Assumption!$E$177))</f>
        <v>0</v>
      </c>
      <c r="DY35" s="158" t="n">
        <f aca="false">(DY14=1)*Assumption!$E$169*Assumption!$E$170/1000*(1+Assumption!$E$172)^INT((DY15-1)/Assumption!$E$173)*(1-CHOOSE(MIN(MAX(DY16,1),3),Assumption!$E$175,Assumption!$E$176,Assumption!$E$177))</f>
        <v>0</v>
      </c>
      <c r="DZ35" s="158" t="n">
        <f aca="false">(DZ14=1)*Assumption!$E$169*Assumption!$E$170/1000*(1+Assumption!$E$172)^INT((DZ15-1)/Assumption!$E$173)*(1-CHOOSE(MIN(MAX(DZ16,1),3),Assumption!$E$175,Assumption!$E$176,Assumption!$E$177))</f>
        <v>0</v>
      </c>
      <c r="EA35" s="158" t="n">
        <f aca="false">(EA14=1)*Assumption!$E$169*Assumption!$E$170/1000*(1+Assumption!$E$172)^INT((EA15-1)/Assumption!$E$173)*(1-CHOOSE(MIN(MAX(EA16,1),3),Assumption!$E$175,Assumption!$E$176,Assumption!$E$177))</f>
        <v>0</v>
      </c>
      <c r="EB35" s="158" t="n">
        <f aca="false">(EB14=1)*Assumption!$E$169*Assumption!$E$170/1000*(1+Assumption!$E$172)^INT((EB15-1)/Assumption!$E$173)*(1-CHOOSE(MIN(MAX(EB16,1),3),Assumption!$E$175,Assumption!$E$176,Assumption!$E$177))</f>
        <v>0</v>
      </c>
      <c r="EC35" s="158" t="n">
        <f aca="false">(EC14=1)*Assumption!$E$169*Assumption!$E$170/1000*(1+Assumption!$E$172)^INT((EC15-1)/Assumption!$E$173)*(1-CHOOSE(MIN(MAX(EC16,1),3),Assumption!$E$175,Assumption!$E$176,Assumption!$E$177))</f>
        <v>0</v>
      </c>
      <c r="ED35" s="158" t="n">
        <f aca="false">(ED14=1)*Assumption!$E$169*Assumption!$E$170/1000*(1+Assumption!$E$172)^INT((ED15-1)/Assumption!$E$173)*(1-CHOOSE(MIN(MAX(ED16,1),3),Assumption!$E$175,Assumption!$E$176,Assumption!$E$177))</f>
        <v>0</v>
      </c>
      <c r="EE35" s="158" t="n">
        <f aca="false">(EE14=1)*Assumption!$E$169*Assumption!$E$170/1000*(1+Assumption!$E$172)^INT((EE15-1)/Assumption!$E$173)*(1-CHOOSE(MIN(MAX(EE16,1),3),Assumption!$E$175,Assumption!$E$176,Assumption!$E$177))</f>
        <v>0</v>
      </c>
      <c r="EF35" s="158" t="n">
        <f aca="false">(EF14=1)*Assumption!$E$169*Assumption!$E$170/1000*(1+Assumption!$E$172)^INT((EF15-1)/Assumption!$E$173)*(1-CHOOSE(MIN(MAX(EF16,1),3),Assumption!$E$175,Assumption!$E$176,Assumption!$E$177))</f>
        <v>0</v>
      </c>
    </row>
    <row r="36" customFormat="false" ht="15" hidden="false" customHeight="false" outlineLevel="0" collapsed="false">
      <c r="A36" s="35" t="s">
        <v>502</v>
      </c>
      <c r="B36" s="241" t="s">
        <v>116</v>
      </c>
      <c r="C36" s="242" t="n">
        <f aca="false">SUM(E36:EF36)</f>
        <v>8886.16918328832</v>
      </c>
      <c r="E36" s="158" t="n">
        <f aca="false">(E14=1)*Assumption!$E$187*Assumption!$E$188/1000*(1+Assumption!$E$190)^INT((E15-1)/Assumption!$E$191)*(1-CHOOSE(MIN(MAX(E16,1),3),Assumption!$E$193,Assumption!$E$194,Assumption!$E$195))</f>
        <v>0</v>
      </c>
      <c r="F36" s="158" t="n">
        <f aca="false">(F14=1)*Assumption!$E$187*Assumption!$E$188/1000*(1+Assumption!$E$190)^INT((F15-1)/Assumption!$E$191)*(1-CHOOSE(MIN(MAX(F16,1),3),Assumption!$E$193,Assumption!$E$194,Assumption!$E$195))</f>
        <v>0</v>
      </c>
      <c r="G36" s="158" t="n">
        <f aca="false">(G14=1)*Assumption!$E$187*Assumption!$E$188/1000*(1+Assumption!$E$190)^INT((G15-1)/Assumption!$E$191)*(1-CHOOSE(MIN(MAX(G16,1),3),Assumption!$E$193,Assumption!$E$194,Assumption!$E$195))</f>
        <v>0</v>
      </c>
      <c r="H36" s="158" t="n">
        <f aca="false">(H14=1)*Assumption!$E$187*Assumption!$E$188/1000*(1+Assumption!$E$190)^INT((H15-1)/Assumption!$E$191)*(1-CHOOSE(MIN(MAX(H16,1),3),Assumption!$E$193,Assumption!$E$194,Assumption!$E$195))</f>
        <v>0</v>
      </c>
      <c r="I36" s="158" t="n">
        <f aca="false">(I14=1)*Assumption!$E$187*Assumption!$E$188/1000*(1+Assumption!$E$190)^INT((I15-1)/Assumption!$E$191)*(1-CHOOSE(MIN(MAX(I16,1),3),Assumption!$E$193,Assumption!$E$194,Assumption!$E$195))</f>
        <v>0</v>
      </c>
      <c r="J36" s="158" t="n">
        <f aca="false">(J14=1)*Assumption!$E$187*Assumption!$E$188/1000*(1+Assumption!$E$190)^INT((J15-1)/Assumption!$E$191)*(1-CHOOSE(MIN(MAX(J16,1),3),Assumption!$E$193,Assumption!$E$194,Assumption!$E$195))</f>
        <v>0</v>
      </c>
      <c r="K36" s="158" t="n">
        <f aca="false">(K14=1)*Assumption!$E$187*Assumption!$E$188/1000*(1+Assumption!$E$190)^INT((K15-1)/Assumption!$E$191)*(1-CHOOSE(MIN(MAX(K16,1),3),Assumption!$E$193,Assumption!$E$194,Assumption!$E$195))</f>
        <v>0</v>
      </c>
      <c r="L36" s="158" t="n">
        <f aca="false">(L14=1)*Assumption!$E$187*Assumption!$E$188/1000*(1+Assumption!$E$190)^INT((L15-1)/Assumption!$E$191)*(1-CHOOSE(MIN(MAX(L16,1),3),Assumption!$E$193,Assumption!$E$194,Assumption!$E$195))</f>
        <v>0</v>
      </c>
      <c r="M36" s="158" t="n">
        <f aca="false">(M14=1)*Assumption!$E$187*Assumption!$E$188/1000*(1+Assumption!$E$190)^INT((M15-1)/Assumption!$E$191)*(1-CHOOSE(MIN(MAX(M16,1),3),Assumption!$E$193,Assumption!$E$194,Assumption!$E$195))</f>
        <v>0</v>
      </c>
      <c r="N36" s="158" t="n">
        <f aca="false">(N14=1)*Assumption!$E$187*Assumption!$E$188/1000*(1+Assumption!$E$190)^INT((N15-1)/Assumption!$E$191)*(1-CHOOSE(MIN(MAX(N16,1),3),Assumption!$E$193,Assumption!$E$194,Assumption!$E$195))</f>
        <v>0</v>
      </c>
      <c r="O36" s="158" t="n">
        <f aca="false">(O14=1)*Assumption!$E$187*Assumption!$E$188/1000*(1+Assumption!$E$190)^INT((O15-1)/Assumption!$E$191)*(1-CHOOSE(MIN(MAX(O16,1),3),Assumption!$E$193,Assumption!$E$194,Assumption!$E$195))</f>
        <v>0</v>
      </c>
      <c r="P36" s="158" t="n">
        <f aca="false">(P14=1)*Assumption!$E$187*Assumption!$E$188/1000*(1+Assumption!$E$190)^INT((P15-1)/Assumption!$E$191)*(1-CHOOSE(MIN(MAX(P16,1),3),Assumption!$E$193,Assumption!$E$194,Assumption!$E$195))</f>
        <v>0</v>
      </c>
      <c r="Q36" s="158" t="n">
        <f aca="false">(Q14=1)*Assumption!$E$187*Assumption!$E$188/1000*(1+Assumption!$E$190)^INT((Q15-1)/Assumption!$E$191)*(1-CHOOSE(MIN(MAX(Q16,1),3),Assumption!$E$193,Assumption!$E$194,Assumption!$E$195))</f>
        <v>0</v>
      </c>
      <c r="R36" s="158" t="n">
        <f aca="false">(R14=1)*Assumption!$E$187*Assumption!$E$188/1000*(1+Assumption!$E$190)^INT((R15-1)/Assumption!$E$191)*(1-CHOOSE(MIN(MAX(R16,1),3),Assumption!$E$193,Assumption!$E$194,Assumption!$E$195))</f>
        <v>0</v>
      </c>
      <c r="S36" s="158" t="n">
        <f aca="false">(S14=1)*Assumption!$E$187*Assumption!$E$188/1000*(1+Assumption!$E$190)^INT((S15-1)/Assumption!$E$191)*(1-CHOOSE(MIN(MAX(S16,1),3),Assumption!$E$193,Assumption!$E$194,Assumption!$E$195))</f>
        <v>0</v>
      </c>
      <c r="T36" s="158" t="n">
        <f aca="false">(T14=1)*Assumption!$E$187*Assumption!$E$188/1000*(1+Assumption!$E$190)^INT((T15-1)/Assumption!$E$191)*(1-CHOOSE(MIN(MAX(T16,1),3),Assumption!$E$193,Assumption!$E$194,Assumption!$E$195))</f>
        <v>0</v>
      </c>
      <c r="U36" s="158" t="n">
        <f aca="false">(U14=1)*Assumption!$E$187*Assumption!$E$188/1000*(1+Assumption!$E$190)^INT((U15-1)/Assumption!$E$191)*(1-CHOOSE(MIN(MAX(U16,1),3),Assumption!$E$193,Assumption!$E$194,Assumption!$E$195))</f>
        <v>0</v>
      </c>
      <c r="V36" s="158" t="n">
        <f aca="false">(V14=1)*Assumption!$E$187*Assumption!$E$188/1000*(1+Assumption!$E$190)^INT((V15-1)/Assumption!$E$191)*(1-CHOOSE(MIN(MAX(V16,1),3),Assumption!$E$193,Assumption!$E$194,Assumption!$E$195))</f>
        <v>0</v>
      </c>
      <c r="W36" s="158" t="n">
        <f aca="false">(W14=1)*Assumption!$E$187*Assumption!$E$188/1000*(1+Assumption!$E$190)^INT((W15-1)/Assumption!$E$191)*(1-CHOOSE(MIN(MAX(W16,1),3),Assumption!$E$193,Assumption!$E$194,Assumption!$E$195))</f>
        <v>0</v>
      </c>
      <c r="X36" s="158" t="n">
        <f aca="false">(X14=1)*Assumption!$E$187*Assumption!$E$188/1000*(1+Assumption!$E$190)^INT((X15-1)/Assumption!$E$191)*(1-CHOOSE(MIN(MAX(X16,1),3),Assumption!$E$193,Assumption!$E$194,Assumption!$E$195))</f>
        <v>0</v>
      </c>
      <c r="Y36" s="158" t="n">
        <f aca="false">(Y14=1)*Assumption!$E$187*Assumption!$E$188/1000*(1+Assumption!$E$190)^INT((Y15-1)/Assumption!$E$191)*(1-CHOOSE(MIN(MAX(Y16,1),3),Assumption!$E$193,Assumption!$E$194,Assumption!$E$195))</f>
        <v>0</v>
      </c>
      <c r="Z36" s="158" t="n">
        <f aca="false">(Z14=1)*Assumption!$E$187*Assumption!$E$188/1000*(1+Assumption!$E$190)^INT((Z15-1)/Assumption!$E$191)*(1-CHOOSE(MIN(MAX(Z16,1),3),Assumption!$E$193,Assumption!$E$194,Assumption!$E$195))</f>
        <v>0</v>
      </c>
      <c r="AA36" s="158" t="n">
        <f aca="false">(AA14=1)*Assumption!$E$187*Assumption!$E$188/1000*(1+Assumption!$E$190)^INT((AA15-1)/Assumption!$E$191)*(1-CHOOSE(MIN(MAX(AA16,1),3),Assumption!$E$193,Assumption!$E$194,Assumption!$E$195))</f>
        <v>0</v>
      </c>
      <c r="AB36" s="158" t="n">
        <f aca="false">(AB14=1)*Assumption!$E$187*Assumption!$E$188/1000*(1+Assumption!$E$190)^INT((AB15-1)/Assumption!$E$191)*(1-CHOOSE(MIN(MAX(AB16,1),3),Assumption!$E$193,Assumption!$E$194,Assumption!$E$195))</f>
        <v>0</v>
      </c>
      <c r="AC36" s="158" t="n">
        <f aca="false">(AC14=1)*Assumption!$E$187*Assumption!$E$188/1000*(1+Assumption!$E$190)^INT((AC15-1)/Assumption!$E$191)*(1-CHOOSE(MIN(MAX(AC16,1),3),Assumption!$E$193,Assumption!$E$194,Assumption!$E$195))</f>
        <v>0</v>
      </c>
      <c r="AD36" s="158" t="n">
        <f aca="false">(AD14=1)*Assumption!$E$187*Assumption!$E$188/1000*(1+Assumption!$E$190)^INT((AD15-1)/Assumption!$E$191)*(1-CHOOSE(MIN(MAX(AD16,1),3),Assumption!$E$193,Assumption!$E$194,Assumption!$E$195))</f>
        <v>0</v>
      </c>
      <c r="AE36" s="158" t="n">
        <f aca="false">(AE14=1)*Assumption!$E$187*Assumption!$E$188/1000*(1+Assumption!$E$190)^INT((AE15-1)/Assumption!$E$191)*(1-CHOOSE(MIN(MAX(AE16,1),3),Assumption!$E$193,Assumption!$E$194,Assumption!$E$195))</f>
        <v>0</v>
      </c>
      <c r="AF36" s="158" t="n">
        <f aca="false">(AF14=1)*Assumption!$E$187*Assumption!$E$188/1000*(1+Assumption!$E$190)^INT((AF15-1)/Assumption!$E$191)*(1-CHOOSE(MIN(MAX(AF16,1),3),Assumption!$E$193,Assumption!$E$194,Assumption!$E$195))</f>
        <v>0</v>
      </c>
      <c r="AG36" s="158" t="n">
        <f aca="false">(AG14=1)*Assumption!$E$187*Assumption!$E$188/1000*(1+Assumption!$E$190)^INT((AG15-1)/Assumption!$E$191)*(1-CHOOSE(MIN(MAX(AG16,1),3),Assumption!$E$193,Assumption!$E$194,Assumption!$E$195))</f>
        <v>0</v>
      </c>
      <c r="AH36" s="158" t="n">
        <f aca="false">(AH14=1)*Assumption!$E$187*Assumption!$E$188/1000*(1+Assumption!$E$190)^INT((AH15-1)/Assumption!$E$191)*(1-CHOOSE(MIN(MAX(AH16,1),3),Assumption!$E$193,Assumption!$E$194,Assumption!$E$195))</f>
        <v>0</v>
      </c>
      <c r="AI36" s="158" t="n">
        <f aca="false">(AI14=1)*Assumption!$E$187*Assumption!$E$188/1000*(1+Assumption!$E$190)^INT((AI15-1)/Assumption!$E$191)*(1-CHOOSE(MIN(MAX(AI16,1),3),Assumption!$E$193,Assumption!$E$194,Assumption!$E$195))</f>
        <v>0</v>
      </c>
      <c r="AJ36" s="158" t="n">
        <f aca="false">(AJ14=1)*Assumption!$E$187*Assumption!$E$188/1000*(1+Assumption!$E$190)^INT((AJ15-1)/Assumption!$E$191)*(1-CHOOSE(MIN(MAX(AJ16,1),3),Assumption!$E$193,Assumption!$E$194,Assumption!$E$195))</f>
        <v>0</v>
      </c>
      <c r="AK36" s="158" t="n">
        <f aca="false">(AK14=1)*Assumption!$E$187*Assumption!$E$188/1000*(1+Assumption!$E$190)^INT((AK15-1)/Assumption!$E$191)*(1-CHOOSE(MIN(MAX(AK16,1),3),Assumption!$E$193,Assumption!$E$194,Assumption!$E$195))</f>
        <v>0</v>
      </c>
      <c r="AL36" s="158" t="n">
        <f aca="false">(AL14=1)*Assumption!$E$187*Assumption!$E$188/1000*(1+Assumption!$E$190)^INT((AL15-1)/Assumption!$E$191)*(1-CHOOSE(MIN(MAX(AL16,1),3),Assumption!$E$193,Assumption!$E$194,Assumption!$E$195))</f>
        <v>0</v>
      </c>
      <c r="AM36" s="158" t="n">
        <f aca="false">(AM14=1)*Assumption!$E$187*Assumption!$E$188/1000*(1+Assumption!$E$190)^INT((AM15-1)/Assumption!$E$191)*(1-CHOOSE(MIN(MAX(AM16,1),3),Assumption!$E$193,Assumption!$E$194,Assumption!$E$195))</f>
        <v>0</v>
      </c>
      <c r="AN36" s="158" t="n">
        <f aca="false">(AN14=1)*Assumption!$E$187*Assumption!$E$188/1000*(1+Assumption!$E$190)^INT((AN15-1)/Assumption!$E$191)*(1-CHOOSE(MIN(MAX(AN16,1),3),Assumption!$E$193,Assumption!$E$194,Assumption!$E$195))</f>
        <v>0</v>
      </c>
      <c r="AO36" s="158" t="n">
        <f aca="false">(AO14=1)*Assumption!$E$187*Assumption!$E$188/1000*(1+Assumption!$E$190)^INT((AO15-1)/Assumption!$E$191)*(1-CHOOSE(MIN(MAX(AO16,1),3),Assumption!$E$193,Assumption!$E$194,Assumption!$E$195))</f>
        <v>0</v>
      </c>
      <c r="AP36" s="158" t="n">
        <f aca="false">(AP14=1)*Assumption!$E$187*Assumption!$E$188/1000*(1+Assumption!$E$190)^INT((AP15-1)/Assumption!$E$191)*(1-CHOOSE(MIN(MAX(AP16,1),3),Assumption!$E$193,Assumption!$E$194,Assumption!$E$195))</f>
        <v>0</v>
      </c>
      <c r="AQ36" s="158" t="n">
        <f aca="false">(AQ14=1)*Assumption!$E$187*Assumption!$E$188/1000*(1+Assumption!$E$190)^INT((AQ15-1)/Assumption!$E$191)*(1-CHOOSE(MIN(MAX(AQ16,1),3),Assumption!$E$193,Assumption!$E$194,Assumption!$E$195))</f>
        <v>0</v>
      </c>
      <c r="AR36" s="158" t="n">
        <f aca="false">(AR14=1)*Assumption!$E$187*Assumption!$E$188/1000*(1+Assumption!$E$190)^INT((AR15-1)/Assumption!$E$191)*(1-CHOOSE(MIN(MAX(AR16,1),3),Assumption!$E$193,Assumption!$E$194,Assumption!$E$195))</f>
        <v>0</v>
      </c>
      <c r="AS36" s="158" t="n">
        <f aca="false">(AS14=1)*Assumption!$E$187*Assumption!$E$188/1000*(1+Assumption!$E$190)^INT((AS15-1)/Assumption!$E$191)*(1-CHOOSE(MIN(MAX(AS16,1),3),Assumption!$E$193,Assumption!$E$194,Assumption!$E$195))</f>
        <v>0</v>
      </c>
      <c r="AT36" s="158" t="n">
        <f aca="false">(AT14=1)*Assumption!$E$187*Assumption!$E$188/1000*(1+Assumption!$E$190)^INT((AT15-1)/Assumption!$E$191)*(1-CHOOSE(MIN(MAX(AT16,1),3),Assumption!$E$193,Assumption!$E$194,Assumption!$E$195))</f>
        <v>0</v>
      </c>
      <c r="AU36" s="158" t="n">
        <f aca="false">(AU14=1)*Assumption!$E$187*Assumption!$E$188/1000*(1+Assumption!$E$190)^INT((AU15-1)/Assumption!$E$191)*(1-CHOOSE(MIN(MAX(AU16,1),3),Assumption!$E$193,Assumption!$E$194,Assumption!$E$195))</f>
        <v>0</v>
      </c>
      <c r="AV36" s="158" t="n">
        <f aca="false">(AV14=1)*Assumption!$E$187*Assumption!$E$188/1000*(1+Assumption!$E$190)^INT((AV15-1)/Assumption!$E$191)*(1-CHOOSE(MIN(MAX(AV16,1),3),Assumption!$E$193,Assumption!$E$194,Assumption!$E$195))</f>
        <v>0</v>
      </c>
      <c r="AW36" s="158" t="n">
        <f aca="false">(AW14=1)*Assumption!$E$187*Assumption!$E$188/1000*(1+Assumption!$E$190)^INT((AW15-1)/Assumption!$E$191)*(1-CHOOSE(MIN(MAX(AW16,1),3),Assumption!$E$193,Assumption!$E$194,Assumption!$E$195))</f>
        <v>0</v>
      </c>
      <c r="AX36" s="158" t="n">
        <f aca="false">(AX14=1)*Assumption!$E$187*Assumption!$E$188/1000*(1+Assumption!$E$190)^INT((AX15-1)/Assumption!$E$191)*(1-CHOOSE(MIN(MAX(AX16,1),3),Assumption!$E$193,Assumption!$E$194,Assumption!$E$195))</f>
        <v>0</v>
      </c>
      <c r="AY36" s="158" t="n">
        <f aca="false">(AY14=1)*Assumption!$E$187*Assumption!$E$188/1000*(1+Assumption!$E$190)^INT((AY15-1)/Assumption!$E$191)*(1-CHOOSE(MIN(MAX(AY16,1),3),Assumption!$E$193,Assumption!$E$194,Assumption!$E$195))</f>
        <v>0</v>
      </c>
      <c r="AZ36" s="158" t="n">
        <f aca="false">(AZ14=1)*Assumption!$E$187*Assumption!$E$188/1000*(1+Assumption!$E$190)^INT((AZ15-1)/Assumption!$E$191)*(1-CHOOSE(MIN(MAX(AZ16,1),3),Assumption!$E$193,Assumption!$E$194,Assumption!$E$195))</f>
        <v>0</v>
      </c>
      <c r="BA36" s="158" t="n">
        <f aca="false">(BA14=1)*Assumption!$E$187*Assumption!$E$188/1000*(1+Assumption!$E$190)^INT((BA15-1)/Assumption!$E$191)*(1-CHOOSE(MIN(MAX(BA16,1),3),Assumption!$E$193,Assumption!$E$194,Assumption!$E$195))</f>
        <v>0</v>
      </c>
      <c r="BB36" s="158" t="n">
        <f aca="false">(BB14=1)*Assumption!$E$187*Assumption!$E$188/1000*(1+Assumption!$E$190)^INT((BB15-1)/Assumption!$E$191)*(1-CHOOSE(MIN(MAX(BB16,1),3),Assumption!$E$193,Assumption!$E$194,Assumption!$E$195))</f>
        <v>0</v>
      </c>
      <c r="BC36" s="158" t="n">
        <f aca="false">(BC14=1)*Assumption!$E$187*Assumption!$E$188/1000*(1+Assumption!$E$190)^INT((BC15-1)/Assumption!$E$191)*(1-CHOOSE(MIN(MAX(BC16,1),3),Assumption!$E$193,Assumption!$E$194,Assumption!$E$195))</f>
        <v>0</v>
      </c>
      <c r="BD36" s="158" t="n">
        <f aca="false">(BD14=1)*Assumption!$E$187*Assumption!$E$188/1000*(1+Assumption!$E$190)^INT((BD15-1)/Assumption!$E$191)*(1-CHOOSE(MIN(MAX(BD16,1),3),Assumption!$E$193,Assumption!$E$194,Assumption!$E$195))</f>
        <v>0</v>
      </c>
      <c r="BE36" s="158" t="n">
        <f aca="false">(BE14=1)*Assumption!$E$187*Assumption!$E$188/1000*(1+Assumption!$E$190)^INT((BE15-1)/Assumption!$E$191)*(1-CHOOSE(MIN(MAX(BE16,1),3),Assumption!$E$193,Assumption!$E$194,Assumption!$E$195))</f>
        <v>0</v>
      </c>
      <c r="BF36" s="158" t="n">
        <f aca="false">(BF14=1)*Assumption!$E$187*Assumption!$E$188/1000*(1+Assumption!$E$190)^INT((BF15-1)/Assumption!$E$191)*(1-CHOOSE(MIN(MAX(BF16,1),3),Assumption!$E$193,Assumption!$E$194,Assumption!$E$195))</f>
        <v>0</v>
      </c>
      <c r="BG36" s="158" t="n">
        <f aca="false">(BG14=1)*Assumption!$E$187*Assumption!$E$188/1000*(1+Assumption!$E$190)^INT((BG15-1)/Assumption!$E$191)*(1-CHOOSE(MIN(MAX(BG16,1),3),Assumption!$E$193,Assumption!$E$194,Assumption!$E$195))</f>
        <v>0</v>
      </c>
      <c r="BH36" s="158" t="n">
        <f aca="false">(BH14=1)*Assumption!$E$187*Assumption!$E$188/1000*(1+Assumption!$E$190)^INT((BH15-1)/Assumption!$E$191)*(1-CHOOSE(MIN(MAX(BH16,1),3),Assumption!$E$193,Assumption!$E$194,Assumption!$E$195))</f>
        <v>0</v>
      </c>
      <c r="BI36" s="158" t="n">
        <f aca="false">(BI14=1)*Assumption!$E$187*Assumption!$E$188/1000*(1+Assumption!$E$190)^INT((BI15-1)/Assumption!$E$191)*(1-CHOOSE(MIN(MAX(BI16,1),3),Assumption!$E$193,Assumption!$E$194,Assumption!$E$195))</f>
        <v>0</v>
      </c>
      <c r="BJ36" s="158" t="n">
        <f aca="false">(BJ14=1)*Assumption!$E$187*Assumption!$E$188/1000*(1+Assumption!$E$190)^INT((BJ15-1)/Assumption!$E$191)*(1-CHOOSE(MIN(MAX(BJ16,1),3),Assumption!$E$193,Assumption!$E$194,Assumption!$E$195))</f>
        <v>0</v>
      </c>
      <c r="BK36" s="158" t="n">
        <f aca="false">(BK14=1)*Assumption!$E$187*Assumption!$E$188/1000*(1+Assumption!$E$190)^INT((BK15-1)/Assumption!$E$191)*(1-CHOOSE(MIN(MAX(BK16,1),3),Assumption!$E$193,Assumption!$E$194,Assumption!$E$195))</f>
        <v>0</v>
      </c>
      <c r="BL36" s="158" t="n">
        <f aca="false">(BL14=1)*Assumption!$E$187*Assumption!$E$188/1000*(1+Assumption!$E$190)^INT((BL15-1)/Assumption!$E$191)*(1-CHOOSE(MIN(MAX(BL16,1),3),Assumption!$E$193,Assumption!$E$194,Assumption!$E$195))</f>
        <v>0</v>
      </c>
      <c r="BM36" s="158" t="n">
        <f aca="false">(BM14=1)*Assumption!$E$187*Assumption!$E$188/1000*(1+Assumption!$E$190)^INT((BM15-1)/Assumption!$E$191)*(1-CHOOSE(MIN(MAX(BM16,1),3),Assumption!$E$193,Assumption!$E$194,Assumption!$E$195))</f>
        <v>142.296</v>
      </c>
      <c r="BN36" s="158" t="n">
        <f aca="false">(BN14=1)*Assumption!$E$187*Assumption!$E$188/1000*(1+Assumption!$E$190)^INT((BN15-1)/Assumption!$E$191)*(1-CHOOSE(MIN(MAX(BN16,1),3),Assumption!$E$193,Assumption!$E$194,Assumption!$E$195))</f>
        <v>142.296</v>
      </c>
      <c r="BO36" s="158" t="n">
        <f aca="false">(BO14=1)*Assumption!$E$187*Assumption!$E$188/1000*(1+Assumption!$E$190)^INT((BO15-1)/Assumption!$E$191)*(1-CHOOSE(MIN(MAX(BO16,1),3),Assumption!$E$193,Assumption!$E$194,Assumption!$E$195))</f>
        <v>142.296</v>
      </c>
      <c r="BP36" s="158" t="n">
        <f aca="false">(BP14=1)*Assumption!$E$187*Assumption!$E$188/1000*(1+Assumption!$E$190)^INT((BP15-1)/Assumption!$E$191)*(1-CHOOSE(MIN(MAX(BP16,1),3),Assumption!$E$193,Assumption!$E$194,Assumption!$E$195))</f>
        <v>142.296</v>
      </c>
      <c r="BQ36" s="158" t="n">
        <f aca="false">(BQ14=1)*Assumption!$E$187*Assumption!$E$188/1000*(1+Assumption!$E$190)^INT((BQ15-1)/Assumption!$E$191)*(1-CHOOSE(MIN(MAX(BQ16,1),3),Assumption!$E$193,Assumption!$E$194,Assumption!$E$195))</f>
        <v>142.296</v>
      </c>
      <c r="BR36" s="158" t="n">
        <f aca="false">(BR14=1)*Assumption!$E$187*Assumption!$E$188/1000*(1+Assumption!$E$190)^INT((BR15-1)/Assumption!$E$191)*(1-CHOOSE(MIN(MAX(BR16,1),3),Assumption!$E$193,Assumption!$E$194,Assumption!$E$195))</f>
        <v>142.296</v>
      </c>
      <c r="BS36" s="158" t="n">
        <f aca="false">(BS14=1)*Assumption!$E$187*Assumption!$E$188/1000*(1+Assumption!$E$190)^INT((BS15-1)/Assumption!$E$191)*(1-CHOOSE(MIN(MAX(BS16,1),3),Assumption!$E$193,Assumption!$E$194,Assumption!$E$195))</f>
        <v>142.296</v>
      </c>
      <c r="BT36" s="158" t="n">
        <f aca="false">(BT14=1)*Assumption!$E$187*Assumption!$E$188/1000*(1+Assumption!$E$190)^INT((BT15-1)/Assumption!$E$191)*(1-CHOOSE(MIN(MAX(BT16,1),3),Assumption!$E$193,Assumption!$E$194,Assumption!$E$195))</f>
        <v>142.296</v>
      </c>
      <c r="BU36" s="158" t="n">
        <f aca="false">(BU14=1)*Assumption!$E$187*Assumption!$E$188/1000*(1+Assumption!$E$190)^INT((BU15-1)/Assumption!$E$191)*(1-CHOOSE(MIN(MAX(BU16,1),3),Assumption!$E$193,Assumption!$E$194,Assumption!$E$195))</f>
        <v>142.296</v>
      </c>
      <c r="BV36" s="158" t="n">
        <f aca="false">(BV14=1)*Assumption!$E$187*Assumption!$E$188/1000*(1+Assumption!$E$190)^INT((BV15-1)/Assumption!$E$191)*(1-CHOOSE(MIN(MAX(BV16,1),3),Assumption!$E$193,Assumption!$E$194,Assumption!$E$195))</f>
        <v>142.296</v>
      </c>
      <c r="BW36" s="158" t="n">
        <f aca="false">(BW14=1)*Assumption!$E$187*Assumption!$E$188/1000*(1+Assumption!$E$190)^INT((BW15-1)/Assumption!$E$191)*(1-CHOOSE(MIN(MAX(BW16,1),3),Assumption!$E$193,Assumption!$E$194,Assumption!$E$195))</f>
        <v>142.296</v>
      </c>
      <c r="BX36" s="158" t="n">
        <f aca="false">(BX14=1)*Assumption!$E$187*Assumption!$E$188/1000*(1+Assumption!$E$190)^INT((BX15-1)/Assumption!$E$191)*(1-CHOOSE(MIN(MAX(BX16,1),3),Assumption!$E$193,Assumption!$E$194,Assumption!$E$195))</f>
        <v>142.296</v>
      </c>
      <c r="BY36" s="158" t="n">
        <f aca="false">(BY14=1)*Assumption!$E$187*Assumption!$E$188/1000*(1+Assumption!$E$190)^INT((BY15-1)/Assumption!$E$191)*(1-CHOOSE(MIN(MAX(BY16,1),3),Assumption!$E$193,Assumption!$E$194,Assumption!$E$195))</f>
        <v>145.14192</v>
      </c>
      <c r="BZ36" s="158" t="n">
        <f aca="false">(BZ14=1)*Assumption!$E$187*Assumption!$E$188/1000*(1+Assumption!$E$190)^INT((BZ15-1)/Assumption!$E$191)*(1-CHOOSE(MIN(MAX(BZ16,1),3),Assumption!$E$193,Assumption!$E$194,Assumption!$E$195))</f>
        <v>145.14192</v>
      </c>
      <c r="CA36" s="158" t="n">
        <f aca="false">(CA14=1)*Assumption!$E$187*Assumption!$E$188/1000*(1+Assumption!$E$190)^INT((CA15-1)/Assumption!$E$191)*(1-CHOOSE(MIN(MAX(CA16,1),3),Assumption!$E$193,Assumption!$E$194,Assumption!$E$195))</f>
        <v>145.14192</v>
      </c>
      <c r="CB36" s="158" t="n">
        <f aca="false">(CB14=1)*Assumption!$E$187*Assumption!$E$188/1000*(1+Assumption!$E$190)^INT((CB15-1)/Assumption!$E$191)*(1-CHOOSE(MIN(MAX(CB16,1),3),Assumption!$E$193,Assumption!$E$194,Assumption!$E$195))</f>
        <v>145.14192</v>
      </c>
      <c r="CC36" s="158" t="n">
        <f aca="false">(CC14=1)*Assumption!$E$187*Assumption!$E$188/1000*(1+Assumption!$E$190)^INT((CC15-1)/Assumption!$E$191)*(1-CHOOSE(MIN(MAX(CC16,1),3),Assumption!$E$193,Assumption!$E$194,Assumption!$E$195))</f>
        <v>145.14192</v>
      </c>
      <c r="CD36" s="158" t="n">
        <f aca="false">(CD14=1)*Assumption!$E$187*Assumption!$E$188/1000*(1+Assumption!$E$190)^INT((CD15-1)/Assumption!$E$191)*(1-CHOOSE(MIN(MAX(CD16,1),3),Assumption!$E$193,Assumption!$E$194,Assumption!$E$195))</f>
        <v>145.14192</v>
      </c>
      <c r="CE36" s="158" t="n">
        <f aca="false">(CE14=1)*Assumption!$E$187*Assumption!$E$188/1000*(1+Assumption!$E$190)^INT((CE15-1)/Assumption!$E$191)*(1-CHOOSE(MIN(MAX(CE16,1),3),Assumption!$E$193,Assumption!$E$194,Assumption!$E$195))</f>
        <v>145.14192</v>
      </c>
      <c r="CF36" s="158" t="n">
        <f aca="false">(CF14=1)*Assumption!$E$187*Assumption!$E$188/1000*(1+Assumption!$E$190)^INT((CF15-1)/Assumption!$E$191)*(1-CHOOSE(MIN(MAX(CF16,1),3),Assumption!$E$193,Assumption!$E$194,Assumption!$E$195))</f>
        <v>145.14192</v>
      </c>
      <c r="CG36" s="158" t="n">
        <f aca="false">(CG14=1)*Assumption!$E$187*Assumption!$E$188/1000*(1+Assumption!$E$190)^INT((CG15-1)/Assumption!$E$191)*(1-CHOOSE(MIN(MAX(CG16,1),3),Assumption!$E$193,Assumption!$E$194,Assumption!$E$195))</f>
        <v>145.14192</v>
      </c>
      <c r="CH36" s="158" t="n">
        <f aca="false">(CH14=1)*Assumption!$E$187*Assumption!$E$188/1000*(1+Assumption!$E$190)^INT((CH15-1)/Assumption!$E$191)*(1-CHOOSE(MIN(MAX(CH16,1),3),Assumption!$E$193,Assumption!$E$194,Assumption!$E$195))</f>
        <v>145.14192</v>
      </c>
      <c r="CI36" s="158" t="n">
        <f aca="false">(CI14=1)*Assumption!$E$187*Assumption!$E$188/1000*(1+Assumption!$E$190)^INT((CI15-1)/Assumption!$E$191)*(1-CHOOSE(MIN(MAX(CI16,1),3),Assumption!$E$193,Assumption!$E$194,Assumption!$E$195))</f>
        <v>145.14192</v>
      </c>
      <c r="CJ36" s="158" t="n">
        <f aca="false">(CJ14=1)*Assumption!$E$187*Assumption!$E$188/1000*(1+Assumption!$E$190)^INT((CJ15-1)/Assumption!$E$191)*(1-CHOOSE(MIN(MAX(CJ16,1),3),Assumption!$E$193,Assumption!$E$194,Assumption!$E$195))</f>
        <v>145.14192</v>
      </c>
      <c r="CK36" s="158" t="n">
        <f aca="false">(CK14=1)*Assumption!$E$187*Assumption!$E$188/1000*(1+Assumption!$E$190)^INT((CK15-1)/Assumption!$E$191)*(1-CHOOSE(MIN(MAX(CK16,1),3),Assumption!$E$193,Assumption!$E$194,Assumption!$E$195))</f>
        <v>148.0447584</v>
      </c>
      <c r="CL36" s="158" t="n">
        <f aca="false">(CL14=1)*Assumption!$E$187*Assumption!$E$188/1000*(1+Assumption!$E$190)^INT((CL15-1)/Assumption!$E$191)*(1-CHOOSE(MIN(MAX(CL16,1),3),Assumption!$E$193,Assumption!$E$194,Assumption!$E$195))</f>
        <v>148.0447584</v>
      </c>
      <c r="CM36" s="158" t="n">
        <f aca="false">(CM14=1)*Assumption!$E$187*Assumption!$E$188/1000*(1+Assumption!$E$190)^INT((CM15-1)/Assumption!$E$191)*(1-CHOOSE(MIN(MAX(CM16,1),3),Assumption!$E$193,Assumption!$E$194,Assumption!$E$195))</f>
        <v>148.0447584</v>
      </c>
      <c r="CN36" s="158" t="n">
        <f aca="false">(CN14=1)*Assumption!$E$187*Assumption!$E$188/1000*(1+Assumption!$E$190)^INT((CN15-1)/Assumption!$E$191)*(1-CHOOSE(MIN(MAX(CN16,1),3),Assumption!$E$193,Assumption!$E$194,Assumption!$E$195))</f>
        <v>148.0447584</v>
      </c>
      <c r="CO36" s="158" t="n">
        <f aca="false">(CO14=1)*Assumption!$E$187*Assumption!$E$188/1000*(1+Assumption!$E$190)^INT((CO15-1)/Assumption!$E$191)*(1-CHOOSE(MIN(MAX(CO16,1),3),Assumption!$E$193,Assumption!$E$194,Assumption!$E$195))</f>
        <v>148.0447584</v>
      </c>
      <c r="CP36" s="158" t="n">
        <f aca="false">(CP14=1)*Assumption!$E$187*Assumption!$E$188/1000*(1+Assumption!$E$190)^INT((CP15-1)/Assumption!$E$191)*(1-CHOOSE(MIN(MAX(CP16,1),3),Assumption!$E$193,Assumption!$E$194,Assumption!$E$195))</f>
        <v>148.0447584</v>
      </c>
      <c r="CQ36" s="158" t="n">
        <f aca="false">(CQ14=1)*Assumption!$E$187*Assumption!$E$188/1000*(1+Assumption!$E$190)^INT((CQ15-1)/Assumption!$E$191)*(1-CHOOSE(MIN(MAX(CQ16,1),3),Assumption!$E$193,Assumption!$E$194,Assumption!$E$195))</f>
        <v>148.0447584</v>
      </c>
      <c r="CR36" s="158" t="n">
        <f aca="false">(CR14=1)*Assumption!$E$187*Assumption!$E$188/1000*(1+Assumption!$E$190)^INT((CR15-1)/Assumption!$E$191)*(1-CHOOSE(MIN(MAX(CR16,1),3),Assumption!$E$193,Assumption!$E$194,Assumption!$E$195))</f>
        <v>148.0447584</v>
      </c>
      <c r="CS36" s="158" t="n">
        <f aca="false">(CS14=1)*Assumption!$E$187*Assumption!$E$188/1000*(1+Assumption!$E$190)^INT((CS15-1)/Assumption!$E$191)*(1-CHOOSE(MIN(MAX(CS16,1),3),Assumption!$E$193,Assumption!$E$194,Assumption!$E$195))</f>
        <v>148.0447584</v>
      </c>
      <c r="CT36" s="158" t="n">
        <f aca="false">(CT14=1)*Assumption!$E$187*Assumption!$E$188/1000*(1+Assumption!$E$190)^INT((CT15-1)/Assumption!$E$191)*(1-CHOOSE(MIN(MAX(CT16,1),3),Assumption!$E$193,Assumption!$E$194,Assumption!$E$195))</f>
        <v>148.0447584</v>
      </c>
      <c r="CU36" s="158" t="n">
        <f aca="false">(CU14=1)*Assumption!$E$187*Assumption!$E$188/1000*(1+Assumption!$E$190)^INT((CU15-1)/Assumption!$E$191)*(1-CHOOSE(MIN(MAX(CU16,1),3),Assumption!$E$193,Assumption!$E$194,Assumption!$E$195))</f>
        <v>148.0447584</v>
      </c>
      <c r="CV36" s="158" t="n">
        <f aca="false">(CV14=1)*Assumption!$E$187*Assumption!$E$188/1000*(1+Assumption!$E$190)^INT((CV15-1)/Assumption!$E$191)*(1-CHOOSE(MIN(MAX(CV16,1),3),Assumption!$E$193,Assumption!$E$194,Assumption!$E$195))</f>
        <v>148.0447584</v>
      </c>
      <c r="CW36" s="158" t="n">
        <f aca="false">(CW14=1)*Assumption!$E$187*Assumption!$E$188/1000*(1+Assumption!$E$190)^INT((CW15-1)/Assumption!$E$191)*(1-CHOOSE(MIN(MAX(CW16,1),3),Assumption!$E$193,Assumption!$E$194,Assumption!$E$195))</f>
        <v>151.005653568</v>
      </c>
      <c r="CX36" s="158" t="n">
        <f aca="false">(CX14=1)*Assumption!$E$187*Assumption!$E$188/1000*(1+Assumption!$E$190)^INT((CX15-1)/Assumption!$E$191)*(1-CHOOSE(MIN(MAX(CX16,1),3),Assumption!$E$193,Assumption!$E$194,Assumption!$E$195))</f>
        <v>151.005653568</v>
      </c>
      <c r="CY36" s="158" t="n">
        <f aca="false">(CY14=1)*Assumption!$E$187*Assumption!$E$188/1000*(1+Assumption!$E$190)^INT((CY15-1)/Assumption!$E$191)*(1-CHOOSE(MIN(MAX(CY16,1),3),Assumption!$E$193,Assumption!$E$194,Assumption!$E$195))</f>
        <v>151.005653568</v>
      </c>
      <c r="CZ36" s="158" t="n">
        <f aca="false">(CZ14=1)*Assumption!$E$187*Assumption!$E$188/1000*(1+Assumption!$E$190)^INT((CZ15-1)/Assumption!$E$191)*(1-CHOOSE(MIN(MAX(CZ16,1),3),Assumption!$E$193,Assumption!$E$194,Assumption!$E$195))</f>
        <v>151.005653568</v>
      </c>
      <c r="DA36" s="158" t="n">
        <f aca="false">(DA14=1)*Assumption!$E$187*Assumption!$E$188/1000*(1+Assumption!$E$190)^INT((DA15-1)/Assumption!$E$191)*(1-CHOOSE(MIN(MAX(DA16,1),3),Assumption!$E$193,Assumption!$E$194,Assumption!$E$195))</f>
        <v>151.005653568</v>
      </c>
      <c r="DB36" s="158" t="n">
        <f aca="false">(DB14=1)*Assumption!$E$187*Assumption!$E$188/1000*(1+Assumption!$E$190)^INT((DB15-1)/Assumption!$E$191)*(1-CHOOSE(MIN(MAX(DB16,1),3),Assumption!$E$193,Assumption!$E$194,Assumption!$E$195))</f>
        <v>151.005653568</v>
      </c>
      <c r="DC36" s="158" t="n">
        <f aca="false">(DC14=1)*Assumption!$E$187*Assumption!$E$188/1000*(1+Assumption!$E$190)^INT((DC15-1)/Assumption!$E$191)*(1-CHOOSE(MIN(MAX(DC16,1),3),Assumption!$E$193,Assumption!$E$194,Assumption!$E$195))</f>
        <v>151.005653568</v>
      </c>
      <c r="DD36" s="158" t="n">
        <f aca="false">(DD14=1)*Assumption!$E$187*Assumption!$E$188/1000*(1+Assumption!$E$190)^INT((DD15-1)/Assumption!$E$191)*(1-CHOOSE(MIN(MAX(DD16,1),3),Assumption!$E$193,Assumption!$E$194,Assumption!$E$195))</f>
        <v>151.005653568</v>
      </c>
      <c r="DE36" s="158" t="n">
        <f aca="false">(DE14=1)*Assumption!$E$187*Assumption!$E$188/1000*(1+Assumption!$E$190)^INT((DE15-1)/Assumption!$E$191)*(1-CHOOSE(MIN(MAX(DE16,1),3),Assumption!$E$193,Assumption!$E$194,Assumption!$E$195))</f>
        <v>151.005653568</v>
      </c>
      <c r="DF36" s="158" t="n">
        <f aca="false">(DF14=1)*Assumption!$E$187*Assumption!$E$188/1000*(1+Assumption!$E$190)^INT((DF15-1)/Assumption!$E$191)*(1-CHOOSE(MIN(MAX(DF16,1),3),Assumption!$E$193,Assumption!$E$194,Assumption!$E$195))</f>
        <v>151.005653568</v>
      </c>
      <c r="DG36" s="158" t="n">
        <f aca="false">(DG14=1)*Assumption!$E$187*Assumption!$E$188/1000*(1+Assumption!$E$190)^INT((DG15-1)/Assumption!$E$191)*(1-CHOOSE(MIN(MAX(DG16,1),3),Assumption!$E$193,Assumption!$E$194,Assumption!$E$195))</f>
        <v>151.005653568</v>
      </c>
      <c r="DH36" s="158" t="n">
        <f aca="false">(DH14=1)*Assumption!$E$187*Assumption!$E$188/1000*(1+Assumption!$E$190)^INT((DH15-1)/Assumption!$E$191)*(1-CHOOSE(MIN(MAX(DH16,1),3),Assumption!$E$193,Assumption!$E$194,Assumption!$E$195))</f>
        <v>151.005653568</v>
      </c>
      <c r="DI36" s="158" t="n">
        <f aca="false">(DI14=1)*Assumption!$E$187*Assumption!$E$188/1000*(1+Assumption!$E$190)^INT((DI15-1)/Assumption!$E$191)*(1-CHOOSE(MIN(MAX(DI16,1),3),Assumption!$E$193,Assumption!$E$194,Assumption!$E$195))</f>
        <v>154.02576663936</v>
      </c>
      <c r="DJ36" s="158" t="n">
        <f aca="false">(DJ14=1)*Assumption!$E$187*Assumption!$E$188/1000*(1+Assumption!$E$190)^INT((DJ15-1)/Assumption!$E$191)*(1-CHOOSE(MIN(MAX(DJ16,1),3),Assumption!$E$193,Assumption!$E$194,Assumption!$E$195))</f>
        <v>154.02576663936</v>
      </c>
      <c r="DK36" s="158" t="n">
        <f aca="false">(DK14=1)*Assumption!$E$187*Assumption!$E$188/1000*(1+Assumption!$E$190)^INT((DK15-1)/Assumption!$E$191)*(1-CHOOSE(MIN(MAX(DK16,1),3),Assumption!$E$193,Assumption!$E$194,Assumption!$E$195))</f>
        <v>154.02576663936</v>
      </c>
      <c r="DL36" s="158" t="n">
        <f aca="false">(DL14=1)*Assumption!$E$187*Assumption!$E$188/1000*(1+Assumption!$E$190)^INT((DL15-1)/Assumption!$E$191)*(1-CHOOSE(MIN(MAX(DL16,1),3),Assumption!$E$193,Assumption!$E$194,Assumption!$E$195))</f>
        <v>154.02576663936</v>
      </c>
      <c r="DM36" s="158" t="n">
        <f aca="false">(DM14=1)*Assumption!$E$187*Assumption!$E$188/1000*(1+Assumption!$E$190)^INT((DM15-1)/Assumption!$E$191)*(1-CHOOSE(MIN(MAX(DM16,1),3),Assumption!$E$193,Assumption!$E$194,Assumption!$E$195))</f>
        <v>154.02576663936</v>
      </c>
      <c r="DN36" s="158" t="n">
        <f aca="false">(DN14=1)*Assumption!$E$187*Assumption!$E$188/1000*(1+Assumption!$E$190)^INT((DN15-1)/Assumption!$E$191)*(1-CHOOSE(MIN(MAX(DN16,1),3),Assumption!$E$193,Assumption!$E$194,Assumption!$E$195))</f>
        <v>154.02576663936</v>
      </c>
      <c r="DO36" s="158" t="n">
        <f aca="false">(DO14=1)*Assumption!$E$187*Assumption!$E$188/1000*(1+Assumption!$E$190)^INT((DO15-1)/Assumption!$E$191)*(1-CHOOSE(MIN(MAX(DO16,1),3),Assumption!$E$193,Assumption!$E$194,Assumption!$E$195))</f>
        <v>154.02576663936</v>
      </c>
      <c r="DP36" s="158" t="n">
        <f aca="false">(DP14=1)*Assumption!$E$187*Assumption!$E$188/1000*(1+Assumption!$E$190)^INT((DP15-1)/Assumption!$E$191)*(1-CHOOSE(MIN(MAX(DP16,1),3),Assumption!$E$193,Assumption!$E$194,Assumption!$E$195))</f>
        <v>154.02576663936</v>
      </c>
      <c r="DQ36" s="158" t="n">
        <f aca="false">(DQ14=1)*Assumption!$E$187*Assumption!$E$188/1000*(1+Assumption!$E$190)^INT((DQ15-1)/Assumption!$E$191)*(1-CHOOSE(MIN(MAX(DQ16,1),3),Assumption!$E$193,Assumption!$E$194,Assumption!$E$195))</f>
        <v>154.02576663936</v>
      </c>
      <c r="DR36" s="158" t="n">
        <f aca="false">(DR14=1)*Assumption!$E$187*Assumption!$E$188/1000*(1+Assumption!$E$190)^INT((DR15-1)/Assumption!$E$191)*(1-CHOOSE(MIN(MAX(DR16,1),3),Assumption!$E$193,Assumption!$E$194,Assumption!$E$195))</f>
        <v>154.02576663936</v>
      </c>
      <c r="DS36" s="158" t="n">
        <f aca="false">(DS14=1)*Assumption!$E$187*Assumption!$E$188/1000*(1+Assumption!$E$190)^INT((DS15-1)/Assumption!$E$191)*(1-CHOOSE(MIN(MAX(DS16,1),3),Assumption!$E$193,Assumption!$E$194,Assumption!$E$195))</f>
        <v>154.02576663936</v>
      </c>
      <c r="DT36" s="158" t="n">
        <f aca="false">(DT14=1)*Assumption!$E$187*Assumption!$E$188/1000*(1+Assumption!$E$190)^INT((DT15-1)/Assumption!$E$191)*(1-CHOOSE(MIN(MAX(DT16,1),3),Assumption!$E$193,Assumption!$E$194,Assumption!$E$195))</f>
        <v>154.02576663936</v>
      </c>
      <c r="DU36" s="158" t="n">
        <f aca="false">(DU14=1)*Assumption!$E$187*Assumption!$E$188/1000*(1+Assumption!$E$190)^INT((DU15-1)/Assumption!$E$191)*(1-CHOOSE(MIN(MAX(DU16,1),3),Assumption!$E$193,Assumption!$E$194,Assumption!$E$195))</f>
        <v>0</v>
      </c>
      <c r="DV36" s="158" t="n">
        <f aca="false">(DV14=1)*Assumption!$E$187*Assumption!$E$188/1000*(1+Assumption!$E$190)^INT((DV15-1)/Assumption!$E$191)*(1-CHOOSE(MIN(MAX(DV16,1),3),Assumption!$E$193,Assumption!$E$194,Assumption!$E$195))</f>
        <v>0</v>
      </c>
      <c r="DW36" s="158" t="n">
        <f aca="false">(DW14=1)*Assumption!$E$187*Assumption!$E$188/1000*(1+Assumption!$E$190)^INT((DW15-1)/Assumption!$E$191)*(1-CHOOSE(MIN(MAX(DW16,1),3),Assumption!$E$193,Assumption!$E$194,Assumption!$E$195))</f>
        <v>0</v>
      </c>
      <c r="DX36" s="158" t="n">
        <f aca="false">(DX14=1)*Assumption!$E$187*Assumption!$E$188/1000*(1+Assumption!$E$190)^INT((DX15-1)/Assumption!$E$191)*(1-CHOOSE(MIN(MAX(DX16,1),3),Assumption!$E$193,Assumption!$E$194,Assumption!$E$195))</f>
        <v>0</v>
      </c>
      <c r="DY36" s="158" t="n">
        <f aca="false">(DY14=1)*Assumption!$E$187*Assumption!$E$188/1000*(1+Assumption!$E$190)^INT((DY15-1)/Assumption!$E$191)*(1-CHOOSE(MIN(MAX(DY16,1),3),Assumption!$E$193,Assumption!$E$194,Assumption!$E$195))</f>
        <v>0</v>
      </c>
      <c r="DZ36" s="158" t="n">
        <f aca="false">(DZ14=1)*Assumption!$E$187*Assumption!$E$188/1000*(1+Assumption!$E$190)^INT((DZ15-1)/Assumption!$E$191)*(1-CHOOSE(MIN(MAX(DZ16,1),3),Assumption!$E$193,Assumption!$E$194,Assumption!$E$195))</f>
        <v>0</v>
      </c>
      <c r="EA36" s="158" t="n">
        <f aca="false">(EA14=1)*Assumption!$E$187*Assumption!$E$188/1000*(1+Assumption!$E$190)^INT((EA15-1)/Assumption!$E$191)*(1-CHOOSE(MIN(MAX(EA16,1),3),Assumption!$E$193,Assumption!$E$194,Assumption!$E$195))</f>
        <v>0</v>
      </c>
      <c r="EB36" s="158" t="n">
        <f aca="false">(EB14=1)*Assumption!$E$187*Assumption!$E$188/1000*(1+Assumption!$E$190)^INT((EB15-1)/Assumption!$E$191)*(1-CHOOSE(MIN(MAX(EB16,1),3),Assumption!$E$193,Assumption!$E$194,Assumption!$E$195))</f>
        <v>0</v>
      </c>
      <c r="EC36" s="158" t="n">
        <f aca="false">(EC14=1)*Assumption!$E$187*Assumption!$E$188/1000*(1+Assumption!$E$190)^INT((EC15-1)/Assumption!$E$191)*(1-CHOOSE(MIN(MAX(EC16,1),3),Assumption!$E$193,Assumption!$E$194,Assumption!$E$195))</f>
        <v>0</v>
      </c>
      <c r="ED36" s="158" t="n">
        <f aca="false">(ED14=1)*Assumption!$E$187*Assumption!$E$188/1000*(1+Assumption!$E$190)^INT((ED15-1)/Assumption!$E$191)*(1-CHOOSE(MIN(MAX(ED16,1),3),Assumption!$E$193,Assumption!$E$194,Assumption!$E$195))</f>
        <v>0</v>
      </c>
      <c r="EE36" s="158" t="n">
        <f aca="false">(EE14=1)*Assumption!$E$187*Assumption!$E$188/1000*(1+Assumption!$E$190)^INT((EE15-1)/Assumption!$E$191)*(1-CHOOSE(MIN(MAX(EE16,1),3),Assumption!$E$193,Assumption!$E$194,Assumption!$E$195))</f>
        <v>0</v>
      </c>
      <c r="EF36" s="158" t="n">
        <f aca="false">(EF14=1)*Assumption!$E$187*Assumption!$E$188/1000*(1+Assumption!$E$190)^INT((EF15-1)/Assumption!$E$191)*(1-CHOOSE(MIN(MAX(EF16,1),3),Assumption!$E$193,Assumption!$E$194,Assumption!$E$195))</f>
        <v>0</v>
      </c>
    </row>
    <row r="37" customFormat="false" ht="15" hidden="false" customHeight="false" outlineLevel="0" collapsed="false">
      <c r="A37" s="35" t="s">
        <v>503</v>
      </c>
      <c r="B37" s="241" t="s">
        <v>116</v>
      </c>
      <c r="C37" s="242" t="n">
        <f aca="false">SUM(E37:EF37)</f>
        <v>9520.8955535232</v>
      </c>
      <c r="E37" s="158" t="n">
        <f aca="false">(E14=1)*Assumption!$E$200*Assumption!$E$201/1000*(1+Assumption!$E$203)^INT((E15-1)/Assumption!$E$204)*(1-CHOOSE(MIN(MAX(E16,1),3),Assumption!$E$206,Assumption!$E$207,Assumption!$E$208))</f>
        <v>0</v>
      </c>
      <c r="F37" s="158" t="n">
        <f aca="false">(F14=1)*Assumption!$E$200*Assumption!$E$201/1000*(1+Assumption!$E$203)^INT((F15-1)/Assumption!$E$204)*(1-CHOOSE(MIN(MAX(F16,1),3),Assumption!$E$206,Assumption!$E$207,Assumption!$E$208))</f>
        <v>0</v>
      </c>
      <c r="G37" s="158" t="n">
        <f aca="false">(G14=1)*Assumption!$E$200*Assumption!$E$201/1000*(1+Assumption!$E$203)^INT((G15-1)/Assumption!$E$204)*(1-CHOOSE(MIN(MAX(G16,1),3),Assumption!$E$206,Assumption!$E$207,Assumption!$E$208))</f>
        <v>0</v>
      </c>
      <c r="H37" s="158" t="n">
        <f aca="false">(H14=1)*Assumption!$E$200*Assumption!$E$201/1000*(1+Assumption!$E$203)^INT((H15-1)/Assumption!$E$204)*(1-CHOOSE(MIN(MAX(H16,1),3),Assumption!$E$206,Assumption!$E$207,Assumption!$E$208))</f>
        <v>0</v>
      </c>
      <c r="I37" s="158" t="n">
        <f aca="false">(I14=1)*Assumption!$E$200*Assumption!$E$201/1000*(1+Assumption!$E$203)^INT((I15-1)/Assumption!$E$204)*(1-CHOOSE(MIN(MAX(I16,1),3),Assumption!$E$206,Assumption!$E$207,Assumption!$E$208))</f>
        <v>0</v>
      </c>
      <c r="J37" s="158" t="n">
        <f aca="false">(J14=1)*Assumption!$E$200*Assumption!$E$201/1000*(1+Assumption!$E$203)^INT((J15-1)/Assumption!$E$204)*(1-CHOOSE(MIN(MAX(J16,1),3),Assumption!$E$206,Assumption!$E$207,Assumption!$E$208))</f>
        <v>0</v>
      </c>
      <c r="K37" s="158" t="n">
        <f aca="false">(K14=1)*Assumption!$E$200*Assumption!$E$201/1000*(1+Assumption!$E$203)^INT((K15-1)/Assumption!$E$204)*(1-CHOOSE(MIN(MAX(K16,1),3),Assumption!$E$206,Assumption!$E$207,Assumption!$E$208))</f>
        <v>0</v>
      </c>
      <c r="L37" s="158" t="n">
        <f aca="false">(L14=1)*Assumption!$E$200*Assumption!$E$201/1000*(1+Assumption!$E$203)^INT((L15-1)/Assumption!$E$204)*(1-CHOOSE(MIN(MAX(L16,1),3),Assumption!$E$206,Assumption!$E$207,Assumption!$E$208))</f>
        <v>0</v>
      </c>
      <c r="M37" s="158" t="n">
        <f aca="false">(M14=1)*Assumption!$E$200*Assumption!$E$201/1000*(1+Assumption!$E$203)^INT((M15-1)/Assumption!$E$204)*(1-CHOOSE(MIN(MAX(M16,1),3),Assumption!$E$206,Assumption!$E$207,Assumption!$E$208))</f>
        <v>0</v>
      </c>
      <c r="N37" s="158" t="n">
        <f aca="false">(N14=1)*Assumption!$E$200*Assumption!$E$201/1000*(1+Assumption!$E$203)^INT((N15-1)/Assumption!$E$204)*(1-CHOOSE(MIN(MAX(N16,1),3),Assumption!$E$206,Assumption!$E$207,Assumption!$E$208))</f>
        <v>0</v>
      </c>
      <c r="O37" s="158" t="n">
        <f aca="false">(O14=1)*Assumption!$E$200*Assumption!$E$201/1000*(1+Assumption!$E$203)^INT((O15-1)/Assumption!$E$204)*(1-CHOOSE(MIN(MAX(O16,1),3),Assumption!$E$206,Assumption!$E$207,Assumption!$E$208))</f>
        <v>0</v>
      </c>
      <c r="P37" s="158" t="n">
        <f aca="false">(P14=1)*Assumption!$E$200*Assumption!$E$201/1000*(1+Assumption!$E$203)^INT((P15-1)/Assumption!$E$204)*(1-CHOOSE(MIN(MAX(P16,1),3),Assumption!$E$206,Assumption!$E$207,Assumption!$E$208))</f>
        <v>0</v>
      </c>
      <c r="Q37" s="158" t="n">
        <f aca="false">(Q14=1)*Assumption!$E$200*Assumption!$E$201/1000*(1+Assumption!$E$203)^INT((Q15-1)/Assumption!$E$204)*(1-CHOOSE(MIN(MAX(Q16,1),3),Assumption!$E$206,Assumption!$E$207,Assumption!$E$208))</f>
        <v>0</v>
      </c>
      <c r="R37" s="158" t="n">
        <f aca="false">(R14=1)*Assumption!$E$200*Assumption!$E$201/1000*(1+Assumption!$E$203)^INT((R15-1)/Assumption!$E$204)*(1-CHOOSE(MIN(MAX(R16,1),3),Assumption!$E$206,Assumption!$E$207,Assumption!$E$208))</f>
        <v>0</v>
      </c>
      <c r="S37" s="158" t="n">
        <f aca="false">(S14=1)*Assumption!$E$200*Assumption!$E$201/1000*(1+Assumption!$E$203)^INT((S15-1)/Assumption!$E$204)*(1-CHOOSE(MIN(MAX(S16,1),3),Assumption!$E$206,Assumption!$E$207,Assumption!$E$208))</f>
        <v>0</v>
      </c>
      <c r="T37" s="158" t="n">
        <f aca="false">(T14=1)*Assumption!$E$200*Assumption!$E$201/1000*(1+Assumption!$E$203)^INT((T15-1)/Assumption!$E$204)*(1-CHOOSE(MIN(MAX(T16,1),3),Assumption!$E$206,Assumption!$E$207,Assumption!$E$208))</f>
        <v>0</v>
      </c>
      <c r="U37" s="158" t="n">
        <f aca="false">(U14=1)*Assumption!$E$200*Assumption!$E$201/1000*(1+Assumption!$E$203)^INT((U15-1)/Assumption!$E$204)*(1-CHOOSE(MIN(MAX(U16,1),3),Assumption!$E$206,Assumption!$E$207,Assumption!$E$208))</f>
        <v>0</v>
      </c>
      <c r="V37" s="158" t="n">
        <f aca="false">(V14=1)*Assumption!$E$200*Assumption!$E$201/1000*(1+Assumption!$E$203)^INT((V15-1)/Assumption!$E$204)*(1-CHOOSE(MIN(MAX(V16,1),3),Assumption!$E$206,Assumption!$E$207,Assumption!$E$208))</f>
        <v>0</v>
      </c>
      <c r="W37" s="158" t="n">
        <f aca="false">(W14=1)*Assumption!$E$200*Assumption!$E$201/1000*(1+Assumption!$E$203)^INT((W15-1)/Assumption!$E$204)*(1-CHOOSE(MIN(MAX(W16,1),3),Assumption!$E$206,Assumption!$E$207,Assumption!$E$208))</f>
        <v>0</v>
      </c>
      <c r="X37" s="158" t="n">
        <f aca="false">(X14=1)*Assumption!$E$200*Assumption!$E$201/1000*(1+Assumption!$E$203)^INT((X15-1)/Assumption!$E$204)*(1-CHOOSE(MIN(MAX(X16,1),3),Assumption!$E$206,Assumption!$E$207,Assumption!$E$208))</f>
        <v>0</v>
      </c>
      <c r="Y37" s="158" t="n">
        <f aca="false">(Y14=1)*Assumption!$E$200*Assumption!$E$201/1000*(1+Assumption!$E$203)^INT((Y15-1)/Assumption!$E$204)*(1-CHOOSE(MIN(MAX(Y16,1),3),Assumption!$E$206,Assumption!$E$207,Assumption!$E$208))</f>
        <v>0</v>
      </c>
      <c r="Z37" s="158" t="n">
        <f aca="false">(Z14=1)*Assumption!$E$200*Assumption!$E$201/1000*(1+Assumption!$E$203)^INT((Z15-1)/Assumption!$E$204)*(1-CHOOSE(MIN(MAX(Z16,1),3),Assumption!$E$206,Assumption!$E$207,Assumption!$E$208))</f>
        <v>0</v>
      </c>
      <c r="AA37" s="158" t="n">
        <f aca="false">(AA14=1)*Assumption!$E$200*Assumption!$E$201/1000*(1+Assumption!$E$203)^INT((AA15-1)/Assumption!$E$204)*(1-CHOOSE(MIN(MAX(AA16,1),3),Assumption!$E$206,Assumption!$E$207,Assumption!$E$208))</f>
        <v>0</v>
      </c>
      <c r="AB37" s="158" t="n">
        <f aca="false">(AB14=1)*Assumption!$E$200*Assumption!$E$201/1000*(1+Assumption!$E$203)^INT((AB15-1)/Assumption!$E$204)*(1-CHOOSE(MIN(MAX(AB16,1),3),Assumption!$E$206,Assumption!$E$207,Assumption!$E$208))</f>
        <v>0</v>
      </c>
      <c r="AC37" s="158" t="n">
        <f aca="false">(AC14=1)*Assumption!$E$200*Assumption!$E$201/1000*(1+Assumption!$E$203)^INT((AC15-1)/Assumption!$E$204)*(1-CHOOSE(MIN(MAX(AC16,1),3),Assumption!$E$206,Assumption!$E$207,Assumption!$E$208))</f>
        <v>0</v>
      </c>
      <c r="AD37" s="158" t="n">
        <f aca="false">(AD14=1)*Assumption!$E$200*Assumption!$E$201/1000*(1+Assumption!$E$203)^INT((AD15-1)/Assumption!$E$204)*(1-CHOOSE(MIN(MAX(AD16,1),3),Assumption!$E$206,Assumption!$E$207,Assumption!$E$208))</f>
        <v>0</v>
      </c>
      <c r="AE37" s="158" t="n">
        <f aca="false">(AE14=1)*Assumption!$E$200*Assumption!$E$201/1000*(1+Assumption!$E$203)^INT((AE15-1)/Assumption!$E$204)*(1-CHOOSE(MIN(MAX(AE16,1),3),Assumption!$E$206,Assumption!$E$207,Assumption!$E$208))</f>
        <v>0</v>
      </c>
      <c r="AF37" s="158" t="n">
        <f aca="false">(AF14=1)*Assumption!$E$200*Assumption!$E$201/1000*(1+Assumption!$E$203)^INT((AF15-1)/Assumption!$E$204)*(1-CHOOSE(MIN(MAX(AF16,1),3),Assumption!$E$206,Assumption!$E$207,Assumption!$E$208))</f>
        <v>0</v>
      </c>
      <c r="AG37" s="158" t="n">
        <f aca="false">(AG14=1)*Assumption!$E$200*Assumption!$E$201/1000*(1+Assumption!$E$203)^INT((AG15-1)/Assumption!$E$204)*(1-CHOOSE(MIN(MAX(AG16,1),3),Assumption!$E$206,Assumption!$E$207,Assumption!$E$208))</f>
        <v>0</v>
      </c>
      <c r="AH37" s="158" t="n">
        <f aca="false">(AH14=1)*Assumption!$E$200*Assumption!$E$201/1000*(1+Assumption!$E$203)^INT((AH15-1)/Assumption!$E$204)*(1-CHOOSE(MIN(MAX(AH16,1),3),Assumption!$E$206,Assumption!$E$207,Assumption!$E$208))</f>
        <v>0</v>
      </c>
      <c r="AI37" s="158" t="n">
        <f aca="false">(AI14=1)*Assumption!$E$200*Assumption!$E$201/1000*(1+Assumption!$E$203)^INT((AI15-1)/Assumption!$E$204)*(1-CHOOSE(MIN(MAX(AI16,1),3),Assumption!$E$206,Assumption!$E$207,Assumption!$E$208))</f>
        <v>0</v>
      </c>
      <c r="AJ37" s="158" t="n">
        <f aca="false">(AJ14=1)*Assumption!$E$200*Assumption!$E$201/1000*(1+Assumption!$E$203)^INT((AJ15-1)/Assumption!$E$204)*(1-CHOOSE(MIN(MAX(AJ16,1),3),Assumption!$E$206,Assumption!$E$207,Assumption!$E$208))</f>
        <v>0</v>
      </c>
      <c r="AK37" s="158" t="n">
        <f aca="false">(AK14=1)*Assumption!$E$200*Assumption!$E$201/1000*(1+Assumption!$E$203)^INT((AK15-1)/Assumption!$E$204)*(1-CHOOSE(MIN(MAX(AK16,1),3),Assumption!$E$206,Assumption!$E$207,Assumption!$E$208))</f>
        <v>0</v>
      </c>
      <c r="AL37" s="158" t="n">
        <f aca="false">(AL14=1)*Assumption!$E$200*Assumption!$E$201/1000*(1+Assumption!$E$203)^INT((AL15-1)/Assumption!$E$204)*(1-CHOOSE(MIN(MAX(AL16,1),3),Assumption!$E$206,Assumption!$E$207,Assumption!$E$208))</f>
        <v>0</v>
      </c>
      <c r="AM37" s="158" t="n">
        <f aca="false">(AM14=1)*Assumption!$E$200*Assumption!$E$201/1000*(1+Assumption!$E$203)^INT((AM15-1)/Assumption!$E$204)*(1-CHOOSE(MIN(MAX(AM16,1),3),Assumption!$E$206,Assumption!$E$207,Assumption!$E$208))</f>
        <v>0</v>
      </c>
      <c r="AN37" s="158" t="n">
        <f aca="false">(AN14=1)*Assumption!$E$200*Assumption!$E$201/1000*(1+Assumption!$E$203)^INT((AN15-1)/Assumption!$E$204)*(1-CHOOSE(MIN(MAX(AN16,1),3),Assumption!$E$206,Assumption!$E$207,Assumption!$E$208))</f>
        <v>0</v>
      </c>
      <c r="AO37" s="158" t="n">
        <f aca="false">(AO14=1)*Assumption!$E$200*Assumption!$E$201/1000*(1+Assumption!$E$203)^INT((AO15-1)/Assumption!$E$204)*(1-CHOOSE(MIN(MAX(AO16,1),3),Assumption!$E$206,Assumption!$E$207,Assumption!$E$208))</f>
        <v>0</v>
      </c>
      <c r="AP37" s="158" t="n">
        <f aca="false">(AP14=1)*Assumption!$E$200*Assumption!$E$201/1000*(1+Assumption!$E$203)^INT((AP15-1)/Assumption!$E$204)*(1-CHOOSE(MIN(MAX(AP16,1),3),Assumption!$E$206,Assumption!$E$207,Assumption!$E$208))</f>
        <v>0</v>
      </c>
      <c r="AQ37" s="158" t="n">
        <f aca="false">(AQ14=1)*Assumption!$E$200*Assumption!$E$201/1000*(1+Assumption!$E$203)^INT((AQ15-1)/Assumption!$E$204)*(1-CHOOSE(MIN(MAX(AQ16,1),3),Assumption!$E$206,Assumption!$E$207,Assumption!$E$208))</f>
        <v>0</v>
      </c>
      <c r="AR37" s="158" t="n">
        <f aca="false">(AR14=1)*Assumption!$E$200*Assumption!$E$201/1000*(1+Assumption!$E$203)^INT((AR15-1)/Assumption!$E$204)*(1-CHOOSE(MIN(MAX(AR16,1),3),Assumption!$E$206,Assumption!$E$207,Assumption!$E$208))</f>
        <v>0</v>
      </c>
      <c r="AS37" s="158" t="n">
        <f aca="false">(AS14=1)*Assumption!$E$200*Assumption!$E$201/1000*(1+Assumption!$E$203)^INT((AS15-1)/Assumption!$E$204)*(1-CHOOSE(MIN(MAX(AS16,1),3),Assumption!$E$206,Assumption!$E$207,Assumption!$E$208))</f>
        <v>0</v>
      </c>
      <c r="AT37" s="158" t="n">
        <f aca="false">(AT14=1)*Assumption!$E$200*Assumption!$E$201/1000*(1+Assumption!$E$203)^INT((AT15-1)/Assumption!$E$204)*(1-CHOOSE(MIN(MAX(AT16,1),3),Assumption!$E$206,Assumption!$E$207,Assumption!$E$208))</f>
        <v>0</v>
      </c>
      <c r="AU37" s="158" t="n">
        <f aca="false">(AU14=1)*Assumption!$E$200*Assumption!$E$201/1000*(1+Assumption!$E$203)^INT((AU15-1)/Assumption!$E$204)*(1-CHOOSE(MIN(MAX(AU16,1),3),Assumption!$E$206,Assumption!$E$207,Assumption!$E$208))</f>
        <v>0</v>
      </c>
      <c r="AV37" s="158" t="n">
        <f aca="false">(AV14=1)*Assumption!$E$200*Assumption!$E$201/1000*(1+Assumption!$E$203)^INT((AV15-1)/Assumption!$E$204)*(1-CHOOSE(MIN(MAX(AV16,1),3),Assumption!$E$206,Assumption!$E$207,Assumption!$E$208))</f>
        <v>0</v>
      </c>
      <c r="AW37" s="158" t="n">
        <f aca="false">(AW14=1)*Assumption!$E$200*Assumption!$E$201/1000*(1+Assumption!$E$203)^INT((AW15-1)/Assumption!$E$204)*(1-CHOOSE(MIN(MAX(AW16,1),3),Assumption!$E$206,Assumption!$E$207,Assumption!$E$208))</f>
        <v>0</v>
      </c>
      <c r="AX37" s="158" t="n">
        <f aca="false">(AX14=1)*Assumption!$E$200*Assumption!$E$201/1000*(1+Assumption!$E$203)^INT((AX15-1)/Assumption!$E$204)*(1-CHOOSE(MIN(MAX(AX16,1),3),Assumption!$E$206,Assumption!$E$207,Assumption!$E$208))</f>
        <v>0</v>
      </c>
      <c r="AY37" s="158" t="n">
        <f aca="false">(AY14=1)*Assumption!$E$200*Assumption!$E$201/1000*(1+Assumption!$E$203)^INT((AY15-1)/Assumption!$E$204)*(1-CHOOSE(MIN(MAX(AY16,1),3),Assumption!$E$206,Assumption!$E$207,Assumption!$E$208))</f>
        <v>0</v>
      </c>
      <c r="AZ37" s="158" t="n">
        <f aca="false">(AZ14=1)*Assumption!$E$200*Assumption!$E$201/1000*(1+Assumption!$E$203)^INT((AZ15-1)/Assumption!$E$204)*(1-CHOOSE(MIN(MAX(AZ16,1),3),Assumption!$E$206,Assumption!$E$207,Assumption!$E$208))</f>
        <v>0</v>
      </c>
      <c r="BA37" s="158" t="n">
        <f aca="false">(BA14=1)*Assumption!$E$200*Assumption!$E$201/1000*(1+Assumption!$E$203)^INT((BA15-1)/Assumption!$E$204)*(1-CHOOSE(MIN(MAX(BA16,1),3),Assumption!$E$206,Assumption!$E$207,Assumption!$E$208))</f>
        <v>0</v>
      </c>
      <c r="BB37" s="158" t="n">
        <f aca="false">(BB14=1)*Assumption!$E$200*Assumption!$E$201/1000*(1+Assumption!$E$203)^INT((BB15-1)/Assumption!$E$204)*(1-CHOOSE(MIN(MAX(BB16,1),3),Assumption!$E$206,Assumption!$E$207,Assumption!$E$208))</f>
        <v>0</v>
      </c>
      <c r="BC37" s="158" t="n">
        <f aca="false">(BC14=1)*Assumption!$E$200*Assumption!$E$201/1000*(1+Assumption!$E$203)^INT((BC15-1)/Assumption!$E$204)*(1-CHOOSE(MIN(MAX(BC16,1),3),Assumption!$E$206,Assumption!$E$207,Assumption!$E$208))</f>
        <v>0</v>
      </c>
      <c r="BD37" s="158" t="n">
        <f aca="false">(BD14=1)*Assumption!$E$200*Assumption!$E$201/1000*(1+Assumption!$E$203)^INT((BD15-1)/Assumption!$E$204)*(1-CHOOSE(MIN(MAX(BD16,1),3),Assumption!$E$206,Assumption!$E$207,Assumption!$E$208))</f>
        <v>0</v>
      </c>
      <c r="BE37" s="158" t="n">
        <f aca="false">(BE14=1)*Assumption!$E$200*Assumption!$E$201/1000*(1+Assumption!$E$203)^INT((BE15-1)/Assumption!$E$204)*(1-CHOOSE(MIN(MAX(BE16,1),3),Assumption!$E$206,Assumption!$E$207,Assumption!$E$208))</f>
        <v>0</v>
      </c>
      <c r="BF37" s="158" t="n">
        <f aca="false">(BF14=1)*Assumption!$E$200*Assumption!$E$201/1000*(1+Assumption!$E$203)^INT((BF15-1)/Assumption!$E$204)*(1-CHOOSE(MIN(MAX(BF16,1),3),Assumption!$E$206,Assumption!$E$207,Assumption!$E$208))</f>
        <v>0</v>
      </c>
      <c r="BG37" s="158" t="n">
        <f aca="false">(BG14=1)*Assumption!$E$200*Assumption!$E$201/1000*(1+Assumption!$E$203)^INT((BG15-1)/Assumption!$E$204)*(1-CHOOSE(MIN(MAX(BG16,1),3),Assumption!$E$206,Assumption!$E$207,Assumption!$E$208))</f>
        <v>0</v>
      </c>
      <c r="BH37" s="158" t="n">
        <f aca="false">(BH14=1)*Assumption!$E$200*Assumption!$E$201/1000*(1+Assumption!$E$203)^INT((BH15-1)/Assumption!$E$204)*(1-CHOOSE(MIN(MAX(BH16,1),3),Assumption!$E$206,Assumption!$E$207,Assumption!$E$208))</f>
        <v>0</v>
      </c>
      <c r="BI37" s="158" t="n">
        <f aca="false">(BI14=1)*Assumption!$E$200*Assumption!$E$201/1000*(1+Assumption!$E$203)^INT((BI15-1)/Assumption!$E$204)*(1-CHOOSE(MIN(MAX(BI16,1),3),Assumption!$E$206,Assumption!$E$207,Assumption!$E$208))</f>
        <v>0</v>
      </c>
      <c r="BJ37" s="158" t="n">
        <f aca="false">(BJ14=1)*Assumption!$E$200*Assumption!$E$201/1000*(1+Assumption!$E$203)^INT((BJ15-1)/Assumption!$E$204)*(1-CHOOSE(MIN(MAX(BJ16,1),3),Assumption!$E$206,Assumption!$E$207,Assumption!$E$208))</f>
        <v>0</v>
      </c>
      <c r="BK37" s="158" t="n">
        <f aca="false">(BK14=1)*Assumption!$E$200*Assumption!$E$201/1000*(1+Assumption!$E$203)^INT((BK15-1)/Assumption!$E$204)*(1-CHOOSE(MIN(MAX(BK16,1),3),Assumption!$E$206,Assumption!$E$207,Assumption!$E$208))</f>
        <v>0</v>
      </c>
      <c r="BL37" s="158" t="n">
        <f aca="false">(BL14=1)*Assumption!$E$200*Assumption!$E$201/1000*(1+Assumption!$E$203)^INT((BL15-1)/Assumption!$E$204)*(1-CHOOSE(MIN(MAX(BL16,1),3),Assumption!$E$206,Assumption!$E$207,Assumption!$E$208))</f>
        <v>0</v>
      </c>
      <c r="BM37" s="158" t="n">
        <f aca="false">(BM14=1)*Assumption!$E$200*Assumption!$E$201/1000*(1+Assumption!$E$203)^INT((BM15-1)/Assumption!$E$204)*(1-CHOOSE(MIN(MAX(BM16,1),3),Assumption!$E$206,Assumption!$E$207,Assumption!$E$208))</f>
        <v>152.46</v>
      </c>
      <c r="BN37" s="158" t="n">
        <f aca="false">(BN14=1)*Assumption!$E$200*Assumption!$E$201/1000*(1+Assumption!$E$203)^INT((BN15-1)/Assumption!$E$204)*(1-CHOOSE(MIN(MAX(BN16,1),3),Assumption!$E$206,Assumption!$E$207,Assumption!$E$208))</f>
        <v>152.46</v>
      </c>
      <c r="BO37" s="158" t="n">
        <f aca="false">(BO14=1)*Assumption!$E$200*Assumption!$E$201/1000*(1+Assumption!$E$203)^INT((BO15-1)/Assumption!$E$204)*(1-CHOOSE(MIN(MAX(BO16,1),3),Assumption!$E$206,Assumption!$E$207,Assumption!$E$208))</f>
        <v>152.46</v>
      </c>
      <c r="BP37" s="158" t="n">
        <f aca="false">(BP14=1)*Assumption!$E$200*Assumption!$E$201/1000*(1+Assumption!$E$203)^INT((BP15-1)/Assumption!$E$204)*(1-CHOOSE(MIN(MAX(BP16,1),3),Assumption!$E$206,Assumption!$E$207,Assumption!$E$208))</f>
        <v>152.46</v>
      </c>
      <c r="BQ37" s="158" t="n">
        <f aca="false">(BQ14=1)*Assumption!$E$200*Assumption!$E$201/1000*(1+Assumption!$E$203)^INT((BQ15-1)/Assumption!$E$204)*(1-CHOOSE(MIN(MAX(BQ16,1),3),Assumption!$E$206,Assumption!$E$207,Assumption!$E$208))</f>
        <v>152.46</v>
      </c>
      <c r="BR37" s="158" t="n">
        <f aca="false">(BR14=1)*Assumption!$E$200*Assumption!$E$201/1000*(1+Assumption!$E$203)^INT((BR15-1)/Assumption!$E$204)*(1-CHOOSE(MIN(MAX(BR16,1),3),Assumption!$E$206,Assumption!$E$207,Assumption!$E$208))</f>
        <v>152.46</v>
      </c>
      <c r="BS37" s="158" t="n">
        <f aca="false">(BS14=1)*Assumption!$E$200*Assumption!$E$201/1000*(1+Assumption!$E$203)^INT((BS15-1)/Assumption!$E$204)*(1-CHOOSE(MIN(MAX(BS16,1),3),Assumption!$E$206,Assumption!$E$207,Assumption!$E$208))</f>
        <v>152.46</v>
      </c>
      <c r="BT37" s="158" t="n">
        <f aca="false">(BT14=1)*Assumption!$E$200*Assumption!$E$201/1000*(1+Assumption!$E$203)^INT((BT15-1)/Assumption!$E$204)*(1-CHOOSE(MIN(MAX(BT16,1),3),Assumption!$E$206,Assumption!$E$207,Assumption!$E$208))</f>
        <v>152.46</v>
      </c>
      <c r="BU37" s="158" t="n">
        <f aca="false">(BU14=1)*Assumption!$E$200*Assumption!$E$201/1000*(1+Assumption!$E$203)^INT((BU15-1)/Assumption!$E$204)*(1-CHOOSE(MIN(MAX(BU16,1),3),Assumption!$E$206,Assumption!$E$207,Assumption!$E$208))</f>
        <v>152.46</v>
      </c>
      <c r="BV37" s="158" t="n">
        <f aca="false">(BV14=1)*Assumption!$E$200*Assumption!$E$201/1000*(1+Assumption!$E$203)^INT((BV15-1)/Assumption!$E$204)*(1-CHOOSE(MIN(MAX(BV16,1),3),Assumption!$E$206,Assumption!$E$207,Assumption!$E$208))</f>
        <v>152.46</v>
      </c>
      <c r="BW37" s="158" t="n">
        <f aca="false">(BW14=1)*Assumption!$E$200*Assumption!$E$201/1000*(1+Assumption!$E$203)^INT((BW15-1)/Assumption!$E$204)*(1-CHOOSE(MIN(MAX(BW16,1),3),Assumption!$E$206,Assumption!$E$207,Assumption!$E$208))</f>
        <v>152.46</v>
      </c>
      <c r="BX37" s="158" t="n">
        <f aca="false">(BX14=1)*Assumption!$E$200*Assumption!$E$201/1000*(1+Assumption!$E$203)^INT((BX15-1)/Assumption!$E$204)*(1-CHOOSE(MIN(MAX(BX16,1),3),Assumption!$E$206,Assumption!$E$207,Assumption!$E$208))</f>
        <v>152.46</v>
      </c>
      <c r="BY37" s="158" t="n">
        <f aca="false">(BY14=1)*Assumption!$E$200*Assumption!$E$201/1000*(1+Assumption!$E$203)^INT((BY15-1)/Assumption!$E$204)*(1-CHOOSE(MIN(MAX(BY16,1),3),Assumption!$E$206,Assumption!$E$207,Assumption!$E$208))</f>
        <v>155.5092</v>
      </c>
      <c r="BZ37" s="158" t="n">
        <f aca="false">(BZ14=1)*Assumption!$E$200*Assumption!$E$201/1000*(1+Assumption!$E$203)^INT((BZ15-1)/Assumption!$E$204)*(1-CHOOSE(MIN(MAX(BZ16,1),3),Assumption!$E$206,Assumption!$E$207,Assumption!$E$208))</f>
        <v>155.5092</v>
      </c>
      <c r="CA37" s="158" t="n">
        <f aca="false">(CA14=1)*Assumption!$E$200*Assumption!$E$201/1000*(1+Assumption!$E$203)^INT((CA15-1)/Assumption!$E$204)*(1-CHOOSE(MIN(MAX(CA16,1),3),Assumption!$E$206,Assumption!$E$207,Assumption!$E$208))</f>
        <v>155.5092</v>
      </c>
      <c r="CB37" s="158" t="n">
        <f aca="false">(CB14=1)*Assumption!$E$200*Assumption!$E$201/1000*(1+Assumption!$E$203)^INT((CB15-1)/Assumption!$E$204)*(1-CHOOSE(MIN(MAX(CB16,1),3),Assumption!$E$206,Assumption!$E$207,Assumption!$E$208))</f>
        <v>155.5092</v>
      </c>
      <c r="CC37" s="158" t="n">
        <f aca="false">(CC14=1)*Assumption!$E$200*Assumption!$E$201/1000*(1+Assumption!$E$203)^INT((CC15-1)/Assumption!$E$204)*(1-CHOOSE(MIN(MAX(CC16,1),3),Assumption!$E$206,Assumption!$E$207,Assumption!$E$208))</f>
        <v>155.5092</v>
      </c>
      <c r="CD37" s="158" t="n">
        <f aca="false">(CD14=1)*Assumption!$E$200*Assumption!$E$201/1000*(1+Assumption!$E$203)^INT((CD15-1)/Assumption!$E$204)*(1-CHOOSE(MIN(MAX(CD16,1),3),Assumption!$E$206,Assumption!$E$207,Assumption!$E$208))</f>
        <v>155.5092</v>
      </c>
      <c r="CE37" s="158" t="n">
        <f aca="false">(CE14=1)*Assumption!$E$200*Assumption!$E$201/1000*(1+Assumption!$E$203)^INT((CE15-1)/Assumption!$E$204)*(1-CHOOSE(MIN(MAX(CE16,1),3),Assumption!$E$206,Assumption!$E$207,Assumption!$E$208))</f>
        <v>155.5092</v>
      </c>
      <c r="CF37" s="158" t="n">
        <f aca="false">(CF14=1)*Assumption!$E$200*Assumption!$E$201/1000*(1+Assumption!$E$203)^INT((CF15-1)/Assumption!$E$204)*(1-CHOOSE(MIN(MAX(CF16,1),3),Assumption!$E$206,Assumption!$E$207,Assumption!$E$208))</f>
        <v>155.5092</v>
      </c>
      <c r="CG37" s="158" t="n">
        <f aca="false">(CG14=1)*Assumption!$E$200*Assumption!$E$201/1000*(1+Assumption!$E$203)^INT((CG15-1)/Assumption!$E$204)*(1-CHOOSE(MIN(MAX(CG16,1),3),Assumption!$E$206,Assumption!$E$207,Assumption!$E$208))</f>
        <v>155.5092</v>
      </c>
      <c r="CH37" s="158" t="n">
        <f aca="false">(CH14=1)*Assumption!$E$200*Assumption!$E$201/1000*(1+Assumption!$E$203)^INT((CH15-1)/Assumption!$E$204)*(1-CHOOSE(MIN(MAX(CH16,1),3),Assumption!$E$206,Assumption!$E$207,Assumption!$E$208))</f>
        <v>155.5092</v>
      </c>
      <c r="CI37" s="158" t="n">
        <f aca="false">(CI14=1)*Assumption!$E$200*Assumption!$E$201/1000*(1+Assumption!$E$203)^INT((CI15-1)/Assumption!$E$204)*(1-CHOOSE(MIN(MAX(CI16,1),3),Assumption!$E$206,Assumption!$E$207,Assumption!$E$208))</f>
        <v>155.5092</v>
      </c>
      <c r="CJ37" s="158" t="n">
        <f aca="false">(CJ14=1)*Assumption!$E$200*Assumption!$E$201/1000*(1+Assumption!$E$203)^INT((CJ15-1)/Assumption!$E$204)*(1-CHOOSE(MIN(MAX(CJ16,1),3),Assumption!$E$206,Assumption!$E$207,Assumption!$E$208))</f>
        <v>155.5092</v>
      </c>
      <c r="CK37" s="158" t="n">
        <f aca="false">(CK14=1)*Assumption!$E$200*Assumption!$E$201/1000*(1+Assumption!$E$203)^INT((CK15-1)/Assumption!$E$204)*(1-CHOOSE(MIN(MAX(CK16,1),3),Assumption!$E$206,Assumption!$E$207,Assumption!$E$208))</f>
        <v>158.619384</v>
      </c>
      <c r="CL37" s="158" t="n">
        <f aca="false">(CL14=1)*Assumption!$E$200*Assumption!$E$201/1000*(1+Assumption!$E$203)^INT((CL15-1)/Assumption!$E$204)*(1-CHOOSE(MIN(MAX(CL16,1),3),Assumption!$E$206,Assumption!$E$207,Assumption!$E$208))</f>
        <v>158.619384</v>
      </c>
      <c r="CM37" s="158" t="n">
        <f aca="false">(CM14=1)*Assumption!$E$200*Assumption!$E$201/1000*(1+Assumption!$E$203)^INT((CM15-1)/Assumption!$E$204)*(1-CHOOSE(MIN(MAX(CM16,1),3),Assumption!$E$206,Assumption!$E$207,Assumption!$E$208))</f>
        <v>158.619384</v>
      </c>
      <c r="CN37" s="158" t="n">
        <f aca="false">(CN14=1)*Assumption!$E$200*Assumption!$E$201/1000*(1+Assumption!$E$203)^INT((CN15-1)/Assumption!$E$204)*(1-CHOOSE(MIN(MAX(CN16,1),3),Assumption!$E$206,Assumption!$E$207,Assumption!$E$208))</f>
        <v>158.619384</v>
      </c>
      <c r="CO37" s="158" t="n">
        <f aca="false">(CO14=1)*Assumption!$E$200*Assumption!$E$201/1000*(1+Assumption!$E$203)^INT((CO15-1)/Assumption!$E$204)*(1-CHOOSE(MIN(MAX(CO16,1),3),Assumption!$E$206,Assumption!$E$207,Assumption!$E$208))</f>
        <v>158.619384</v>
      </c>
      <c r="CP37" s="158" t="n">
        <f aca="false">(CP14=1)*Assumption!$E$200*Assumption!$E$201/1000*(1+Assumption!$E$203)^INT((CP15-1)/Assumption!$E$204)*(1-CHOOSE(MIN(MAX(CP16,1),3),Assumption!$E$206,Assumption!$E$207,Assumption!$E$208))</f>
        <v>158.619384</v>
      </c>
      <c r="CQ37" s="158" t="n">
        <f aca="false">(CQ14=1)*Assumption!$E$200*Assumption!$E$201/1000*(1+Assumption!$E$203)^INT((CQ15-1)/Assumption!$E$204)*(1-CHOOSE(MIN(MAX(CQ16,1),3),Assumption!$E$206,Assumption!$E$207,Assumption!$E$208))</f>
        <v>158.619384</v>
      </c>
      <c r="CR37" s="158" t="n">
        <f aca="false">(CR14=1)*Assumption!$E$200*Assumption!$E$201/1000*(1+Assumption!$E$203)^INT((CR15-1)/Assumption!$E$204)*(1-CHOOSE(MIN(MAX(CR16,1),3),Assumption!$E$206,Assumption!$E$207,Assumption!$E$208))</f>
        <v>158.619384</v>
      </c>
      <c r="CS37" s="158" t="n">
        <f aca="false">(CS14=1)*Assumption!$E$200*Assumption!$E$201/1000*(1+Assumption!$E$203)^INT((CS15-1)/Assumption!$E$204)*(1-CHOOSE(MIN(MAX(CS16,1),3),Assumption!$E$206,Assumption!$E$207,Assumption!$E$208))</f>
        <v>158.619384</v>
      </c>
      <c r="CT37" s="158" t="n">
        <f aca="false">(CT14=1)*Assumption!$E$200*Assumption!$E$201/1000*(1+Assumption!$E$203)^INT((CT15-1)/Assumption!$E$204)*(1-CHOOSE(MIN(MAX(CT16,1),3),Assumption!$E$206,Assumption!$E$207,Assumption!$E$208))</f>
        <v>158.619384</v>
      </c>
      <c r="CU37" s="158" t="n">
        <f aca="false">(CU14=1)*Assumption!$E$200*Assumption!$E$201/1000*(1+Assumption!$E$203)^INT((CU15-1)/Assumption!$E$204)*(1-CHOOSE(MIN(MAX(CU16,1),3),Assumption!$E$206,Assumption!$E$207,Assumption!$E$208))</f>
        <v>158.619384</v>
      </c>
      <c r="CV37" s="158" t="n">
        <f aca="false">(CV14=1)*Assumption!$E$200*Assumption!$E$201/1000*(1+Assumption!$E$203)^INT((CV15-1)/Assumption!$E$204)*(1-CHOOSE(MIN(MAX(CV16,1),3),Assumption!$E$206,Assumption!$E$207,Assumption!$E$208))</f>
        <v>158.619384</v>
      </c>
      <c r="CW37" s="158" t="n">
        <f aca="false">(CW14=1)*Assumption!$E$200*Assumption!$E$201/1000*(1+Assumption!$E$203)^INT((CW15-1)/Assumption!$E$204)*(1-CHOOSE(MIN(MAX(CW16,1),3),Assumption!$E$206,Assumption!$E$207,Assumption!$E$208))</f>
        <v>161.79177168</v>
      </c>
      <c r="CX37" s="158" t="n">
        <f aca="false">(CX14=1)*Assumption!$E$200*Assumption!$E$201/1000*(1+Assumption!$E$203)^INT((CX15-1)/Assumption!$E$204)*(1-CHOOSE(MIN(MAX(CX16,1),3),Assumption!$E$206,Assumption!$E$207,Assumption!$E$208))</f>
        <v>161.79177168</v>
      </c>
      <c r="CY37" s="158" t="n">
        <f aca="false">(CY14=1)*Assumption!$E$200*Assumption!$E$201/1000*(1+Assumption!$E$203)^INT((CY15-1)/Assumption!$E$204)*(1-CHOOSE(MIN(MAX(CY16,1),3),Assumption!$E$206,Assumption!$E$207,Assumption!$E$208))</f>
        <v>161.79177168</v>
      </c>
      <c r="CZ37" s="158" t="n">
        <f aca="false">(CZ14=1)*Assumption!$E$200*Assumption!$E$201/1000*(1+Assumption!$E$203)^INT((CZ15-1)/Assumption!$E$204)*(1-CHOOSE(MIN(MAX(CZ16,1),3),Assumption!$E$206,Assumption!$E$207,Assumption!$E$208))</f>
        <v>161.79177168</v>
      </c>
      <c r="DA37" s="158" t="n">
        <f aca="false">(DA14=1)*Assumption!$E$200*Assumption!$E$201/1000*(1+Assumption!$E$203)^INT((DA15-1)/Assumption!$E$204)*(1-CHOOSE(MIN(MAX(DA16,1),3),Assumption!$E$206,Assumption!$E$207,Assumption!$E$208))</f>
        <v>161.79177168</v>
      </c>
      <c r="DB37" s="158" t="n">
        <f aca="false">(DB14=1)*Assumption!$E$200*Assumption!$E$201/1000*(1+Assumption!$E$203)^INT((DB15-1)/Assumption!$E$204)*(1-CHOOSE(MIN(MAX(DB16,1),3),Assumption!$E$206,Assumption!$E$207,Assumption!$E$208))</f>
        <v>161.79177168</v>
      </c>
      <c r="DC37" s="158" t="n">
        <f aca="false">(DC14=1)*Assumption!$E$200*Assumption!$E$201/1000*(1+Assumption!$E$203)^INT((DC15-1)/Assumption!$E$204)*(1-CHOOSE(MIN(MAX(DC16,1),3),Assumption!$E$206,Assumption!$E$207,Assumption!$E$208))</f>
        <v>161.79177168</v>
      </c>
      <c r="DD37" s="158" t="n">
        <f aca="false">(DD14=1)*Assumption!$E$200*Assumption!$E$201/1000*(1+Assumption!$E$203)^INT((DD15-1)/Assumption!$E$204)*(1-CHOOSE(MIN(MAX(DD16,1),3),Assumption!$E$206,Assumption!$E$207,Assumption!$E$208))</f>
        <v>161.79177168</v>
      </c>
      <c r="DE37" s="158" t="n">
        <f aca="false">(DE14=1)*Assumption!$E$200*Assumption!$E$201/1000*(1+Assumption!$E$203)^INT((DE15-1)/Assumption!$E$204)*(1-CHOOSE(MIN(MAX(DE16,1),3),Assumption!$E$206,Assumption!$E$207,Assumption!$E$208))</f>
        <v>161.79177168</v>
      </c>
      <c r="DF37" s="158" t="n">
        <f aca="false">(DF14=1)*Assumption!$E$200*Assumption!$E$201/1000*(1+Assumption!$E$203)^INT((DF15-1)/Assumption!$E$204)*(1-CHOOSE(MIN(MAX(DF16,1),3),Assumption!$E$206,Assumption!$E$207,Assumption!$E$208))</f>
        <v>161.79177168</v>
      </c>
      <c r="DG37" s="158" t="n">
        <f aca="false">(DG14=1)*Assumption!$E$200*Assumption!$E$201/1000*(1+Assumption!$E$203)^INT((DG15-1)/Assumption!$E$204)*(1-CHOOSE(MIN(MAX(DG16,1),3),Assumption!$E$206,Assumption!$E$207,Assumption!$E$208))</f>
        <v>161.79177168</v>
      </c>
      <c r="DH37" s="158" t="n">
        <f aca="false">(DH14=1)*Assumption!$E$200*Assumption!$E$201/1000*(1+Assumption!$E$203)^INT((DH15-1)/Assumption!$E$204)*(1-CHOOSE(MIN(MAX(DH16,1),3),Assumption!$E$206,Assumption!$E$207,Assumption!$E$208))</f>
        <v>161.79177168</v>
      </c>
      <c r="DI37" s="158" t="n">
        <f aca="false">(DI14=1)*Assumption!$E$200*Assumption!$E$201/1000*(1+Assumption!$E$203)^INT((DI15-1)/Assumption!$E$204)*(1-CHOOSE(MIN(MAX(DI16,1),3),Assumption!$E$206,Assumption!$E$207,Assumption!$E$208))</f>
        <v>165.0276071136</v>
      </c>
      <c r="DJ37" s="158" t="n">
        <f aca="false">(DJ14=1)*Assumption!$E$200*Assumption!$E$201/1000*(1+Assumption!$E$203)^INT((DJ15-1)/Assumption!$E$204)*(1-CHOOSE(MIN(MAX(DJ16,1),3),Assumption!$E$206,Assumption!$E$207,Assumption!$E$208))</f>
        <v>165.0276071136</v>
      </c>
      <c r="DK37" s="158" t="n">
        <f aca="false">(DK14=1)*Assumption!$E$200*Assumption!$E$201/1000*(1+Assumption!$E$203)^INT((DK15-1)/Assumption!$E$204)*(1-CHOOSE(MIN(MAX(DK16,1),3),Assumption!$E$206,Assumption!$E$207,Assumption!$E$208))</f>
        <v>165.0276071136</v>
      </c>
      <c r="DL37" s="158" t="n">
        <f aca="false">(DL14=1)*Assumption!$E$200*Assumption!$E$201/1000*(1+Assumption!$E$203)^INT((DL15-1)/Assumption!$E$204)*(1-CHOOSE(MIN(MAX(DL16,1),3),Assumption!$E$206,Assumption!$E$207,Assumption!$E$208))</f>
        <v>165.0276071136</v>
      </c>
      <c r="DM37" s="158" t="n">
        <f aca="false">(DM14=1)*Assumption!$E$200*Assumption!$E$201/1000*(1+Assumption!$E$203)^INT((DM15-1)/Assumption!$E$204)*(1-CHOOSE(MIN(MAX(DM16,1),3),Assumption!$E$206,Assumption!$E$207,Assumption!$E$208))</f>
        <v>165.0276071136</v>
      </c>
      <c r="DN37" s="158" t="n">
        <f aca="false">(DN14=1)*Assumption!$E$200*Assumption!$E$201/1000*(1+Assumption!$E$203)^INT((DN15-1)/Assumption!$E$204)*(1-CHOOSE(MIN(MAX(DN16,1),3),Assumption!$E$206,Assumption!$E$207,Assumption!$E$208))</f>
        <v>165.0276071136</v>
      </c>
      <c r="DO37" s="158" t="n">
        <f aca="false">(DO14=1)*Assumption!$E$200*Assumption!$E$201/1000*(1+Assumption!$E$203)^INT((DO15-1)/Assumption!$E$204)*(1-CHOOSE(MIN(MAX(DO16,1),3),Assumption!$E$206,Assumption!$E$207,Assumption!$E$208))</f>
        <v>165.0276071136</v>
      </c>
      <c r="DP37" s="158" t="n">
        <f aca="false">(DP14=1)*Assumption!$E$200*Assumption!$E$201/1000*(1+Assumption!$E$203)^INT((DP15-1)/Assumption!$E$204)*(1-CHOOSE(MIN(MAX(DP16,1),3),Assumption!$E$206,Assumption!$E$207,Assumption!$E$208))</f>
        <v>165.0276071136</v>
      </c>
      <c r="DQ37" s="158" t="n">
        <f aca="false">(DQ14=1)*Assumption!$E$200*Assumption!$E$201/1000*(1+Assumption!$E$203)^INT((DQ15-1)/Assumption!$E$204)*(1-CHOOSE(MIN(MAX(DQ16,1),3),Assumption!$E$206,Assumption!$E$207,Assumption!$E$208))</f>
        <v>165.0276071136</v>
      </c>
      <c r="DR37" s="158" t="n">
        <f aca="false">(DR14=1)*Assumption!$E$200*Assumption!$E$201/1000*(1+Assumption!$E$203)^INT((DR15-1)/Assumption!$E$204)*(1-CHOOSE(MIN(MAX(DR16,1),3),Assumption!$E$206,Assumption!$E$207,Assumption!$E$208))</f>
        <v>165.0276071136</v>
      </c>
      <c r="DS37" s="158" t="n">
        <f aca="false">(DS14=1)*Assumption!$E$200*Assumption!$E$201/1000*(1+Assumption!$E$203)^INT((DS15-1)/Assumption!$E$204)*(1-CHOOSE(MIN(MAX(DS16,1),3),Assumption!$E$206,Assumption!$E$207,Assumption!$E$208))</f>
        <v>165.0276071136</v>
      </c>
      <c r="DT37" s="158" t="n">
        <f aca="false">(DT14=1)*Assumption!$E$200*Assumption!$E$201/1000*(1+Assumption!$E$203)^INT((DT15-1)/Assumption!$E$204)*(1-CHOOSE(MIN(MAX(DT16,1),3),Assumption!$E$206,Assumption!$E$207,Assumption!$E$208))</f>
        <v>165.0276071136</v>
      </c>
      <c r="DU37" s="158" t="n">
        <f aca="false">(DU14=1)*Assumption!$E$200*Assumption!$E$201/1000*(1+Assumption!$E$203)^INT((DU15-1)/Assumption!$E$204)*(1-CHOOSE(MIN(MAX(DU16,1),3),Assumption!$E$206,Assumption!$E$207,Assumption!$E$208))</f>
        <v>0</v>
      </c>
      <c r="DV37" s="158" t="n">
        <f aca="false">(DV14=1)*Assumption!$E$200*Assumption!$E$201/1000*(1+Assumption!$E$203)^INT((DV15-1)/Assumption!$E$204)*(1-CHOOSE(MIN(MAX(DV16,1),3),Assumption!$E$206,Assumption!$E$207,Assumption!$E$208))</f>
        <v>0</v>
      </c>
      <c r="DW37" s="158" t="n">
        <f aca="false">(DW14=1)*Assumption!$E$200*Assumption!$E$201/1000*(1+Assumption!$E$203)^INT((DW15-1)/Assumption!$E$204)*(1-CHOOSE(MIN(MAX(DW16,1),3),Assumption!$E$206,Assumption!$E$207,Assumption!$E$208))</f>
        <v>0</v>
      </c>
      <c r="DX37" s="158" t="n">
        <f aca="false">(DX14=1)*Assumption!$E$200*Assumption!$E$201/1000*(1+Assumption!$E$203)^INT((DX15-1)/Assumption!$E$204)*(1-CHOOSE(MIN(MAX(DX16,1),3),Assumption!$E$206,Assumption!$E$207,Assumption!$E$208))</f>
        <v>0</v>
      </c>
      <c r="DY37" s="158" t="n">
        <f aca="false">(DY14=1)*Assumption!$E$200*Assumption!$E$201/1000*(1+Assumption!$E$203)^INT((DY15-1)/Assumption!$E$204)*(1-CHOOSE(MIN(MAX(DY16,1),3),Assumption!$E$206,Assumption!$E$207,Assumption!$E$208))</f>
        <v>0</v>
      </c>
      <c r="DZ37" s="158" t="n">
        <f aca="false">(DZ14=1)*Assumption!$E$200*Assumption!$E$201/1000*(1+Assumption!$E$203)^INT((DZ15-1)/Assumption!$E$204)*(1-CHOOSE(MIN(MAX(DZ16,1),3),Assumption!$E$206,Assumption!$E$207,Assumption!$E$208))</f>
        <v>0</v>
      </c>
      <c r="EA37" s="158" t="n">
        <f aca="false">(EA14=1)*Assumption!$E$200*Assumption!$E$201/1000*(1+Assumption!$E$203)^INT((EA15-1)/Assumption!$E$204)*(1-CHOOSE(MIN(MAX(EA16,1),3),Assumption!$E$206,Assumption!$E$207,Assumption!$E$208))</f>
        <v>0</v>
      </c>
      <c r="EB37" s="158" t="n">
        <f aca="false">(EB14=1)*Assumption!$E$200*Assumption!$E$201/1000*(1+Assumption!$E$203)^INT((EB15-1)/Assumption!$E$204)*(1-CHOOSE(MIN(MAX(EB16,1),3),Assumption!$E$206,Assumption!$E$207,Assumption!$E$208))</f>
        <v>0</v>
      </c>
      <c r="EC37" s="158" t="n">
        <f aca="false">(EC14=1)*Assumption!$E$200*Assumption!$E$201/1000*(1+Assumption!$E$203)^INT((EC15-1)/Assumption!$E$204)*(1-CHOOSE(MIN(MAX(EC16,1),3),Assumption!$E$206,Assumption!$E$207,Assumption!$E$208))</f>
        <v>0</v>
      </c>
      <c r="ED37" s="158" t="n">
        <f aca="false">(ED14=1)*Assumption!$E$200*Assumption!$E$201/1000*(1+Assumption!$E$203)^INT((ED15-1)/Assumption!$E$204)*(1-CHOOSE(MIN(MAX(ED16,1),3),Assumption!$E$206,Assumption!$E$207,Assumption!$E$208))</f>
        <v>0</v>
      </c>
      <c r="EE37" s="158" t="n">
        <f aca="false">(EE14=1)*Assumption!$E$200*Assumption!$E$201/1000*(1+Assumption!$E$203)^INT((EE15-1)/Assumption!$E$204)*(1-CHOOSE(MIN(MAX(EE16,1),3),Assumption!$E$206,Assumption!$E$207,Assumption!$E$208))</f>
        <v>0</v>
      </c>
      <c r="EF37" s="158" t="n">
        <f aca="false">(EF14=1)*Assumption!$E$200*Assumption!$E$201/1000*(1+Assumption!$E$203)^INT((EF15-1)/Assumption!$E$204)*(1-CHOOSE(MIN(MAX(EF16,1),3),Assumption!$E$206,Assumption!$E$207,Assumption!$E$208))</f>
        <v>0</v>
      </c>
    </row>
    <row r="38" customFormat="false" ht="15" hidden="false" customHeight="false" outlineLevel="0" collapsed="false">
      <c r="A38" s="35" t="s">
        <v>504</v>
      </c>
      <c r="B38" s="241" t="s">
        <v>116</v>
      </c>
      <c r="C38" s="242" t="n">
        <f aca="false">SUM(E38:EF38)</f>
        <v>16700.7242902839</v>
      </c>
      <c r="E38" s="158" t="n">
        <f aca="false">(E14=1)*Assumption!$E$213*Assumption!$E$214/1000*(1+Assumption!$E$216)^INT((E15-1)/Assumption!$E$217)*(1-CHOOSE(MIN(MAX(E16,1),3),Assumption!$E$219,Assumption!$E$220,Assumption!$E$221))</f>
        <v>0</v>
      </c>
      <c r="F38" s="158" t="n">
        <f aca="false">(F14=1)*Assumption!$E$213*Assumption!$E$214/1000*(1+Assumption!$E$216)^INT((F15-1)/Assumption!$E$217)*(1-CHOOSE(MIN(MAX(F16,1),3),Assumption!$E$219,Assumption!$E$220,Assumption!$E$221))</f>
        <v>0</v>
      </c>
      <c r="G38" s="158" t="n">
        <f aca="false">(G14=1)*Assumption!$E$213*Assumption!$E$214/1000*(1+Assumption!$E$216)^INT((G15-1)/Assumption!$E$217)*(1-CHOOSE(MIN(MAX(G16,1),3),Assumption!$E$219,Assumption!$E$220,Assumption!$E$221))</f>
        <v>0</v>
      </c>
      <c r="H38" s="158" t="n">
        <f aca="false">(H14=1)*Assumption!$E$213*Assumption!$E$214/1000*(1+Assumption!$E$216)^INT((H15-1)/Assumption!$E$217)*(1-CHOOSE(MIN(MAX(H16,1),3),Assumption!$E$219,Assumption!$E$220,Assumption!$E$221))</f>
        <v>0</v>
      </c>
      <c r="I38" s="158" t="n">
        <f aca="false">(I14=1)*Assumption!$E$213*Assumption!$E$214/1000*(1+Assumption!$E$216)^INT((I15-1)/Assumption!$E$217)*(1-CHOOSE(MIN(MAX(I16,1),3),Assumption!$E$219,Assumption!$E$220,Assumption!$E$221))</f>
        <v>0</v>
      </c>
      <c r="J38" s="158" t="n">
        <f aca="false">(J14=1)*Assumption!$E$213*Assumption!$E$214/1000*(1+Assumption!$E$216)^INT((J15-1)/Assumption!$E$217)*(1-CHOOSE(MIN(MAX(J16,1),3),Assumption!$E$219,Assumption!$E$220,Assumption!$E$221))</f>
        <v>0</v>
      </c>
      <c r="K38" s="158" t="n">
        <f aca="false">(K14=1)*Assumption!$E$213*Assumption!$E$214/1000*(1+Assumption!$E$216)^INT((K15-1)/Assumption!$E$217)*(1-CHOOSE(MIN(MAX(K16,1),3),Assumption!$E$219,Assumption!$E$220,Assumption!$E$221))</f>
        <v>0</v>
      </c>
      <c r="L38" s="158" t="n">
        <f aca="false">(L14=1)*Assumption!$E$213*Assumption!$E$214/1000*(1+Assumption!$E$216)^INT((L15-1)/Assumption!$E$217)*(1-CHOOSE(MIN(MAX(L16,1),3),Assumption!$E$219,Assumption!$E$220,Assumption!$E$221))</f>
        <v>0</v>
      </c>
      <c r="M38" s="158" t="n">
        <f aca="false">(M14=1)*Assumption!$E$213*Assumption!$E$214/1000*(1+Assumption!$E$216)^INT((M15-1)/Assumption!$E$217)*(1-CHOOSE(MIN(MAX(M16,1),3),Assumption!$E$219,Assumption!$E$220,Assumption!$E$221))</f>
        <v>0</v>
      </c>
      <c r="N38" s="158" t="n">
        <f aca="false">(N14=1)*Assumption!$E$213*Assumption!$E$214/1000*(1+Assumption!$E$216)^INT((N15-1)/Assumption!$E$217)*(1-CHOOSE(MIN(MAX(N16,1),3),Assumption!$E$219,Assumption!$E$220,Assumption!$E$221))</f>
        <v>0</v>
      </c>
      <c r="O38" s="158" t="n">
        <f aca="false">(O14=1)*Assumption!$E$213*Assumption!$E$214/1000*(1+Assumption!$E$216)^INT((O15-1)/Assumption!$E$217)*(1-CHOOSE(MIN(MAX(O16,1),3),Assumption!$E$219,Assumption!$E$220,Assumption!$E$221))</f>
        <v>0</v>
      </c>
      <c r="P38" s="158" t="n">
        <f aca="false">(P14=1)*Assumption!$E$213*Assumption!$E$214/1000*(1+Assumption!$E$216)^INT((P15-1)/Assumption!$E$217)*(1-CHOOSE(MIN(MAX(P16,1),3),Assumption!$E$219,Assumption!$E$220,Assumption!$E$221))</f>
        <v>0</v>
      </c>
      <c r="Q38" s="158" t="n">
        <f aca="false">(Q14=1)*Assumption!$E$213*Assumption!$E$214/1000*(1+Assumption!$E$216)^INT((Q15-1)/Assumption!$E$217)*(1-CHOOSE(MIN(MAX(Q16,1),3),Assumption!$E$219,Assumption!$E$220,Assumption!$E$221))</f>
        <v>0</v>
      </c>
      <c r="R38" s="158" t="n">
        <f aca="false">(R14=1)*Assumption!$E$213*Assumption!$E$214/1000*(1+Assumption!$E$216)^INT((R15-1)/Assumption!$E$217)*(1-CHOOSE(MIN(MAX(R16,1),3),Assumption!$E$219,Assumption!$E$220,Assumption!$E$221))</f>
        <v>0</v>
      </c>
      <c r="S38" s="158" t="n">
        <f aca="false">(S14=1)*Assumption!$E$213*Assumption!$E$214/1000*(1+Assumption!$E$216)^INT((S15-1)/Assumption!$E$217)*(1-CHOOSE(MIN(MAX(S16,1),3),Assumption!$E$219,Assumption!$E$220,Assumption!$E$221))</f>
        <v>0</v>
      </c>
      <c r="T38" s="158" t="n">
        <f aca="false">(T14=1)*Assumption!$E$213*Assumption!$E$214/1000*(1+Assumption!$E$216)^INT((T15-1)/Assumption!$E$217)*(1-CHOOSE(MIN(MAX(T16,1),3),Assumption!$E$219,Assumption!$E$220,Assumption!$E$221))</f>
        <v>0</v>
      </c>
      <c r="U38" s="158" t="n">
        <f aca="false">(U14=1)*Assumption!$E$213*Assumption!$E$214/1000*(1+Assumption!$E$216)^INT((U15-1)/Assumption!$E$217)*(1-CHOOSE(MIN(MAX(U16,1),3),Assumption!$E$219,Assumption!$E$220,Assumption!$E$221))</f>
        <v>0</v>
      </c>
      <c r="V38" s="158" t="n">
        <f aca="false">(V14=1)*Assumption!$E$213*Assumption!$E$214/1000*(1+Assumption!$E$216)^INT((V15-1)/Assumption!$E$217)*(1-CHOOSE(MIN(MAX(V16,1),3),Assumption!$E$219,Assumption!$E$220,Assumption!$E$221))</f>
        <v>0</v>
      </c>
      <c r="W38" s="158" t="n">
        <f aca="false">(W14=1)*Assumption!$E$213*Assumption!$E$214/1000*(1+Assumption!$E$216)^INT((W15-1)/Assumption!$E$217)*(1-CHOOSE(MIN(MAX(W16,1),3),Assumption!$E$219,Assumption!$E$220,Assumption!$E$221))</f>
        <v>0</v>
      </c>
      <c r="X38" s="158" t="n">
        <f aca="false">(X14=1)*Assumption!$E$213*Assumption!$E$214/1000*(1+Assumption!$E$216)^INT((X15-1)/Assumption!$E$217)*(1-CHOOSE(MIN(MAX(X16,1),3),Assumption!$E$219,Assumption!$E$220,Assumption!$E$221))</f>
        <v>0</v>
      </c>
      <c r="Y38" s="158" t="n">
        <f aca="false">(Y14=1)*Assumption!$E$213*Assumption!$E$214/1000*(1+Assumption!$E$216)^INT((Y15-1)/Assumption!$E$217)*(1-CHOOSE(MIN(MAX(Y16,1),3),Assumption!$E$219,Assumption!$E$220,Assumption!$E$221))</f>
        <v>0</v>
      </c>
      <c r="Z38" s="158" t="n">
        <f aca="false">(Z14=1)*Assumption!$E$213*Assumption!$E$214/1000*(1+Assumption!$E$216)^INT((Z15-1)/Assumption!$E$217)*(1-CHOOSE(MIN(MAX(Z16,1),3),Assumption!$E$219,Assumption!$E$220,Assumption!$E$221))</f>
        <v>0</v>
      </c>
      <c r="AA38" s="158" t="n">
        <f aca="false">(AA14=1)*Assumption!$E$213*Assumption!$E$214/1000*(1+Assumption!$E$216)^INT((AA15-1)/Assumption!$E$217)*(1-CHOOSE(MIN(MAX(AA16,1),3),Assumption!$E$219,Assumption!$E$220,Assumption!$E$221))</f>
        <v>0</v>
      </c>
      <c r="AB38" s="158" t="n">
        <f aca="false">(AB14=1)*Assumption!$E$213*Assumption!$E$214/1000*(1+Assumption!$E$216)^INT((AB15-1)/Assumption!$E$217)*(1-CHOOSE(MIN(MAX(AB16,1),3),Assumption!$E$219,Assumption!$E$220,Assumption!$E$221))</f>
        <v>0</v>
      </c>
      <c r="AC38" s="158" t="n">
        <f aca="false">(AC14=1)*Assumption!$E$213*Assumption!$E$214/1000*(1+Assumption!$E$216)^INT((AC15-1)/Assumption!$E$217)*(1-CHOOSE(MIN(MAX(AC16,1),3),Assumption!$E$219,Assumption!$E$220,Assumption!$E$221))</f>
        <v>0</v>
      </c>
      <c r="AD38" s="158" t="n">
        <f aca="false">(AD14=1)*Assumption!$E$213*Assumption!$E$214/1000*(1+Assumption!$E$216)^INT((AD15-1)/Assumption!$E$217)*(1-CHOOSE(MIN(MAX(AD16,1),3),Assumption!$E$219,Assumption!$E$220,Assumption!$E$221))</f>
        <v>0</v>
      </c>
      <c r="AE38" s="158" t="n">
        <f aca="false">(AE14=1)*Assumption!$E$213*Assumption!$E$214/1000*(1+Assumption!$E$216)^INT((AE15-1)/Assumption!$E$217)*(1-CHOOSE(MIN(MAX(AE16,1),3),Assumption!$E$219,Assumption!$E$220,Assumption!$E$221))</f>
        <v>0</v>
      </c>
      <c r="AF38" s="158" t="n">
        <f aca="false">(AF14=1)*Assumption!$E$213*Assumption!$E$214/1000*(1+Assumption!$E$216)^INT((AF15-1)/Assumption!$E$217)*(1-CHOOSE(MIN(MAX(AF16,1),3),Assumption!$E$219,Assumption!$E$220,Assumption!$E$221))</f>
        <v>0</v>
      </c>
      <c r="AG38" s="158" t="n">
        <f aca="false">(AG14=1)*Assumption!$E$213*Assumption!$E$214/1000*(1+Assumption!$E$216)^INT((AG15-1)/Assumption!$E$217)*(1-CHOOSE(MIN(MAX(AG16,1),3),Assumption!$E$219,Assumption!$E$220,Assumption!$E$221))</f>
        <v>0</v>
      </c>
      <c r="AH38" s="158" t="n">
        <f aca="false">(AH14=1)*Assumption!$E$213*Assumption!$E$214/1000*(1+Assumption!$E$216)^INT((AH15-1)/Assumption!$E$217)*(1-CHOOSE(MIN(MAX(AH16,1),3),Assumption!$E$219,Assumption!$E$220,Assumption!$E$221))</f>
        <v>0</v>
      </c>
      <c r="AI38" s="158" t="n">
        <f aca="false">(AI14=1)*Assumption!$E$213*Assumption!$E$214/1000*(1+Assumption!$E$216)^INT((AI15-1)/Assumption!$E$217)*(1-CHOOSE(MIN(MAX(AI16,1),3),Assumption!$E$219,Assumption!$E$220,Assumption!$E$221))</f>
        <v>0</v>
      </c>
      <c r="AJ38" s="158" t="n">
        <f aca="false">(AJ14=1)*Assumption!$E$213*Assumption!$E$214/1000*(1+Assumption!$E$216)^INT((AJ15-1)/Assumption!$E$217)*(1-CHOOSE(MIN(MAX(AJ16,1),3),Assumption!$E$219,Assumption!$E$220,Assumption!$E$221))</f>
        <v>0</v>
      </c>
      <c r="AK38" s="158" t="n">
        <f aca="false">(AK14=1)*Assumption!$E$213*Assumption!$E$214/1000*(1+Assumption!$E$216)^INT((AK15-1)/Assumption!$E$217)*(1-CHOOSE(MIN(MAX(AK16,1),3),Assumption!$E$219,Assumption!$E$220,Assumption!$E$221))</f>
        <v>0</v>
      </c>
      <c r="AL38" s="158" t="n">
        <f aca="false">(AL14=1)*Assumption!$E$213*Assumption!$E$214/1000*(1+Assumption!$E$216)^INT((AL15-1)/Assumption!$E$217)*(1-CHOOSE(MIN(MAX(AL16,1),3),Assumption!$E$219,Assumption!$E$220,Assumption!$E$221))</f>
        <v>0</v>
      </c>
      <c r="AM38" s="158" t="n">
        <f aca="false">(AM14=1)*Assumption!$E$213*Assumption!$E$214/1000*(1+Assumption!$E$216)^INT((AM15-1)/Assumption!$E$217)*(1-CHOOSE(MIN(MAX(AM16,1),3),Assumption!$E$219,Assumption!$E$220,Assumption!$E$221))</f>
        <v>0</v>
      </c>
      <c r="AN38" s="158" t="n">
        <f aca="false">(AN14=1)*Assumption!$E$213*Assumption!$E$214/1000*(1+Assumption!$E$216)^INT((AN15-1)/Assumption!$E$217)*(1-CHOOSE(MIN(MAX(AN16,1),3),Assumption!$E$219,Assumption!$E$220,Assumption!$E$221))</f>
        <v>0</v>
      </c>
      <c r="AO38" s="158" t="n">
        <f aca="false">(AO14=1)*Assumption!$E$213*Assumption!$E$214/1000*(1+Assumption!$E$216)^INT((AO15-1)/Assumption!$E$217)*(1-CHOOSE(MIN(MAX(AO16,1),3),Assumption!$E$219,Assumption!$E$220,Assumption!$E$221))</f>
        <v>0</v>
      </c>
      <c r="AP38" s="158" t="n">
        <f aca="false">(AP14=1)*Assumption!$E$213*Assumption!$E$214/1000*(1+Assumption!$E$216)^INT((AP15-1)/Assumption!$E$217)*(1-CHOOSE(MIN(MAX(AP16,1),3),Assumption!$E$219,Assumption!$E$220,Assumption!$E$221))</f>
        <v>0</v>
      </c>
      <c r="AQ38" s="158" t="n">
        <f aca="false">(AQ14=1)*Assumption!$E$213*Assumption!$E$214/1000*(1+Assumption!$E$216)^INT((AQ15-1)/Assumption!$E$217)*(1-CHOOSE(MIN(MAX(AQ16,1),3),Assumption!$E$219,Assumption!$E$220,Assumption!$E$221))</f>
        <v>0</v>
      </c>
      <c r="AR38" s="158" t="n">
        <f aca="false">(AR14=1)*Assumption!$E$213*Assumption!$E$214/1000*(1+Assumption!$E$216)^INT((AR15-1)/Assumption!$E$217)*(1-CHOOSE(MIN(MAX(AR16,1),3),Assumption!$E$219,Assumption!$E$220,Assumption!$E$221))</f>
        <v>0</v>
      </c>
      <c r="AS38" s="158" t="n">
        <f aca="false">(AS14=1)*Assumption!$E$213*Assumption!$E$214/1000*(1+Assumption!$E$216)^INT((AS15-1)/Assumption!$E$217)*(1-CHOOSE(MIN(MAX(AS16,1),3),Assumption!$E$219,Assumption!$E$220,Assumption!$E$221))</f>
        <v>0</v>
      </c>
      <c r="AT38" s="158" t="n">
        <f aca="false">(AT14=1)*Assumption!$E$213*Assumption!$E$214/1000*(1+Assumption!$E$216)^INT((AT15-1)/Assumption!$E$217)*(1-CHOOSE(MIN(MAX(AT16,1),3),Assumption!$E$219,Assumption!$E$220,Assumption!$E$221))</f>
        <v>0</v>
      </c>
      <c r="AU38" s="158" t="n">
        <f aca="false">(AU14=1)*Assumption!$E$213*Assumption!$E$214/1000*(1+Assumption!$E$216)^INT((AU15-1)/Assumption!$E$217)*(1-CHOOSE(MIN(MAX(AU16,1),3),Assumption!$E$219,Assumption!$E$220,Assumption!$E$221))</f>
        <v>0</v>
      </c>
      <c r="AV38" s="158" t="n">
        <f aca="false">(AV14=1)*Assumption!$E$213*Assumption!$E$214/1000*(1+Assumption!$E$216)^INT((AV15-1)/Assumption!$E$217)*(1-CHOOSE(MIN(MAX(AV16,1),3),Assumption!$E$219,Assumption!$E$220,Assumption!$E$221))</f>
        <v>0</v>
      </c>
      <c r="AW38" s="158" t="n">
        <f aca="false">(AW14=1)*Assumption!$E$213*Assumption!$E$214/1000*(1+Assumption!$E$216)^INT((AW15-1)/Assumption!$E$217)*(1-CHOOSE(MIN(MAX(AW16,1),3),Assumption!$E$219,Assumption!$E$220,Assumption!$E$221))</f>
        <v>0</v>
      </c>
      <c r="AX38" s="158" t="n">
        <f aca="false">(AX14=1)*Assumption!$E$213*Assumption!$E$214/1000*(1+Assumption!$E$216)^INT((AX15-1)/Assumption!$E$217)*(1-CHOOSE(MIN(MAX(AX16,1),3),Assumption!$E$219,Assumption!$E$220,Assumption!$E$221))</f>
        <v>0</v>
      </c>
      <c r="AY38" s="158" t="n">
        <f aca="false">(AY14=1)*Assumption!$E$213*Assumption!$E$214/1000*(1+Assumption!$E$216)^INT((AY15-1)/Assumption!$E$217)*(1-CHOOSE(MIN(MAX(AY16,1),3),Assumption!$E$219,Assumption!$E$220,Assumption!$E$221))</f>
        <v>0</v>
      </c>
      <c r="AZ38" s="158" t="n">
        <f aca="false">(AZ14=1)*Assumption!$E$213*Assumption!$E$214/1000*(1+Assumption!$E$216)^INT((AZ15-1)/Assumption!$E$217)*(1-CHOOSE(MIN(MAX(AZ16,1),3),Assumption!$E$219,Assumption!$E$220,Assumption!$E$221))</f>
        <v>0</v>
      </c>
      <c r="BA38" s="158" t="n">
        <f aca="false">(BA14=1)*Assumption!$E$213*Assumption!$E$214/1000*(1+Assumption!$E$216)^INT((BA15-1)/Assumption!$E$217)*(1-CHOOSE(MIN(MAX(BA16,1),3),Assumption!$E$219,Assumption!$E$220,Assumption!$E$221))</f>
        <v>0</v>
      </c>
      <c r="BB38" s="158" t="n">
        <f aca="false">(BB14=1)*Assumption!$E$213*Assumption!$E$214/1000*(1+Assumption!$E$216)^INT((BB15-1)/Assumption!$E$217)*(1-CHOOSE(MIN(MAX(BB16,1),3),Assumption!$E$219,Assumption!$E$220,Assumption!$E$221))</f>
        <v>0</v>
      </c>
      <c r="BC38" s="158" t="n">
        <f aca="false">(BC14=1)*Assumption!$E$213*Assumption!$E$214/1000*(1+Assumption!$E$216)^INT((BC15-1)/Assumption!$E$217)*(1-CHOOSE(MIN(MAX(BC16,1),3),Assumption!$E$219,Assumption!$E$220,Assumption!$E$221))</f>
        <v>0</v>
      </c>
      <c r="BD38" s="158" t="n">
        <f aca="false">(BD14=1)*Assumption!$E$213*Assumption!$E$214/1000*(1+Assumption!$E$216)^INT((BD15-1)/Assumption!$E$217)*(1-CHOOSE(MIN(MAX(BD16,1),3),Assumption!$E$219,Assumption!$E$220,Assumption!$E$221))</f>
        <v>0</v>
      </c>
      <c r="BE38" s="158" t="n">
        <f aca="false">(BE14=1)*Assumption!$E$213*Assumption!$E$214/1000*(1+Assumption!$E$216)^INT((BE15-1)/Assumption!$E$217)*(1-CHOOSE(MIN(MAX(BE16,1),3),Assumption!$E$219,Assumption!$E$220,Assumption!$E$221))</f>
        <v>0</v>
      </c>
      <c r="BF38" s="158" t="n">
        <f aca="false">(BF14=1)*Assumption!$E$213*Assumption!$E$214/1000*(1+Assumption!$E$216)^INT((BF15-1)/Assumption!$E$217)*(1-CHOOSE(MIN(MAX(BF16,1),3),Assumption!$E$219,Assumption!$E$220,Assumption!$E$221))</f>
        <v>0</v>
      </c>
      <c r="BG38" s="158" t="n">
        <f aca="false">(BG14=1)*Assumption!$E$213*Assumption!$E$214/1000*(1+Assumption!$E$216)^INT((BG15-1)/Assumption!$E$217)*(1-CHOOSE(MIN(MAX(BG16,1),3),Assumption!$E$219,Assumption!$E$220,Assumption!$E$221))</f>
        <v>0</v>
      </c>
      <c r="BH38" s="158" t="n">
        <f aca="false">(BH14=1)*Assumption!$E$213*Assumption!$E$214/1000*(1+Assumption!$E$216)^INT((BH15-1)/Assumption!$E$217)*(1-CHOOSE(MIN(MAX(BH16,1),3),Assumption!$E$219,Assumption!$E$220,Assumption!$E$221))</f>
        <v>0</v>
      </c>
      <c r="BI38" s="158" t="n">
        <f aca="false">(BI14=1)*Assumption!$E$213*Assumption!$E$214/1000*(1+Assumption!$E$216)^INT((BI15-1)/Assumption!$E$217)*(1-CHOOSE(MIN(MAX(BI16,1),3),Assumption!$E$219,Assumption!$E$220,Assumption!$E$221))</f>
        <v>0</v>
      </c>
      <c r="BJ38" s="158" t="n">
        <f aca="false">(BJ14=1)*Assumption!$E$213*Assumption!$E$214/1000*(1+Assumption!$E$216)^INT((BJ15-1)/Assumption!$E$217)*(1-CHOOSE(MIN(MAX(BJ16,1),3),Assumption!$E$219,Assumption!$E$220,Assumption!$E$221))</f>
        <v>0</v>
      </c>
      <c r="BK38" s="158" t="n">
        <f aca="false">(BK14=1)*Assumption!$E$213*Assumption!$E$214/1000*(1+Assumption!$E$216)^INT((BK15-1)/Assumption!$E$217)*(1-CHOOSE(MIN(MAX(BK16,1),3),Assumption!$E$219,Assumption!$E$220,Assumption!$E$221))</f>
        <v>0</v>
      </c>
      <c r="BL38" s="158" t="n">
        <f aca="false">(BL14=1)*Assumption!$E$213*Assumption!$E$214/1000*(1+Assumption!$E$216)^INT((BL15-1)/Assumption!$E$217)*(1-CHOOSE(MIN(MAX(BL16,1),3),Assumption!$E$219,Assumption!$E$220,Assumption!$E$221))</f>
        <v>0</v>
      </c>
      <c r="BM38" s="158" t="n">
        <f aca="false">(BM14=1)*Assumption!$E$213*Assumption!$E$214/1000*(1+Assumption!$E$216)^INT((BM15-1)/Assumption!$E$217)*(1-CHOOSE(MIN(MAX(BM16,1),3),Assumption!$E$219,Assumption!$E$220,Assumption!$E$221))</f>
        <v>267.43203</v>
      </c>
      <c r="BN38" s="158" t="n">
        <f aca="false">(BN14=1)*Assumption!$E$213*Assumption!$E$214/1000*(1+Assumption!$E$216)^INT((BN15-1)/Assumption!$E$217)*(1-CHOOSE(MIN(MAX(BN16,1),3),Assumption!$E$219,Assumption!$E$220,Assumption!$E$221))</f>
        <v>267.43203</v>
      </c>
      <c r="BO38" s="158" t="n">
        <f aca="false">(BO14=1)*Assumption!$E$213*Assumption!$E$214/1000*(1+Assumption!$E$216)^INT((BO15-1)/Assumption!$E$217)*(1-CHOOSE(MIN(MAX(BO16,1),3),Assumption!$E$219,Assumption!$E$220,Assumption!$E$221))</f>
        <v>267.43203</v>
      </c>
      <c r="BP38" s="158" t="n">
        <f aca="false">(BP14=1)*Assumption!$E$213*Assumption!$E$214/1000*(1+Assumption!$E$216)^INT((BP15-1)/Assumption!$E$217)*(1-CHOOSE(MIN(MAX(BP16,1),3),Assumption!$E$219,Assumption!$E$220,Assumption!$E$221))</f>
        <v>267.43203</v>
      </c>
      <c r="BQ38" s="158" t="n">
        <f aca="false">(BQ14=1)*Assumption!$E$213*Assumption!$E$214/1000*(1+Assumption!$E$216)^INT((BQ15-1)/Assumption!$E$217)*(1-CHOOSE(MIN(MAX(BQ16,1),3),Assumption!$E$219,Assumption!$E$220,Assumption!$E$221))</f>
        <v>267.43203</v>
      </c>
      <c r="BR38" s="158" t="n">
        <f aca="false">(BR14=1)*Assumption!$E$213*Assumption!$E$214/1000*(1+Assumption!$E$216)^INT((BR15-1)/Assumption!$E$217)*(1-CHOOSE(MIN(MAX(BR16,1),3),Assumption!$E$219,Assumption!$E$220,Assumption!$E$221))</f>
        <v>267.43203</v>
      </c>
      <c r="BS38" s="158" t="n">
        <f aca="false">(BS14=1)*Assumption!$E$213*Assumption!$E$214/1000*(1+Assumption!$E$216)^INT((BS15-1)/Assumption!$E$217)*(1-CHOOSE(MIN(MAX(BS16,1),3),Assumption!$E$219,Assumption!$E$220,Assumption!$E$221))</f>
        <v>267.43203</v>
      </c>
      <c r="BT38" s="158" t="n">
        <f aca="false">(BT14=1)*Assumption!$E$213*Assumption!$E$214/1000*(1+Assumption!$E$216)^INT((BT15-1)/Assumption!$E$217)*(1-CHOOSE(MIN(MAX(BT16,1),3),Assumption!$E$219,Assumption!$E$220,Assumption!$E$221))</f>
        <v>267.43203</v>
      </c>
      <c r="BU38" s="158" t="n">
        <f aca="false">(BU14=1)*Assumption!$E$213*Assumption!$E$214/1000*(1+Assumption!$E$216)^INT((BU15-1)/Assumption!$E$217)*(1-CHOOSE(MIN(MAX(BU16,1),3),Assumption!$E$219,Assumption!$E$220,Assumption!$E$221))</f>
        <v>267.43203</v>
      </c>
      <c r="BV38" s="158" t="n">
        <f aca="false">(BV14=1)*Assumption!$E$213*Assumption!$E$214/1000*(1+Assumption!$E$216)^INT((BV15-1)/Assumption!$E$217)*(1-CHOOSE(MIN(MAX(BV16,1),3),Assumption!$E$219,Assumption!$E$220,Assumption!$E$221))</f>
        <v>267.43203</v>
      </c>
      <c r="BW38" s="158" t="n">
        <f aca="false">(BW14=1)*Assumption!$E$213*Assumption!$E$214/1000*(1+Assumption!$E$216)^INT((BW15-1)/Assumption!$E$217)*(1-CHOOSE(MIN(MAX(BW16,1),3),Assumption!$E$219,Assumption!$E$220,Assumption!$E$221))</f>
        <v>267.43203</v>
      </c>
      <c r="BX38" s="158" t="n">
        <f aca="false">(BX14=1)*Assumption!$E$213*Assumption!$E$214/1000*(1+Assumption!$E$216)^INT((BX15-1)/Assumption!$E$217)*(1-CHOOSE(MIN(MAX(BX16,1),3),Assumption!$E$219,Assumption!$E$220,Assumption!$E$221))</f>
        <v>267.43203</v>
      </c>
      <c r="BY38" s="158" t="n">
        <f aca="false">(BY14=1)*Assumption!$E$213*Assumption!$E$214/1000*(1+Assumption!$E$216)^INT((BY15-1)/Assumption!$E$217)*(1-CHOOSE(MIN(MAX(BY16,1),3),Assumption!$E$219,Assumption!$E$220,Assumption!$E$221))</f>
        <v>272.7806706</v>
      </c>
      <c r="BZ38" s="158" t="n">
        <f aca="false">(BZ14=1)*Assumption!$E$213*Assumption!$E$214/1000*(1+Assumption!$E$216)^INT((BZ15-1)/Assumption!$E$217)*(1-CHOOSE(MIN(MAX(BZ16,1),3),Assumption!$E$219,Assumption!$E$220,Assumption!$E$221))</f>
        <v>272.7806706</v>
      </c>
      <c r="CA38" s="158" t="n">
        <f aca="false">(CA14=1)*Assumption!$E$213*Assumption!$E$214/1000*(1+Assumption!$E$216)^INT((CA15-1)/Assumption!$E$217)*(1-CHOOSE(MIN(MAX(CA16,1),3),Assumption!$E$219,Assumption!$E$220,Assumption!$E$221))</f>
        <v>272.7806706</v>
      </c>
      <c r="CB38" s="158" t="n">
        <f aca="false">(CB14=1)*Assumption!$E$213*Assumption!$E$214/1000*(1+Assumption!$E$216)^INT((CB15-1)/Assumption!$E$217)*(1-CHOOSE(MIN(MAX(CB16,1),3),Assumption!$E$219,Assumption!$E$220,Assumption!$E$221))</f>
        <v>272.7806706</v>
      </c>
      <c r="CC38" s="158" t="n">
        <f aca="false">(CC14=1)*Assumption!$E$213*Assumption!$E$214/1000*(1+Assumption!$E$216)^INT((CC15-1)/Assumption!$E$217)*(1-CHOOSE(MIN(MAX(CC16,1),3),Assumption!$E$219,Assumption!$E$220,Assumption!$E$221))</f>
        <v>272.7806706</v>
      </c>
      <c r="CD38" s="158" t="n">
        <f aca="false">(CD14=1)*Assumption!$E$213*Assumption!$E$214/1000*(1+Assumption!$E$216)^INT((CD15-1)/Assumption!$E$217)*(1-CHOOSE(MIN(MAX(CD16,1),3),Assumption!$E$219,Assumption!$E$220,Assumption!$E$221))</f>
        <v>272.7806706</v>
      </c>
      <c r="CE38" s="158" t="n">
        <f aca="false">(CE14=1)*Assumption!$E$213*Assumption!$E$214/1000*(1+Assumption!$E$216)^INT((CE15-1)/Assumption!$E$217)*(1-CHOOSE(MIN(MAX(CE16,1),3),Assumption!$E$219,Assumption!$E$220,Assumption!$E$221))</f>
        <v>272.7806706</v>
      </c>
      <c r="CF38" s="158" t="n">
        <f aca="false">(CF14=1)*Assumption!$E$213*Assumption!$E$214/1000*(1+Assumption!$E$216)^INT((CF15-1)/Assumption!$E$217)*(1-CHOOSE(MIN(MAX(CF16,1),3),Assumption!$E$219,Assumption!$E$220,Assumption!$E$221))</f>
        <v>272.7806706</v>
      </c>
      <c r="CG38" s="158" t="n">
        <f aca="false">(CG14=1)*Assumption!$E$213*Assumption!$E$214/1000*(1+Assumption!$E$216)^INT((CG15-1)/Assumption!$E$217)*(1-CHOOSE(MIN(MAX(CG16,1),3),Assumption!$E$219,Assumption!$E$220,Assumption!$E$221))</f>
        <v>272.7806706</v>
      </c>
      <c r="CH38" s="158" t="n">
        <f aca="false">(CH14=1)*Assumption!$E$213*Assumption!$E$214/1000*(1+Assumption!$E$216)^INT((CH15-1)/Assumption!$E$217)*(1-CHOOSE(MIN(MAX(CH16,1),3),Assumption!$E$219,Assumption!$E$220,Assumption!$E$221))</f>
        <v>272.7806706</v>
      </c>
      <c r="CI38" s="158" t="n">
        <f aca="false">(CI14=1)*Assumption!$E$213*Assumption!$E$214/1000*(1+Assumption!$E$216)^INT((CI15-1)/Assumption!$E$217)*(1-CHOOSE(MIN(MAX(CI16,1),3),Assumption!$E$219,Assumption!$E$220,Assumption!$E$221))</f>
        <v>272.7806706</v>
      </c>
      <c r="CJ38" s="158" t="n">
        <f aca="false">(CJ14=1)*Assumption!$E$213*Assumption!$E$214/1000*(1+Assumption!$E$216)^INT((CJ15-1)/Assumption!$E$217)*(1-CHOOSE(MIN(MAX(CJ16,1),3),Assumption!$E$219,Assumption!$E$220,Assumption!$E$221))</f>
        <v>272.7806706</v>
      </c>
      <c r="CK38" s="158" t="n">
        <f aca="false">(CK14=1)*Assumption!$E$213*Assumption!$E$214/1000*(1+Assumption!$E$216)^INT((CK15-1)/Assumption!$E$217)*(1-CHOOSE(MIN(MAX(CK16,1),3),Assumption!$E$219,Assumption!$E$220,Assumption!$E$221))</f>
        <v>278.236284012</v>
      </c>
      <c r="CL38" s="158" t="n">
        <f aca="false">(CL14=1)*Assumption!$E$213*Assumption!$E$214/1000*(1+Assumption!$E$216)^INT((CL15-1)/Assumption!$E$217)*(1-CHOOSE(MIN(MAX(CL16,1),3),Assumption!$E$219,Assumption!$E$220,Assumption!$E$221))</f>
        <v>278.236284012</v>
      </c>
      <c r="CM38" s="158" t="n">
        <f aca="false">(CM14=1)*Assumption!$E$213*Assumption!$E$214/1000*(1+Assumption!$E$216)^INT((CM15-1)/Assumption!$E$217)*(1-CHOOSE(MIN(MAX(CM16,1),3),Assumption!$E$219,Assumption!$E$220,Assumption!$E$221))</f>
        <v>278.236284012</v>
      </c>
      <c r="CN38" s="158" t="n">
        <f aca="false">(CN14=1)*Assumption!$E$213*Assumption!$E$214/1000*(1+Assumption!$E$216)^INT((CN15-1)/Assumption!$E$217)*(1-CHOOSE(MIN(MAX(CN16,1),3),Assumption!$E$219,Assumption!$E$220,Assumption!$E$221))</f>
        <v>278.236284012</v>
      </c>
      <c r="CO38" s="158" t="n">
        <f aca="false">(CO14=1)*Assumption!$E$213*Assumption!$E$214/1000*(1+Assumption!$E$216)^INT((CO15-1)/Assumption!$E$217)*(1-CHOOSE(MIN(MAX(CO16,1),3),Assumption!$E$219,Assumption!$E$220,Assumption!$E$221))</f>
        <v>278.236284012</v>
      </c>
      <c r="CP38" s="158" t="n">
        <f aca="false">(CP14=1)*Assumption!$E$213*Assumption!$E$214/1000*(1+Assumption!$E$216)^INT((CP15-1)/Assumption!$E$217)*(1-CHOOSE(MIN(MAX(CP16,1),3),Assumption!$E$219,Assumption!$E$220,Assumption!$E$221))</f>
        <v>278.236284012</v>
      </c>
      <c r="CQ38" s="158" t="n">
        <f aca="false">(CQ14=1)*Assumption!$E$213*Assumption!$E$214/1000*(1+Assumption!$E$216)^INT((CQ15-1)/Assumption!$E$217)*(1-CHOOSE(MIN(MAX(CQ16,1),3),Assumption!$E$219,Assumption!$E$220,Assumption!$E$221))</f>
        <v>278.236284012</v>
      </c>
      <c r="CR38" s="158" t="n">
        <f aca="false">(CR14=1)*Assumption!$E$213*Assumption!$E$214/1000*(1+Assumption!$E$216)^INT((CR15-1)/Assumption!$E$217)*(1-CHOOSE(MIN(MAX(CR16,1),3),Assumption!$E$219,Assumption!$E$220,Assumption!$E$221))</f>
        <v>278.236284012</v>
      </c>
      <c r="CS38" s="158" t="n">
        <f aca="false">(CS14=1)*Assumption!$E$213*Assumption!$E$214/1000*(1+Assumption!$E$216)^INT((CS15-1)/Assumption!$E$217)*(1-CHOOSE(MIN(MAX(CS16,1),3),Assumption!$E$219,Assumption!$E$220,Assumption!$E$221))</f>
        <v>278.236284012</v>
      </c>
      <c r="CT38" s="158" t="n">
        <f aca="false">(CT14=1)*Assumption!$E$213*Assumption!$E$214/1000*(1+Assumption!$E$216)^INT((CT15-1)/Assumption!$E$217)*(1-CHOOSE(MIN(MAX(CT16,1),3),Assumption!$E$219,Assumption!$E$220,Assumption!$E$221))</f>
        <v>278.236284012</v>
      </c>
      <c r="CU38" s="158" t="n">
        <f aca="false">(CU14=1)*Assumption!$E$213*Assumption!$E$214/1000*(1+Assumption!$E$216)^INT((CU15-1)/Assumption!$E$217)*(1-CHOOSE(MIN(MAX(CU16,1),3),Assumption!$E$219,Assumption!$E$220,Assumption!$E$221))</f>
        <v>278.236284012</v>
      </c>
      <c r="CV38" s="158" t="n">
        <f aca="false">(CV14=1)*Assumption!$E$213*Assumption!$E$214/1000*(1+Assumption!$E$216)^INT((CV15-1)/Assumption!$E$217)*(1-CHOOSE(MIN(MAX(CV16,1),3),Assumption!$E$219,Assumption!$E$220,Assumption!$E$221))</f>
        <v>278.236284012</v>
      </c>
      <c r="CW38" s="158" t="n">
        <f aca="false">(CW14=1)*Assumption!$E$213*Assumption!$E$214/1000*(1+Assumption!$E$216)^INT((CW15-1)/Assumption!$E$217)*(1-CHOOSE(MIN(MAX(CW16,1),3),Assumption!$E$219,Assumption!$E$220,Assumption!$E$221))</f>
        <v>283.80100969224</v>
      </c>
      <c r="CX38" s="158" t="n">
        <f aca="false">(CX14=1)*Assumption!$E$213*Assumption!$E$214/1000*(1+Assumption!$E$216)^INT((CX15-1)/Assumption!$E$217)*(1-CHOOSE(MIN(MAX(CX16,1),3),Assumption!$E$219,Assumption!$E$220,Assumption!$E$221))</f>
        <v>283.80100969224</v>
      </c>
      <c r="CY38" s="158" t="n">
        <f aca="false">(CY14=1)*Assumption!$E$213*Assumption!$E$214/1000*(1+Assumption!$E$216)^INT((CY15-1)/Assumption!$E$217)*(1-CHOOSE(MIN(MAX(CY16,1),3),Assumption!$E$219,Assumption!$E$220,Assumption!$E$221))</f>
        <v>283.80100969224</v>
      </c>
      <c r="CZ38" s="158" t="n">
        <f aca="false">(CZ14=1)*Assumption!$E$213*Assumption!$E$214/1000*(1+Assumption!$E$216)^INT((CZ15-1)/Assumption!$E$217)*(1-CHOOSE(MIN(MAX(CZ16,1),3),Assumption!$E$219,Assumption!$E$220,Assumption!$E$221))</f>
        <v>283.80100969224</v>
      </c>
      <c r="DA38" s="158" t="n">
        <f aca="false">(DA14=1)*Assumption!$E$213*Assumption!$E$214/1000*(1+Assumption!$E$216)^INT((DA15-1)/Assumption!$E$217)*(1-CHOOSE(MIN(MAX(DA16,1),3),Assumption!$E$219,Assumption!$E$220,Assumption!$E$221))</f>
        <v>283.80100969224</v>
      </c>
      <c r="DB38" s="158" t="n">
        <f aca="false">(DB14=1)*Assumption!$E$213*Assumption!$E$214/1000*(1+Assumption!$E$216)^INT((DB15-1)/Assumption!$E$217)*(1-CHOOSE(MIN(MAX(DB16,1),3),Assumption!$E$219,Assumption!$E$220,Assumption!$E$221))</f>
        <v>283.80100969224</v>
      </c>
      <c r="DC38" s="158" t="n">
        <f aca="false">(DC14=1)*Assumption!$E$213*Assumption!$E$214/1000*(1+Assumption!$E$216)^INT((DC15-1)/Assumption!$E$217)*(1-CHOOSE(MIN(MAX(DC16,1),3),Assumption!$E$219,Assumption!$E$220,Assumption!$E$221))</f>
        <v>283.80100969224</v>
      </c>
      <c r="DD38" s="158" t="n">
        <f aca="false">(DD14=1)*Assumption!$E$213*Assumption!$E$214/1000*(1+Assumption!$E$216)^INT((DD15-1)/Assumption!$E$217)*(1-CHOOSE(MIN(MAX(DD16,1),3),Assumption!$E$219,Assumption!$E$220,Assumption!$E$221))</f>
        <v>283.80100969224</v>
      </c>
      <c r="DE38" s="158" t="n">
        <f aca="false">(DE14=1)*Assumption!$E$213*Assumption!$E$214/1000*(1+Assumption!$E$216)^INT((DE15-1)/Assumption!$E$217)*(1-CHOOSE(MIN(MAX(DE16,1),3),Assumption!$E$219,Assumption!$E$220,Assumption!$E$221))</f>
        <v>283.80100969224</v>
      </c>
      <c r="DF38" s="158" t="n">
        <f aca="false">(DF14=1)*Assumption!$E$213*Assumption!$E$214/1000*(1+Assumption!$E$216)^INT((DF15-1)/Assumption!$E$217)*(1-CHOOSE(MIN(MAX(DF16,1),3),Assumption!$E$219,Assumption!$E$220,Assumption!$E$221))</f>
        <v>283.80100969224</v>
      </c>
      <c r="DG38" s="158" t="n">
        <f aca="false">(DG14=1)*Assumption!$E$213*Assumption!$E$214/1000*(1+Assumption!$E$216)^INT((DG15-1)/Assumption!$E$217)*(1-CHOOSE(MIN(MAX(DG16,1),3),Assumption!$E$219,Assumption!$E$220,Assumption!$E$221))</f>
        <v>283.80100969224</v>
      </c>
      <c r="DH38" s="158" t="n">
        <f aca="false">(DH14=1)*Assumption!$E$213*Assumption!$E$214/1000*(1+Assumption!$E$216)^INT((DH15-1)/Assumption!$E$217)*(1-CHOOSE(MIN(MAX(DH16,1),3),Assumption!$E$219,Assumption!$E$220,Assumption!$E$221))</f>
        <v>283.80100969224</v>
      </c>
      <c r="DI38" s="158" t="n">
        <f aca="false">(DI14=1)*Assumption!$E$213*Assumption!$E$214/1000*(1+Assumption!$E$216)^INT((DI15-1)/Assumption!$E$217)*(1-CHOOSE(MIN(MAX(DI16,1),3),Assumption!$E$219,Assumption!$E$220,Assumption!$E$221))</f>
        <v>289.477029886085</v>
      </c>
      <c r="DJ38" s="158" t="n">
        <f aca="false">(DJ14=1)*Assumption!$E$213*Assumption!$E$214/1000*(1+Assumption!$E$216)^INT((DJ15-1)/Assumption!$E$217)*(1-CHOOSE(MIN(MAX(DJ16,1),3),Assumption!$E$219,Assumption!$E$220,Assumption!$E$221))</f>
        <v>289.477029886085</v>
      </c>
      <c r="DK38" s="158" t="n">
        <f aca="false">(DK14=1)*Assumption!$E$213*Assumption!$E$214/1000*(1+Assumption!$E$216)^INT((DK15-1)/Assumption!$E$217)*(1-CHOOSE(MIN(MAX(DK16,1),3),Assumption!$E$219,Assumption!$E$220,Assumption!$E$221))</f>
        <v>289.477029886085</v>
      </c>
      <c r="DL38" s="158" t="n">
        <f aca="false">(DL14=1)*Assumption!$E$213*Assumption!$E$214/1000*(1+Assumption!$E$216)^INT((DL15-1)/Assumption!$E$217)*(1-CHOOSE(MIN(MAX(DL16,1),3),Assumption!$E$219,Assumption!$E$220,Assumption!$E$221))</f>
        <v>289.477029886085</v>
      </c>
      <c r="DM38" s="158" t="n">
        <f aca="false">(DM14=1)*Assumption!$E$213*Assumption!$E$214/1000*(1+Assumption!$E$216)^INT((DM15-1)/Assumption!$E$217)*(1-CHOOSE(MIN(MAX(DM16,1),3),Assumption!$E$219,Assumption!$E$220,Assumption!$E$221))</f>
        <v>289.477029886085</v>
      </c>
      <c r="DN38" s="158" t="n">
        <f aca="false">(DN14=1)*Assumption!$E$213*Assumption!$E$214/1000*(1+Assumption!$E$216)^INT((DN15-1)/Assumption!$E$217)*(1-CHOOSE(MIN(MAX(DN16,1),3),Assumption!$E$219,Assumption!$E$220,Assumption!$E$221))</f>
        <v>289.477029886085</v>
      </c>
      <c r="DO38" s="158" t="n">
        <f aca="false">(DO14=1)*Assumption!$E$213*Assumption!$E$214/1000*(1+Assumption!$E$216)^INT((DO15-1)/Assumption!$E$217)*(1-CHOOSE(MIN(MAX(DO16,1),3),Assumption!$E$219,Assumption!$E$220,Assumption!$E$221))</f>
        <v>289.477029886085</v>
      </c>
      <c r="DP38" s="158" t="n">
        <f aca="false">(DP14=1)*Assumption!$E$213*Assumption!$E$214/1000*(1+Assumption!$E$216)^INT((DP15-1)/Assumption!$E$217)*(1-CHOOSE(MIN(MAX(DP16,1),3),Assumption!$E$219,Assumption!$E$220,Assumption!$E$221))</f>
        <v>289.477029886085</v>
      </c>
      <c r="DQ38" s="158" t="n">
        <f aca="false">(DQ14=1)*Assumption!$E$213*Assumption!$E$214/1000*(1+Assumption!$E$216)^INT((DQ15-1)/Assumption!$E$217)*(1-CHOOSE(MIN(MAX(DQ16,1),3),Assumption!$E$219,Assumption!$E$220,Assumption!$E$221))</f>
        <v>289.477029886085</v>
      </c>
      <c r="DR38" s="158" t="n">
        <f aca="false">(DR14=1)*Assumption!$E$213*Assumption!$E$214/1000*(1+Assumption!$E$216)^INT((DR15-1)/Assumption!$E$217)*(1-CHOOSE(MIN(MAX(DR16,1),3),Assumption!$E$219,Assumption!$E$220,Assumption!$E$221))</f>
        <v>289.477029886085</v>
      </c>
      <c r="DS38" s="158" t="n">
        <f aca="false">(DS14=1)*Assumption!$E$213*Assumption!$E$214/1000*(1+Assumption!$E$216)^INT((DS15-1)/Assumption!$E$217)*(1-CHOOSE(MIN(MAX(DS16,1),3),Assumption!$E$219,Assumption!$E$220,Assumption!$E$221))</f>
        <v>289.477029886085</v>
      </c>
      <c r="DT38" s="158" t="n">
        <f aca="false">(DT14=1)*Assumption!$E$213*Assumption!$E$214/1000*(1+Assumption!$E$216)^INT((DT15-1)/Assumption!$E$217)*(1-CHOOSE(MIN(MAX(DT16,1),3),Assumption!$E$219,Assumption!$E$220,Assumption!$E$221))</f>
        <v>289.477029886085</v>
      </c>
      <c r="DU38" s="158" t="n">
        <f aca="false">(DU14=1)*Assumption!$E$213*Assumption!$E$214/1000*(1+Assumption!$E$216)^INT((DU15-1)/Assumption!$E$217)*(1-CHOOSE(MIN(MAX(DU16,1),3),Assumption!$E$219,Assumption!$E$220,Assumption!$E$221))</f>
        <v>0</v>
      </c>
      <c r="DV38" s="158" t="n">
        <f aca="false">(DV14=1)*Assumption!$E$213*Assumption!$E$214/1000*(1+Assumption!$E$216)^INT((DV15-1)/Assumption!$E$217)*(1-CHOOSE(MIN(MAX(DV16,1),3),Assumption!$E$219,Assumption!$E$220,Assumption!$E$221))</f>
        <v>0</v>
      </c>
      <c r="DW38" s="158" t="n">
        <f aca="false">(DW14=1)*Assumption!$E$213*Assumption!$E$214/1000*(1+Assumption!$E$216)^INT((DW15-1)/Assumption!$E$217)*(1-CHOOSE(MIN(MAX(DW16,1),3),Assumption!$E$219,Assumption!$E$220,Assumption!$E$221))</f>
        <v>0</v>
      </c>
      <c r="DX38" s="158" t="n">
        <f aca="false">(DX14=1)*Assumption!$E$213*Assumption!$E$214/1000*(1+Assumption!$E$216)^INT((DX15-1)/Assumption!$E$217)*(1-CHOOSE(MIN(MAX(DX16,1),3),Assumption!$E$219,Assumption!$E$220,Assumption!$E$221))</f>
        <v>0</v>
      </c>
      <c r="DY38" s="158" t="n">
        <f aca="false">(DY14=1)*Assumption!$E$213*Assumption!$E$214/1000*(1+Assumption!$E$216)^INT((DY15-1)/Assumption!$E$217)*(1-CHOOSE(MIN(MAX(DY16,1),3),Assumption!$E$219,Assumption!$E$220,Assumption!$E$221))</f>
        <v>0</v>
      </c>
      <c r="DZ38" s="158" t="n">
        <f aca="false">(DZ14=1)*Assumption!$E$213*Assumption!$E$214/1000*(1+Assumption!$E$216)^INT((DZ15-1)/Assumption!$E$217)*(1-CHOOSE(MIN(MAX(DZ16,1),3),Assumption!$E$219,Assumption!$E$220,Assumption!$E$221))</f>
        <v>0</v>
      </c>
      <c r="EA38" s="158" t="n">
        <f aca="false">(EA14=1)*Assumption!$E$213*Assumption!$E$214/1000*(1+Assumption!$E$216)^INT((EA15-1)/Assumption!$E$217)*(1-CHOOSE(MIN(MAX(EA16,1),3),Assumption!$E$219,Assumption!$E$220,Assumption!$E$221))</f>
        <v>0</v>
      </c>
      <c r="EB38" s="158" t="n">
        <f aca="false">(EB14=1)*Assumption!$E$213*Assumption!$E$214/1000*(1+Assumption!$E$216)^INT((EB15-1)/Assumption!$E$217)*(1-CHOOSE(MIN(MAX(EB16,1),3),Assumption!$E$219,Assumption!$E$220,Assumption!$E$221))</f>
        <v>0</v>
      </c>
      <c r="EC38" s="158" t="n">
        <f aca="false">(EC14=1)*Assumption!$E$213*Assumption!$E$214/1000*(1+Assumption!$E$216)^INT((EC15-1)/Assumption!$E$217)*(1-CHOOSE(MIN(MAX(EC16,1),3),Assumption!$E$219,Assumption!$E$220,Assumption!$E$221))</f>
        <v>0</v>
      </c>
      <c r="ED38" s="158" t="n">
        <f aca="false">(ED14=1)*Assumption!$E$213*Assumption!$E$214/1000*(1+Assumption!$E$216)^INT((ED15-1)/Assumption!$E$217)*(1-CHOOSE(MIN(MAX(ED16,1),3),Assumption!$E$219,Assumption!$E$220,Assumption!$E$221))</f>
        <v>0</v>
      </c>
      <c r="EE38" s="158" t="n">
        <f aca="false">(EE14=1)*Assumption!$E$213*Assumption!$E$214/1000*(1+Assumption!$E$216)^INT((EE15-1)/Assumption!$E$217)*(1-CHOOSE(MIN(MAX(EE16,1),3),Assumption!$E$219,Assumption!$E$220,Assumption!$E$221))</f>
        <v>0</v>
      </c>
      <c r="EF38" s="158" t="n">
        <f aca="false">(EF14=1)*Assumption!$E$213*Assumption!$E$214/1000*(1+Assumption!$E$216)^INT((EF15-1)/Assumption!$E$217)*(1-CHOOSE(MIN(MAX(EF16,1),3),Assumption!$E$219,Assumption!$E$220,Assumption!$E$221))</f>
        <v>0</v>
      </c>
    </row>
    <row r="39" customFormat="false" ht="15" hidden="false" customHeight="false" outlineLevel="0" collapsed="false">
      <c r="A39" s="35" t="s">
        <v>505</v>
      </c>
      <c r="B39" s="241" t="s">
        <v>116</v>
      </c>
      <c r="C39" s="242" t="n">
        <f aca="false">SUM(E39:EF39)</f>
        <v>4436.2652174185</v>
      </c>
      <c r="E39" s="158" t="n">
        <f aca="false">(E14=1)*Assumption!$E$226*Assumption!$E$227/1000*(1+Assumption!$E$229)^INT((E15-1)/Assumption!$E$230)*(1-CHOOSE(MIN(MAX(E16,1),3),Assumption!$E$232,Assumption!$E$233,Assumption!$E$234))</f>
        <v>0</v>
      </c>
      <c r="F39" s="158" t="n">
        <f aca="false">(F14=1)*Assumption!$E$226*Assumption!$E$227/1000*(1+Assumption!$E$229)^INT((F15-1)/Assumption!$E$230)*(1-CHOOSE(MIN(MAX(F16,1),3),Assumption!$E$232,Assumption!$E$233,Assumption!$E$234))</f>
        <v>0</v>
      </c>
      <c r="G39" s="158" t="n">
        <f aca="false">(G14=1)*Assumption!$E$226*Assumption!$E$227/1000*(1+Assumption!$E$229)^INT((G15-1)/Assumption!$E$230)*(1-CHOOSE(MIN(MAX(G16,1),3),Assumption!$E$232,Assumption!$E$233,Assumption!$E$234))</f>
        <v>0</v>
      </c>
      <c r="H39" s="158" t="n">
        <f aca="false">(H14=1)*Assumption!$E$226*Assumption!$E$227/1000*(1+Assumption!$E$229)^INT((H15-1)/Assumption!$E$230)*(1-CHOOSE(MIN(MAX(H16,1),3),Assumption!$E$232,Assumption!$E$233,Assumption!$E$234))</f>
        <v>0</v>
      </c>
      <c r="I39" s="158" t="n">
        <f aca="false">(I14=1)*Assumption!$E$226*Assumption!$E$227/1000*(1+Assumption!$E$229)^INT((I15-1)/Assumption!$E$230)*(1-CHOOSE(MIN(MAX(I16,1),3),Assumption!$E$232,Assumption!$E$233,Assumption!$E$234))</f>
        <v>0</v>
      </c>
      <c r="J39" s="158" t="n">
        <f aca="false">(J14=1)*Assumption!$E$226*Assumption!$E$227/1000*(1+Assumption!$E$229)^INT((J15-1)/Assumption!$E$230)*(1-CHOOSE(MIN(MAX(J16,1),3),Assumption!$E$232,Assumption!$E$233,Assumption!$E$234))</f>
        <v>0</v>
      </c>
      <c r="K39" s="158" t="n">
        <f aca="false">(K14=1)*Assumption!$E$226*Assumption!$E$227/1000*(1+Assumption!$E$229)^INT((K15-1)/Assumption!$E$230)*(1-CHOOSE(MIN(MAX(K16,1),3),Assumption!$E$232,Assumption!$E$233,Assumption!$E$234))</f>
        <v>0</v>
      </c>
      <c r="L39" s="158" t="n">
        <f aca="false">(L14=1)*Assumption!$E$226*Assumption!$E$227/1000*(1+Assumption!$E$229)^INT((L15-1)/Assumption!$E$230)*(1-CHOOSE(MIN(MAX(L16,1),3),Assumption!$E$232,Assumption!$E$233,Assumption!$E$234))</f>
        <v>0</v>
      </c>
      <c r="M39" s="158" t="n">
        <f aca="false">(M14=1)*Assumption!$E$226*Assumption!$E$227/1000*(1+Assumption!$E$229)^INT((M15-1)/Assumption!$E$230)*(1-CHOOSE(MIN(MAX(M16,1),3),Assumption!$E$232,Assumption!$E$233,Assumption!$E$234))</f>
        <v>0</v>
      </c>
      <c r="N39" s="158" t="n">
        <f aca="false">(N14=1)*Assumption!$E$226*Assumption!$E$227/1000*(1+Assumption!$E$229)^INT((N15-1)/Assumption!$E$230)*(1-CHOOSE(MIN(MAX(N16,1),3),Assumption!$E$232,Assumption!$E$233,Assumption!$E$234))</f>
        <v>0</v>
      </c>
      <c r="O39" s="158" t="n">
        <f aca="false">(O14=1)*Assumption!$E$226*Assumption!$E$227/1000*(1+Assumption!$E$229)^INT((O15-1)/Assumption!$E$230)*(1-CHOOSE(MIN(MAX(O16,1),3),Assumption!$E$232,Assumption!$E$233,Assumption!$E$234))</f>
        <v>0</v>
      </c>
      <c r="P39" s="158" t="n">
        <f aca="false">(P14=1)*Assumption!$E$226*Assumption!$E$227/1000*(1+Assumption!$E$229)^INT((P15-1)/Assumption!$E$230)*(1-CHOOSE(MIN(MAX(P16,1),3),Assumption!$E$232,Assumption!$E$233,Assumption!$E$234))</f>
        <v>0</v>
      </c>
      <c r="Q39" s="158" t="n">
        <f aca="false">(Q14=1)*Assumption!$E$226*Assumption!$E$227/1000*(1+Assumption!$E$229)^INT((Q15-1)/Assumption!$E$230)*(1-CHOOSE(MIN(MAX(Q16,1),3),Assumption!$E$232,Assumption!$E$233,Assumption!$E$234))</f>
        <v>0</v>
      </c>
      <c r="R39" s="158" t="n">
        <f aca="false">(R14=1)*Assumption!$E$226*Assumption!$E$227/1000*(1+Assumption!$E$229)^INT((R15-1)/Assumption!$E$230)*(1-CHOOSE(MIN(MAX(R16,1),3),Assumption!$E$232,Assumption!$E$233,Assumption!$E$234))</f>
        <v>0</v>
      </c>
      <c r="S39" s="158" t="n">
        <f aca="false">(S14=1)*Assumption!$E$226*Assumption!$E$227/1000*(1+Assumption!$E$229)^INT((S15-1)/Assumption!$E$230)*(1-CHOOSE(MIN(MAX(S16,1),3),Assumption!$E$232,Assumption!$E$233,Assumption!$E$234))</f>
        <v>0</v>
      </c>
      <c r="T39" s="158" t="n">
        <f aca="false">(T14=1)*Assumption!$E$226*Assumption!$E$227/1000*(1+Assumption!$E$229)^INT((T15-1)/Assumption!$E$230)*(1-CHOOSE(MIN(MAX(T16,1),3),Assumption!$E$232,Assumption!$E$233,Assumption!$E$234))</f>
        <v>0</v>
      </c>
      <c r="U39" s="158" t="n">
        <f aca="false">(U14=1)*Assumption!$E$226*Assumption!$E$227/1000*(1+Assumption!$E$229)^INT((U15-1)/Assumption!$E$230)*(1-CHOOSE(MIN(MAX(U16,1),3),Assumption!$E$232,Assumption!$E$233,Assumption!$E$234))</f>
        <v>0</v>
      </c>
      <c r="V39" s="158" t="n">
        <f aca="false">(V14=1)*Assumption!$E$226*Assumption!$E$227/1000*(1+Assumption!$E$229)^INT((V15-1)/Assumption!$E$230)*(1-CHOOSE(MIN(MAX(V16,1),3),Assumption!$E$232,Assumption!$E$233,Assumption!$E$234))</f>
        <v>0</v>
      </c>
      <c r="W39" s="158" t="n">
        <f aca="false">(W14=1)*Assumption!$E$226*Assumption!$E$227/1000*(1+Assumption!$E$229)^INT((W15-1)/Assumption!$E$230)*(1-CHOOSE(MIN(MAX(W16,1),3),Assumption!$E$232,Assumption!$E$233,Assumption!$E$234))</f>
        <v>0</v>
      </c>
      <c r="X39" s="158" t="n">
        <f aca="false">(X14=1)*Assumption!$E$226*Assumption!$E$227/1000*(1+Assumption!$E$229)^INT((X15-1)/Assumption!$E$230)*(1-CHOOSE(MIN(MAX(X16,1),3),Assumption!$E$232,Assumption!$E$233,Assumption!$E$234))</f>
        <v>0</v>
      </c>
      <c r="Y39" s="158" t="n">
        <f aca="false">(Y14=1)*Assumption!$E$226*Assumption!$E$227/1000*(1+Assumption!$E$229)^INT((Y15-1)/Assumption!$E$230)*(1-CHOOSE(MIN(MAX(Y16,1),3),Assumption!$E$232,Assumption!$E$233,Assumption!$E$234))</f>
        <v>0</v>
      </c>
      <c r="Z39" s="158" t="n">
        <f aca="false">(Z14=1)*Assumption!$E$226*Assumption!$E$227/1000*(1+Assumption!$E$229)^INT((Z15-1)/Assumption!$E$230)*(1-CHOOSE(MIN(MAX(Z16,1),3),Assumption!$E$232,Assumption!$E$233,Assumption!$E$234))</f>
        <v>0</v>
      </c>
      <c r="AA39" s="158" t="n">
        <f aca="false">(AA14=1)*Assumption!$E$226*Assumption!$E$227/1000*(1+Assumption!$E$229)^INT((AA15-1)/Assumption!$E$230)*(1-CHOOSE(MIN(MAX(AA16,1),3),Assumption!$E$232,Assumption!$E$233,Assumption!$E$234))</f>
        <v>0</v>
      </c>
      <c r="AB39" s="158" t="n">
        <f aca="false">(AB14=1)*Assumption!$E$226*Assumption!$E$227/1000*(1+Assumption!$E$229)^INT((AB15-1)/Assumption!$E$230)*(1-CHOOSE(MIN(MAX(AB16,1),3),Assumption!$E$232,Assumption!$E$233,Assumption!$E$234))</f>
        <v>0</v>
      </c>
      <c r="AC39" s="158" t="n">
        <f aca="false">(AC14=1)*Assumption!$E$226*Assumption!$E$227/1000*(1+Assumption!$E$229)^INT((AC15-1)/Assumption!$E$230)*(1-CHOOSE(MIN(MAX(AC16,1),3),Assumption!$E$232,Assumption!$E$233,Assumption!$E$234))</f>
        <v>0</v>
      </c>
      <c r="AD39" s="158" t="n">
        <f aca="false">(AD14=1)*Assumption!$E$226*Assumption!$E$227/1000*(1+Assumption!$E$229)^INT((AD15-1)/Assumption!$E$230)*(1-CHOOSE(MIN(MAX(AD16,1),3),Assumption!$E$232,Assumption!$E$233,Assumption!$E$234))</f>
        <v>0</v>
      </c>
      <c r="AE39" s="158" t="n">
        <f aca="false">(AE14=1)*Assumption!$E$226*Assumption!$E$227/1000*(1+Assumption!$E$229)^INT((AE15-1)/Assumption!$E$230)*(1-CHOOSE(MIN(MAX(AE16,1),3),Assumption!$E$232,Assumption!$E$233,Assumption!$E$234))</f>
        <v>0</v>
      </c>
      <c r="AF39" s="158" t="n">
        <f aca="false">(AF14=1)*Assumption!$E$226*Assumption!$E$227/1000*(1+Assumption!$E$229)^INT((AF15-1)/Assumption!$E$230)*(1-CHOOSE(MIN(MAX(AF16,1),3),Assumption!$E$232,Assumption!$E$233,Assumption!$E$234))</f>
        <v>0</v>
      </c>
      <c r="AG39" s="158" t="n">
        <f aca="false">(AG14=1)*Assumption!$E$226*Assumption!$E$227/1000*(1+Assumption!$E$229)^INT((AG15-1)/Assumption!$E$230)*(1-CHOOSE(MIN(MAX(AG16,1),3),Assumption!$E$232,Assumption!$E$233,Assumption!$E$234))</f>
        <v>0</v>
      </c>
      <c r="AH39" s="158" t="n">
        <f aca="false">(AH14=1)*Assumption!$E$226*Assumption!$E$227/1000*(1+Assumption!$E$229)^INT((AH15-1)/Assumption!$E$230)*(1-CHOOSE(MIN(MAX(AH16,1),3),Assumption!$E$232,Assumption!$E$233,Assumption!$E$234))</f>
        <v>0</v>
      </c>
      <c r="AI39" s="158" t="n">
        <f aca="false">(AI14=1)*Assumption!$E$226*Assumption!$E$227/1000*(1+Assumption!$E$229)^INT((AI15-1)/Assumption!$E$230)*(1-CHOOSE(MIN(MAX(AI16,1),3),Assumption!$E$232,Assumption!$E$233,Assumption!$E$234))</f>
        <v>0</v>
      </c>
      <c r="AJ39" s="158" t="n">
        <f aca="false">(AJ14=1)*Assumption!$E$226*Assumption!$E$227/1000*(1+Assumption!$E$229)^INT((AJ15-1)/Assumption!$E$230)*(1-CHOOSE(MIN(MAX(AJ16,1),3),Assumption!$E$232,Assumption!$E$233,Assumption!$E$234))</f>
        <v>0</v>
      </c>
      <c r="AK39" s="158" t="n">
        <f aca="false">(AK14=1)*Assumption!$E$226*Assumption!$E$227/1000*(1+Assumption!$E$229)^INT((AK15-1)/Assumption!$E$230)*(1-CHOOSE(MIN(MAX(AK16,1),3),Assumption!$E$232,Assumption!$E$233,Assumption!$E$234))</f>
        <v>0</v>
      </c>
      <c r="AL39" s="158" t="n">
        <f aca="false">(AL14=1)*Assumption!$E$226*Assumption!$E$227/1000*(1+Assumption!$E$229)^INT((AL15-1)/Assumption!$E$230)*(1-CHOOSE(MIN(MAX(AL16,1),3),Assumption!$E$232,Assumption!$E$233,Assumption!$E$234))</f>
        <v>0</v>
      </c>
      <c r="AM39" s="158" t="n">
        <f aca="false">(AM14=1)*Assumption!$E$226*Assumption!$E$227/1000*(1+Assumption!$E$229)^INT((AM15-1)/Assumption!$E$230)*(1-CHOOSE(MIN(MAX(AM16,1),3),Assumption!$E$232,Assumption!$E$233,Assumption!$E$234))</f>
        <v>0</v>
      </c>
      <c r="AN39" s="158" t="n">
        <f aca="false">(AN14=1)*Assumption!$E$226*Assumption!$E$227/1000*(1+Assumption!$E$229)^INT((AN15-1)/Assumption!$E$230)*(1-CHOOSE(MIN(MAX(AN16,1),3),Assumption!$E$232,Assumption!$E$233,Assumption!$E$234))</f>
        <v>0</v>
      </c>
      <c r="AO39" s="158" t="n">
        <f aca="false">(AO14=1)*Assumption!$E$226*Assumption!$E$227/1000*(1+Assumption!$E$229)^INT((AO15-1)/Assumption!$E$230)*(1-CHOOSE(MIN(MAX(AO16,1),3),Assumption!$E$232,Assumption!$E$233,Assumption!$E$234))</f>
        <v>0</v>
      </c>
      <c r="AP39" s="158" t="n">
        <f aca="false">(AP14=1)*Assumption!$E$226*Assumption!$E$227/1000*(1+Assumption!$E$229)^INT((AP15-1)/Assumption!$E$230)*(1-CHOOSE(MIN(MAX(AP16,1),3),Assumption!$E$232,Assumption!$E$233,Assumption!$E$234))</f>
        <v>0</v>
      </c>
      <c r="AQ39" s="158" t="n">
        <f aca="false">(AQ14=1)*Assumption!$E$226*Assumption!$E$227/1000*(1+Assumption!$E$229)^INT((AQ15-1)/Assumption!$E$230)*(1-CHOOSE(MIN(MAX(AQ16,1),3),Assumption!$E$232,Assumption!$E$233,Assumption!$E$234))</f>
        <v>0</v>
      </c>
      <c r="AR39" s="158" t="n">
        <f aca="false">(AR14=1)*Assumption!$E$226*Assumption!$E$227/1000*(1+Assumption!$E$229)^INT((AR15-1)/Assumption!$E$230)*(1-CHOOSE(MIN(MAX(AR16,1),3),Assumption!$E$232,Assumption!$E$233,Assumption!$E$234))</f>
        <v>0</v>
      </c>
      <c r="AS39" s="158" t="n">
        <f aca="false">(AS14=1)*Assumption!$E$226*Assumption!$E$227/1000*(1+Assumption!$E$229)^INT((AS15-1)/Assumption!$E$230)*(1-CHOOSE(MIN(MAX(AS16,1),3),Assumption!$E$232,Assumption!$E$233,Assumption!$E$234))</f>
        <v>0</v>
      </c>
      <c r="AT39" s="158" t="n">
        <f aca="false">(AT14=1)*Assumption!$E$226*Assumption!$E$227/1000*(1+Assumption!$E$229)^INT((AT15-1)/Assumption!$E$230)*(1-CHOOSE(MIN(MAX(AT16,1),3),Assumption!$E$232,Assumption!$E$233,Assumption!$E$234))</f>
        <v>0</v>
      </c>
      <c r="AU39" s="158" t="n">
        <f aca="false">(AU14=1)*Assumption!$E$226*Assumption!$E$227/1000*(1+Assumption!$E$229)^INT((AU15-1)/Assumption!$E$230)*(1-CHOOSE(MIN(MAX(AU16,1),3),Assumption!$E$232,Assumption!$E$233,Assumption!$E$234))</f>
        <v>0</v>
      </c>
      <c r="AV39" s="158" t="n">
        <f aca="false">(AV14=1)*Assumption!$E$226*Assumption!$E$227/1000*(1+Assumption!$E$229)^INT((AV15-1)/Assumption!$E$230)*(1-CHOOSE(MIN(MAX(AV16,1),3),Assumption!$E$232,Assumption!$E$233,Assumption!$E$234))</f>
        <v>0</v>
      </c>
      <c r="AW39" s="158" t="n">
        <f aca="false">(AW14=1)*Assumption!$E$226*Assumption!$E$227/1000*(1+Assumption!$E$229)^INT((AW15-1)/Assumption!$E$230)*(1-CHOOSE(MIN(MAX(AW16,1),3),Assumption!$E$232,Assumption!$E$233,Assumption!$E$234))</f>
        <v>0</v>
      </c>
      <c r="AX39" s="158" t="n">
        <f aca="false">(AX14=1)*Assumption!$E$226*Assumption!$E$227/1000*(1+Assumption!$E$229)^INT((AX15-1)/Assumption!$E$230)*(1-CHOOSE(MIN(MAX(AX16,1),3),Assumption!$E$232,Assumption!$E$233,Assumption!$E$234))</f>
        <v>0</v>
      </c>
      <c r="AY39" s="158" t="n">
        <f aca="false">(AY14=1)*Assumption!$E$226*Assumption!$E$227/1000*(1+Assumption!$E$229)^INT((AY15-1)/Assumption!$E$230)*(1-CHOOSE(MIN(MAX(AY16,1),3),Assumption!$E$232,Assumption!$E$233,Assumption!$E$234))</f>
        <v>0</v>
      </c>
      <c r="AZ39" s="158" t="n">
        <f aca="false">(AZ14=1)*Assumption!$E$226*Assumption!$E$227/1000*(1+Assumption!$E$229)^INT((AZ15-1)/Assumption!$E$230)*(1-CHOOSE(MIN(MAX(AZ16,1),3),Assumption!$E$232,Assumption!$E$233,Assumption!$E$234))</f>
        <v>0</v>
      </c>
      <c r="BA39" s="158" t="n">
        <f aca="false">(BA14=1)*Assumption!$E$226*Assumption!$E$227/1000*(1+Assumption!$E$229)^INT((BA15-1)/Assumption!$E$230)*(1-CHOOSE(MIN(MAX(BA16,1),3),Assumption!$E$232,Assumption!$E$233,Assumption!$E$234))</f>
        <v>0</v>
      </c>
      <c r="BB39" s="158" t="n">
        <f aca="false">(BB14=1)*Assumption!$E$226*Assumption!$E$227/1000*(1+Assumption!$E$229)^INT((BB15-1)/Assumption!$E$230)*(1-CHOOSE(MIN(MAX(BB16,1),3),Assumption!$E$232,Assumption!$E$233,Assumption!$E$234))</f>
        <v>0</v>
      </c>
      <c r="BC39" s="158" t="n">
        <f aca="false">(BC14=1)*Assumption!$E$226*Assumption!$E$227/1000*(1+Assumption!$E$229)^INT((BC15-1)/Assumption!$E$230)*(1-CHOOSE(MIN(MAX(BC16,1),3),Assumption!$E$232,Assumption!$E$233,Assumption!$E$234))</f>
        <v>0</v>
      </c>
      <c r="BD39" s="158" t="n">
        <f aca="false">(BD14=1)*Assumption!$E$226*Assumption!$E$227/1000*(1+Assumption!$E$229)^INT((BD15-1)/Assumption!$E$230)*(1-CHOOSE(MIN(MAX(BD16,1),3),Assumption!$E$232,Assumption!$E$233,Assumption!$E$234))</f>
        <v>0</v>
      </c>
      <c r="BE39" s="158" t="n">
        <f aca="false">(BE14=1)*Assumption!$E$226*Assumption!$E$227/1000*(1+Assumption!$E$229)^INT((BE15-1)/Assumption!$E$230)*(1-CHOOSE(MIN(MAX(BE16,1),3),Assumption!$E$232,Assumption!$E$233,Assumption!$E$234))</f>
        <v>0</v>
      </c>
      <c r="BF39" s="158" t="n">
        <f aca="false">(BF14=1)*Assumption!$E$226*Assumption!$E$227/1000*(1+Assumption!$E$229)^INT((BF15-1)/Assumption!$E$230)*(1-CHOOSE(MIN(MAX(BF16,1),3),Assumption!$E$232,Assumption!$E$233,Assumption!$E$234))</f>
        <v>0</v>
      </c>
      <c r="BG39" s="158" t="n">
        <f aca="false">(BG14=1)*Assumption!$E$226*Assumption!$E$227/1000*(1+Assumption!$E$229)^INT((BG15-1)/Assumption!$E$230)*(1-CHOOSE(MIN(MAX(BG16,1),3),Assumption!$E$232,Assumption!$E$233,Assumption!$E$234))</f>
        <v>0</v>
      </c>
      <c r="BH39" s="158" t="n">
        <f aca="false">(BH14=1)*Assumption!$E$226*Assumption!$E$227/1000*(1+Assumption!$E$229)^INT((BH15-1)/Assumption!$E$230)*(1-CHOOSE(MIN(MAX(BH16,1),3),Assumption!$E$232,Assumption!$E$233,Assumption!$E$234))</f>
        <v>0</v>
      </c>
      <c r="BI39" s="158" t="n">
        <f aca="false">(BI14=1)*Assumption!$E$226*Assumption!$E$227/1000*(1+Assumption!$E$229)^INT((BI15-1)/Assumption!$E$230)*(1-CHOOSE(MIN(MAX(BI16,1),3),Assumption!$E$232,Assumption!$E$233,Assumption!$E$234))</f>
        <v>0</v>
      </c>
      <c r="BJ39" s="158" t="n">
        <f aca="false">(BJ14=1)*Assumption!$E$226*Assumption!$E$227/1000*(1+Assumption!$E$229)^INT((BJ15-1)/Assumption!$E$230)*(1-CHOOSE(MIN(MAX(BJ16,1),3),Assumption!$E$232,Assumption!$E$233,Assumption!$E$234))</f>
        <v>0</v>
      </c>
      <c r="BK39" s="158" t="n">
        <f aca="false">(BK14=1)*Assumption!$E$226*Assumption!$E$227/1000*(1+Assumption!$E$229)^INT((BK15-1)/Assumption!$E$230)*(1-CHOOSE(MIN(MAX(BK16,1),3),Assumption!$E$232,Assumption!$E$233,Assumption!$E$234))</f>
        <v>0</v>
      </c>
      <c r="BL39" s="158" t="n">
        <f aca="false">(BL14=1)*Assumption!$E$226*Assumption!$E$227/1000*(1+Assumption!$E$229)^INT((BL15-1)/Assumption!$E$230)*(1-CHOOSE(MIN(MAX(BL16,1),3),Assumption!$E$232,Assumption!$E$233,Assumption!$E$234))</f>
        <v>0</v>
      </c>
      <c r="BM39" s="158" t="n">
        <f aca="false">(BM14=1)*Assumption!$E$226*Assumption!$E$227/1000*(1+Assumption!$E$229)^INT((BM15-1)/Assumption!$E$230)*(1-CHOOSE(MIN(MAX(BM16,1),3),Assumption!$E$232,Assumption!$E$233,Assumption!$E$234))</f>
        <v>71.0388</v>
      </c>
      <c r="BN39" s="158" t="n">
        <f aca="false">(BN14=1)*Assumption!$E$226*Assumption!$E$227/1000*(1+Assumption!$E$229)^INT((BN15-1)/Assumption!$E$230)*(1-CHOOSE(MIN(MAX(BN16,1),3),Assumption!$E$232,Assumption!$E$233,Assumption!$E$234))</f>
        <v>71.0388</v>
      </c>
      <c r="BO39" s="158" t="n">
        <f aca="false">(BO14=1)*Assumption!$E$226*Assumption!$E$227/1000*(1+Assumption!$E$229)^INT((BO15-1)/Assumption!$E$230)*(1-CHOOSE(MIN(MAX(BO16,1),3),Assumption!$E$232,Assumption!$E$233,Assumption!$E$234))</f>
        <v>71.0388</v>
      </c>
      <c r="BP39" s="158" t="n">
        <f aca="false">(BP14=1)*Assumption!$E$226*Assumption!$E$227/1000*(1+Assumption!$E$229)^INT((BP15-1)/Assumption!$E$230)*(1-CHOOSE(MIN(MAX(BP16,1),3),Assumption!$E$232,Assumption!$E$233,Assumption!$E$234))</f>
        <v>71.0388</v>
      </c>
      <c r="BQ39" s="158" t="n">
        <f aca="false">(BQ14=1)*Assumption!$E$226*Assumption!$E$227/1000*(1+Assumption!$E$229)^INT((BQ15-1)/Assumption!$E$230)*(1-CHOOSE(MIN(MAX(BQ16,1),3),Assumption!$E$232,Assumption!$E$233,Assumption!$E$234))</f>
        <v>71.0388</v>
      </c>
      <c r="BR39" s="158" t="n">
        <f aca="false">(BR14=1)*Assumption!$E$226*Assumption!$E$227/1000*(1+Assumption!$E$229)^INT((BR15-1)/Assumption!$E$230)*(1-CHOOSE(MIN(MAX(BR16,1),3),Assumption!$E$232,Assumption!$E$233,Assumption!$E$234))</f>
        <v>71.0388</v>
      </c>
      <c r="BS39" s="158" t="n">
        <f aca="false">(BS14=1)*Assumption!$E$226*Assumption!$E$227/1000*(1+Assumption!$E$229)^INT((BS15-1)/Assumption!$E$230)*(1-CHOOSE(MIN(MAX(BS16,1),3),Assumption!$E$232,Assumption!$E$233,Assumption!$E$234))</f>
        <v>71.0388</v>
      </c>
      <c r="BT39" s="158" t="n">
        <f aca="false">(BT14=1)*Assumption!$E$226*Assumption!$E$227/1000*(1+Assumption!$E$229)^INT((BT15-1)/Assumption!$E$230)*(1-CHOOSE(MIN(MAX(BT16,1),3),Assumption!$E$232,Assumption!$E$233,Assumption!$E$234))</f>
        <v>71.0388</v>
      </c>
      <c r="BU39" s="158" t="n">
        <f aca="false">(BU14=1)*Assumption!$E$226*Assumption!$E$227/1000*(1+Assumption!$E$229)^INT((BU15-1)/Assumption!$E$230)*(1-CHOOSE(MIN(MAX(BU16,1),3),Assumption!$E$232,Assumption!$E$233,Assumption!$E$234))</f>
        <v>71.0388</v>
      </c>
      <c r="BV39" s="158" t="n">
        <f aca="false">(BV14=1)*Assumption!$E$226*Assumption!$E$227/1000*(1+Assumption!$E$229)^INT((BV15-1)/Assumption!$E$230)*(1-CHOOSE(MIN(MAX(BV16,1),3),Assumption!$E$232,Assumption!$E$233,Assumption!$E$234))</f>
        <v>71.0388</v>
      </c>
      <c r="BW39" s="158" t="n">
        <f aca="false">(BW14=1)*Assumption!$E$226*Assumption!$E$227/1000*(1+Assumption!$E$229)^INT((BW15-1)/Assumption!$E$230)*(1-CHOOSE(MIN(MAX(BW16,1),3),Assumption!$E$232,Assumption!$E$233,Assumption!$E$234))</f>
        <v>71.0388</v>
      </c>
      <c r="BX39" s="158" t="n">
        <f aca="false">(BX14=1)*Assumption!$E$226*Assumption!$E$227/1000*(1+Assumption!$E$229)^INT((BX15-1)/Assumption!$E$230)*(1-CHOOSE(MIN(MAX(BX16,1),3),Assumption!$E$232,Assumption!$E$233,Assumption!$E$234))</f>
        <v>71.0388</v>
      </c>
      <c r="BY39" s="158" t="n">
        <f aca="false">(BY14=1)*Assumption!$E$226*Assumption!$E$227/1000*(1+Assumption!$E$229)^INT((BY15-1)/Assumption!$E$230)*(1-CHOOSE(MIN(MAX(BY16,1),3),Assumption!$E$232,Assumption!$E$233,Assumption!$E$234))</f>
        <v>72.459576</v>
      </c>
      <c r="BZ39" s="158" t="n">
        <f aca="false">(BZ14=1)*Assumption!$E$226*Assumption!$E$227/1000*(1+Assumption!$E$229)^INT((BZ15-1)/Assumption!$E$230)*(1-CHOOSE(MIN(MAX(BZ16,1),3),Assumption!$E$232,Assumption!$E$233,Assumption!$E$234))</f>
        <v>72.459576</v>
      </c>
      <c r="CA39" s="158" t="n">
        <f aca="false">(CA14=1)*Assumption!$E$226*Assumption!$E$227/1000*(1+Assumption!$E$229)^INT((CA15-1)/Assumption!$E$230)*(1-CHOOSE(MIN(MAX(CA16,1),3),Assumption!$E$232,Assumption!$E$233,Assumption!$E$234))</f>
        <v>72.459576</v>
      </c>
      <c r="CB39" s="158" t="n">
        <f aca="false">(CB14=1)*Assumption!$E$226*Assumption!$E$227/1000*(1+Assumption!$E$229)^INT((CB15-1)/Assumption!$E$230)*(1-CHOOSE(MIN(MAX(CB16,1),3),Assumption!$E$232,Assumption!$E$233,Assumption!$E$234))</f>
        <v>72.459576</v>
      </c>
      <c r="CC39" s="158" t="n">
        <f aca="false">(CC14=1)*Assumption!$E$226*Assumption!$E$227/1000*(1+Assumption!$E$229)^INT((CC15-1)/Assumption!$E$230)*(1-CHOOSE(MIN(MAX(CC16,1),3),Assumption!$E$232,Assumption!$E$233,Assumption!$E$234))</f>
        <v>72.459576</v>
      </c>
      <c r="CD39" s="158" t="n">
        <f aca="false">(CD14=1)*Assumption!$E$226*Assumption!$E$227/1000*(1+Assumption!$E$229)^INT((CD15-1)/Assumption!$E$230)*(1-CHOOSE(MIN(MAX(CD16,1),3),Assumption!$E$232,Assumption!$E$233,Assumption!$E$234))</f>
        <v>72.459576</v>
      </c>
      <c r="CE39" s="158" t="n">
        <f aca="false">(CE14=1)*Assumption!$E$226*Assumption!$E$227/1000*(1+Assumption!$E$229)^INT((CE15-1)/Assumption!$E$230)*(1-CHOOSE(MIN(MAX(CE16,1),3),Assumption!$E$232,Assumption!$E$233,Assumption!$E$234))</f>
        <v>72.459576</v>
      </c>
      <c r="CF39" s="158" t="n">
        <f aca="false">(CF14=1)*Assumption!$E$226*Assumption!$E$227/1000*(1+Assumption!$E$229)^INT((CF15-1)/Assumption!$E$230)*(1-CHOOSE(MIN(MAX(CF16,1),3),Assumption!$E$232,Assumption!$E$233,Assumption!$E$234))</f>
        <v>72.459576</v>
      </c>
      <c r="CG39" s="158" t="n">
        <f aca="false">(CG14=1)*Assumption!$E$226*Assumption!$E$227/1000*(1+Assumption!$E$229)^INT((CG15-1)/Assumption!$E$230)*(1-CHOOSE(MIN(MAX(CG16,1),3),Assumption!$E$232,Assumption!$E$233,Assumption!$E$234))</f>
        <v>72.459576</v>
      </c>
      <c r="CH39" s="158" t="n">
        <f aca="false">(CH14=1)*Assumption!$E$226*Assumption!$E$227/1000*(1+Assumption!$E$229)^INT((CH15-1)/Assumption!$E$230)*(1-CHOOSE(MIN(MAX(CH16,1),3),Assumption!$E$232,Assumption!$E$233,Assumption!$E$234))</f>
        <v>72.459576</v>
      </c>
      <c r="CI39" s="158" t="n">
        <f aca="false">(CI14=1)*Assumption!$E$226*Assumption!$E$227/1000*(1+Assumption!$E$229)^INT((CI15-1)/Assumption!$E$230)*(1-CHOOSE(MIN(MAX(CI16,1),3),Assumption!$E$232,Assumption!$E$233,Assumption!$E$234))</f>
        <v>72.459576</v>
      </c>
      <c r="CJ39" s="158" t="n">
        <f aca="false">(CJ14=1)*Assumption!$E$226*Assumption!$E$227/1000*(1+Assumption!$E$229)^INT((CJ15-1)/Assumption!$E$230)*(1-CHOOSE(MIN(MAX(CJ16,1),3),Assumption!$E$232,Assumption!$E$233,Assumption!$E$234))</f>
        <v>72.459576</v>
      </c>
      <c r="CK39" s="158" t="n">
        <f aca="false">(CK14=1)*Assumption!$E$226*Assumption!$E$227/1000*(1+Assumption!$E$229)^INT((CK15-1)/Assumption!$E$230)*(1-CHOOSE(MIN(MAX(CK16,1),3),Assumption!$E$232,Assumption!$E$233,Assumption!$E$234))</f>
        <v>73.90876752</v>
      </c>
      <c r="CL39" s="158" t="n">
        <f aca="false">(CL14=1)*Assumption!$E$226*Assumption!$E$227/1000*(1+Assumption!$E$229)^INT((CL15-1)/Assumption!$E$230)*(1-CHOOSE(MIN(MAX(CL16,1),3),Assumption!$E$232,Assumption!$E$233,Assumption!$E$234))</f>
        <v>73.90876752</v>
      </c>
      <c r="CM39" s="158" t="n">
        <f aca="false">(CM14=1)*Assumption!$E$226*Assumption!$E$227/1000*(1+Assumption!$E$229)^INT((CM15-1)/Assumption!$E$230)*(1-CHOOSE(MIN(MAX(CM16,1),3),Assumption!$E$232,Assumption!$E$233,Assumption!$E$234))</f>
        <v>73.90876752</v>
      </c>
      <c r="CN39" s="158" t="n">
        <f aca="false">(CN14=1)*Assumption!$E$226*Assumption!$E$227/1000*(1+Assumption!$E$229)^INT((CN15-1)/Assumption!$E$230)*(1-CHOOSE(MIN(MAX(CN16,1),3),Assumption!$E$232,Assumption!$E$233,Assumption!$E$234))</f>
        <v>73.90876752</v>
      </c>
      <c r="CO39" s="158" t="n">
        <f aca="false">(CO14=1)*Assumption!$E$226*Assumption!$E$227/1000*(1+Assumption!$E$229)^INT((CO15-1)/Assumption!$E$230)*(1-CHOOSE(MIN(MAX(CO16,1),3),Assumption!$E$232,Assumption!$E$233,Assumption!$E$234))</f>
        <v>73.90876752</v>
      </c>
      <c r="CP39" s="158" t="n">
        <f aca="false">(CP14=1)*Assumption!$E$226*Assumption!$E$227/1000*(1+Assumption!$E$229)^INT((CP15-1)/Assumption!$E$230)*(1-CHOOSE(MIN(MAX(CP16,1),3),Assumption!$E$232,Assumption!$E$233,Assumption!$E$234))</f>
        <v>73.90876752</v>
      </c>
      <c r="CQ39" s="158" t="n">
        <f aca="false">(CQ14=1)*Assumption!$E$226*Assumption!$E$227/1000*(1+Assumption!$E$229)^INT((CQ15-1)/Assumption!$E$230)*(1-CHOOSE(MIN(MAX(CQ16,1),3),Assumption!$E$232,Assumption!$E$233,Assumption!$E$234))</f>
        <v>73.90876752</v>
      </c>
      <c r="CR39" s="158" t="n">
        <f aca="false">(CR14=1)*Assumption!$E$226*Assumption!$E$227/1000*(1+Assumption!$E$229)^INT((CR15-1)/Assumption!$E$230)*(1-CHOOSE(MIN(MAX(CR16,1),3),Assumption!$E$232,Assumption!$E$233,Assumption!$E$234))</f>
        <v>73.90876752</v>
      </c>
      <c r="CS39" s="158" t="n">
        <f aca="false">(CS14=1)*Assumption!$E$226*Assumption!$E$227/1000*(1+Assumption!$E$229)^INT((CS15-1)/Assumption!$E$230)*(1-CHOOSE(MIN(MAX(CS16,1),3),Assumption!$E$232,Assumption!$E$233,Assumption!$E$234))</f>
        <v>73.90876752</v>
      </c>
      <c r="CT39" s="158" t="n">
        <f aca="false">(CT14=1)*Assumption!$E$226*Assumption!$E$227/1000*(1+Assumption!$E$229)^INT((CT15-1)/Assumption!$E$230)*(1-CHOOSE(MIN(MAX(CT16,1),3),Assumption!$E$232,Assumption!$E$233,Assumption!$E$234))</f>
        <v>73.90876752</v>
      </c>
      <c r="CU39" s="158" t="n">
        <f aca="false">(CU14=1)*Assumption!$E$226*Assumption!$E$227/1000*(1+Assumption!$E$229)^INT((CU15-1)/Assumption!$E$230)*(1-CHOOSE(MIN(MAX(CU16,1),3),Assumption!$E$232,Assumption!$E$233,Assumption!$E$234))</f>
        <v>73.90876752</v>
      </c>
      <c r="CV39" s="158" t="n">
        <f aca="false">(CV14=1)*Assumption!$E$226*Assumption!$E$227/1000*(1+Assumption!$E$229)^INT((CV15-1)/Assumption!$E$230)*(1-CHOOSE(MIN(MAX(CV16,1),3),Assumption!$E$232,Assumption!$E$233,Assumption!$E$234))</f>
        <v>73.90876752</v>
      </c>
      <c r="CW39" s="158" t="n">
        <f aca="false">(CW14=1)*Assumption!$E$226*Assumption!$E$227/1000*(1+Assumption!$E$229)^INT((CW15-1)/Assumption!$E$230)*(1-CHOOSE(MIN(MAX(CW16,1),3),Assumption!$E$232,Assumption!$E$233,Assumption!$E$234))</f>
        <v>75.3869428704</v>
      </c>
      <c r="CX39" s="158" t="n">
        <f aca="false">(CX14=1)*Assumption!$E$226*Assumption!$E$227/1000*(1+Assumption!$E$229)^INT((CX15-1)/Assumption!$E$230)*(1-CHOOSE(MIN(MAX(CX16,1),3),Assumption!$E$232,Assumption!$E$233,Assumption!$E$234))</f>
        <v>75.3869428704</v>
      </c>
      <c r="CY39" s="158" t="n">
        <f aca="false">(CY14=1)*Assumption!$E$226*Assumption!$E$227/1000*(1+Assumption!$E$229)^INT((CY15-1)/Assumption!$E$230)*(1-CHOOSE(MIN(MAX(CY16,1),3),Assumption!$E$232,Assumption!$E$233,Assumption!$E$234))</f>
        <v>75.3869428704</v>
      </c>
      <c r="CZ39" s="158" t="n">
        <f aca="false">(CZ14=1)*Assumption!$E$226*Assumption!$E$227/1000*(1+Assumption!$E$229)^INT((CZ15-1)/Assumption!$E$230)*(1-CHOOSE(MIN(MAX(CZ16,1),3),Assumption!$E$232,Assumption!$E$233,Assumption!$E$234))</f>
        <v>75.3869428704</v>
      </c>
      <c r="DA39" s="158" t="n">
        <f aca="false">(DA14=1)*Assumption!$E$226*Assumption!$E$227/1000*(1+Assumption!$E$229)^INT((DA15-1)/Assumption!$E$230)*(1-CHOOSE(MIN(MAX(DA16,1),3),Assumption!$E$232,Assumption!$E$233,Assumption!$E$234))</f>
        <v>75.3869428704</v>
      </c>
      <c r="DB39" s="158" t="n">
        <f aca="false">(DB14=1)*Assumption!$E$226*Assumption!$E$227/1000*(1+Assumption!$E$229)^INT((DB15-1)/Assumption!$E$230)*(1-CHOOSE(MIN(MAX(DB16,1),3),Assumption!$E$232,Assumption!$E$233,Assumption!$E$234))</f>
        <v>75.3869428704</v>
      </c>
      <c r="DC39" s="158" t="n">
        <f aca="false">(DC14=1)*Assumption!$E$226*Assumption!$E$227/1000*(1+Assumption!$E$229)^INT((DC15-1)/Assumption!$E$230)*(1-CHOOSE(MIN(MAX(DC16,1),3),Assumption!$E$232,Assumption!$E$233,Assumption!$E$234))</f>
        <v>75.3869428704</v>
      </c>
      <c r="DD39" s="158" t="n">
        <f aca="false">(DD14=1)*Assumption!$E$226*Assumption!$E$227/1000*(1+Assumption!$E$229)^INT((DD15-1)/Assumption!$E$230)*(1-CHOOSE(MIN(MAX(DD16,1),3),Assumption!$E$232,Assumption!$E$233,Assumption!$E$234))</f>
        <v>75.3869428704</v>
      </c>
      <c r="DE39" s="158" t="n">
        <f aca="false">(DE14=1)*Assumption!$E$226*Assumption!$E$227/1000*(1+Assumption!$E$229)^INT((DE15-1)/Assumption!$E$230)*(1-CHOOSE(MIN(MAX(DE16,1),3),Assumption!$E$232,Assumption!$E$233,Assumption!$E$234))</f>
        <v>75.3869428704</v>
      </c>
      <c r="DF39" s="158" t="n">
        <f aca="false">(DF14=1)*Assumption!$E$226*Assumption!$E$227/1000*(1+Assumption!$E$229)^INT((DF15-1)/Assumption!$E$230)*(1-CHOOSE(MIN(MAX(DF16,1),3),Assumption!$E$232,Assumption!$E$233,Assumption!$E$234))</f>
        <v>75.3869428704</v>
      </c>
      <c r="DG39" s="158" t="n">
        <f aca="false">(DG14=1)*Assumption!$E$226*Assumption!$E$227/1000*(1+Assumption!$E$229)^INT((DG15-1)/Assumption!$E$230)*(1-CHOOSE(MIN(MAX(DG16,1),3),Assumption!$E$232,Assumption!$E$233,Assumption!$E$234))</f>
        <v>75.3869428704</v>
      </c>
      <c r="DH39" s="158" t="n">
        <f aca="false">(DH14=1)*Assumption!$E$226*Assumption!$E$227/1000*(1+Assumption!$E$229)^INT((DH15-1)/Assumption!$E$230)*(1-CHOOSE(MIN(MAX(DH16,1),3),Assumption!$E$232,Assumption!$E$233,Assumption!$E$234))</f>
        <v>75.3869428704</v>
      </c>
      <c r="DI39" s="158" t="n">
        <f aca="false">(DI14=1)*Assumption!$E$226*Assumption!$E$227/1000*(1+Assumption!$E$229)^INT((DI15-1)/Assumption!$E$230)*(1-CHOOSE(MIN(MAX(DI16,1),3),Assumption!$E$232,Assumption!$E$233,Assumption!$E$234))</f>
        <v>76.894681727808</v>
      </c>
      <c r="DJ39" s="158" t="n">
        <f aca="false">(DJ14=1)*Assumption!$E$226*Assumption!$E$227/1000*(1+Assumption!$E$229)^INT((DJ15-1)/Assumption!$E$230)*(1-CHOOSE(MIN(MAX(DJ16,1),3),Assumption!$E$232,Assumption!$E$233,Assumption!$E$234))</f>
        <v>76.894681727808</v>
      </c>
      <c r="DK39" s="158" t="n">
        <f aca="false">(DK14=1)*Assumption!$E$226*Assumption!$E$227/1000*(1+Assumption!$E$229)^INT((DK15-1)/Assumption!$E$230)*(1-CHOOSE(MIN(MAX(DK16,1),3),Assumption!$E$232,Assumption!$E$233,Assumption!$E$234))</f>
        <v>76.894681727808</v>
      </c>
      <c r="DL39" s="158" t="n">
        <f aca="false">(DL14=1)*Assumption!$E$226*Assumption!$E$227/1000*(1+Assumption!$E$229)^INT((DL15-1)/Assumption!$E$230)*(1-CHOOSE(MIN(MAX(DL16,1),3),Assumption!$E$232,Assumption!$E$233,Assumption!$E$234))</f>
        <v>76.894681727808</v>
      </c>
      <c r="DM39" s="158" t="n">
        <f aca="false">(DM14=1)*Assumption!$E$226*Assumption!$E$227/1000*(1+Assumption!$E$229)^INT((DM15-1)/Assumption!$E$230)*(1-CHOOSE(MIN(MAX(DM16,1),3),Assumption!$E$232,Assumption!$E$233,Assumption!$E$234))</f>
        <v>76.894681727808</v>
      </c>
      <c r="DN39" s="158" t="n">
        <f aca="false">(DN14=1)*Assumption!$E$226*Assumption!$E$227/1000*(1+Assumption!$E$229)^INT((DN15-1)/Assumption!$E$230)*(1-CHOOSE(MIN(MAX(DN16,1),3),Assumption!$E$232,Assumption!$E$233,Assumption!$E$234))</f>
        <v>76.894681727808</v>
      </c>
      <c r="DO39" s="158" t="n">
        <f aca="false">(DO14=1)*Assumption!$E$226*Assumption!$E$227/1000*(1+Assumption!$E$229)^INT((DO15-1)/Assumption!$E$230)*(1-CHOOSE(MIN(MAX(DO16,1),3),Assumption!$E$232,Assumption!$E$233,Assumption!$E$234))</f>
        <v>76.894681727808</v>
      </c>
      <c r="DP39" s="158" t="n">
        <f aca="false">(DP14=1)*Assumption!$E$226*Assumption!$E$227/1000*(1+Assumption!$E$229)^INT((DP15-1)/Assumption!$E$230)*(1-CHOOSE(MIN(MAX(DP16,1),3),Assumption!$E$232,Assumption!$E$233,Assumption!$E$234))</f>
        <v>76.894681727808</v>
      </c>
      <c r="DQ39" s="158" t="n">
        <f aca="false">(DQ14=1)*Assumption!$E$226*Assumption!$E$227/1000*(1+Assumption!$E$229)^INT((DQ15-1)/Assumption!$E$230)*(1-CHOOSE(MIN(MAX(DQ16,1),3),Assumption!$E$232,Assumption!$E$233,Assumption!$E$234))</f>
        <v>76.894681727808</v>
      </c>
      <c r="DR39" s="158" t="n">
        <f aca="false">(DR14=1)*Assumption!$E$226*Assumption!$E$227/1000*(1+Assumption!$E$229)^INT((DR15-1)/Assumption!$E$230)*(1-CHOOSE(MIN(MAX(DR16,1),3),Assumption!$E$232,Assumption!$E$233,Assumption!$E$234))</f>
        <v>76.894681727808</v>
      </c>
      <c r="DS39" s="158" t="n">
        <f aca="false">(DS14=1)*Assumption!$E$226*Assumption!$E$227/1000*(1+Assumption!$E$229)^INT((DS15-1)/Assumption!$E$230)*(1-CHOOSE(MIN(MAX(DS16,1),3),Assumption!$E$232,Assumption!$E$233,Assumption!$E$234))</f>
        <v>76.894681727808</v>
      </c>
      <c r="DT39" s="158" t="n">
        <f aca="false">(DT14=1)*Assumption!$E$226*Assumption!$E$227/1000*(1+Assumption!$E$229)^INT((DT15-1)/Assumption!$E$230)*(1-CHOOSE(MIN(MAX(DT16,1),3),Assumption!$E$232,Assumption!$E$233,Assumption!$E$234))</f>
        <v>76.894681727808</v>
      </c>
      <c r="DU39" s="158" t="n">
        <f aca="false">(DU14=1)*Assumption!$E$226*Assumption!$E$227/1000*(1+Assumption!$E$229)^INT((DU15-1)/Assumption!$E$230)*(1-CHOOSE(MIN(MAX(DU16,1),3),Assumption!$E$232,Assumption!$E$233,Assumption!$E$234))</f>
        <v>0</v>
      </c>
      <c r="DV39" s="158" t="n">
        <f aca="false">(DV14=1)*Assumption!$E$226*Assumption!$E$227/1000*(1+Assumption!$E$229)^INT((DV15-1)/Assumption!$E$230)*(1-CHOOSE(MIN(MAX(DV16,1),3),Assumption!$E$232,Assumption!$E$233,Assumption!$E$234))</f>
        <v>0</v>
      </c>
      <c r="DW39" s="158" t="n">
        <f aca="false">(DW14=1)*Assumption!$E$226*Assumption!$E$227/1000*(1+Assumption!$E$229)^INT((DW15-1)/Assumption!$E$230)*(1-CHOOSE(MIN(MAX(DW16,1),3),Assumption!$E$232,Assumption!$E$233,Assumption!$E$234))</f>
        <v>0</v>
      </c>
      <c r="DX39" s="158" t="n">
        <f aca="false">(DX14=1)*Assumption!$E$226*Assumption!$E$227/1000*(1+Assumption!$E$229)^INT((DX15-1)/Assumption!$E$230)*(1-CHOOSE(MIN(MAX(DX16,1),3),Assumption!$E$232,Assumption!$E$233,Assumption!$E$234))</f>
        <v>0</v>
      </c>
      <c r="DY39" s="158" t="n">
        <f aca="false">(DY14=1)*Assumption!$E$226*Assumption!$E$227/1000*(1+Assumption!$E$229)^INT((DY15-1)/Assumption!$E$230)*(1-CHOOSE(MIN(MAX(DY16,1),3),Assumption!$E$232,Assumption!$E$233,Assumption!$E$234))</f>
        <v>0</v>
      </c>
      <c r="DZ39" s="158" t="n">
        <f aca="false">(DZ14=1)*Assumption!$E$226*Assumption!$E$227/1000*(1+Assumption!$E$229)^INT((DZ15-1)/Assumption!$E$230)*(1-CHOOSE(MIN(MAX(DZ16,1),3),Assumption!$E$232,Assumption!$E$233,Assumption!$E$234))</f>
        <v>0</v>
      </c>
      <c r="EA39" s="158" t="n">
        <f aca="false">(EA14=1)*Assumption!$E$226*Assumption!$E$227/1000*(1+Assumption!$E$229)^INT((EA15-1)/Assumption!$E$230)*(1-CHOOSE(MIN(MAX(EA16,1),3),Assumption!$E$232,Assumption!$E$233,Assumption!$E$234))</f>
        <v>0</v>
      </c>
      <c r="EB39" s="158" t="n">
        <f aca="false">(EB14=1)*Assumption!$E$226*Assumption!$E$227/1000*(1+Assumption!$E$229)^INT((EB15-1)/Assumption!$E$230)*(1-CHOOSE(MIN(MAX(EB16,1),3),Assumption!$E$232,Assumption!$E$233,Assumption!$E$234))</f>
        <v>0</v>
      </c>
      <c r="EC39" s="158" t="n">
        <f aca="false">(EC14=1)*Assumption!$E$226*Assumption!$E$227/1000*(1+Assumption!$E$229)^INT((EC15-1)/Assumption!$E$230)*(1-CHOOSE(MIN(MAX(EC16,1),3),Assumption!$E$232,Assumption!$E$233,Assumption!$E$234))</f>
        <v>0</v>
      </c>
      <c r="ED39" s="158" t="n">
        <f aca="false">(ED14=1)*Assumption!$E$226*Assumption!$E$227/1000*(1+Assumption!$E$229)^INT((ED15-1)/Assumption!$E$230)*(1-CHOOSE(MIN(MAX(ED16,1),3),Assumption!$E$232,Assumption!$E$233,Assumption!$E$234))</f>
        <v>0</v>
      </c>
      <c r="EE39" s="158" t="n">
        <f aca="false">(EE14=1)*Assumption!$E$226*Assumption!$E$227/1000*(1+Assumption!$E$229)^INT((EE15-1)/Assumption!$E$230)*(1-CHOOSE(MIN(MAX(EE16,1),3),Assumption!$E$232,Assumption!$E$233,Assumption!$E$234))</f>
        <v>0</v>
      </c>
      <c r="EF39" s="158" t="n">
        <f aca="false">(EF14=1)*Assumption!$E$226*Assumption!$E$227/1000*(1+Assumption!$E$229)^INT((EF15-1)/Assumption!$E$230)*(1-CHOOSE(MIN(MAX(EF16,1),3),Assumption!$E$232,Assumption!$E$233,Assumption!$E$234))</f>
        <v>0</v>
      </c>
    </row>
    <row r="40" customFormat="false" ht="15" hidden="false" customHeight="false" outlineLevel="0" collapsed="false">
      <c r="A40" s="35" t="s">
        <v>506</v>
      </c>
      <c r="B40" s="241" t="s">
        <v>116</v>
      </c>
      <c r="C40" s="242" t="n">
        <f aca="false">SUM(E40:EF40)</f>
        <v>1602.70281938765</v>
      </c>
      <c r="E40" s="158" t="n">
        <f aca="false">(E14=1)*Assumption!$E$239*Assumption!$E$240/1000*(1+Assumption!$E$242)^INT((E15-1)/Assumption!$E$243)*(1-CHOOSE(MIN(MAX(E16,1),3),Assumption!$E$245,Assumption!$E$246,Assumption!$E$247))</f>
        <v>0</v>
      </c>
      <c r="F40" s="158" t="n">
        <f aca="false">(F14=1)*Assumption!$E$239*Assumption!$E$240/1000*(1+Assumption!$E$242)^INT((F15-1)/Assumption!$E$243)*(1-CHOOSE(MIN(MAX(F16,1),3),Assumption!$E$245,Assumption!$E$246,Assumption!$E$247))</f>
        <v>0</v>
      </c>
      <c r="G40" s="158" t="n">
        <f aca="false">(G14=1)*Assumption!$E$239*Assumption!$E$240/1000*(1+Assumption!$E$242)^INT((G15-1)/Assumption!$E$243)*(1-CHOOSE(MIN(MAX(G16,1),3),Assumption!$E$245,Assumption!$E$246,Assumption!$E$247))</f>
        <v>0</v>
      </c>
      <c r="H40" s="158" t="n">
        <f aca="false">(H14=1)*Assumption!$E$239*Assumption!$E$240/1000*(1+Assumption!$E$242)^INT((H15-1)/Assumption!$E$243)*(1-CHOOSE(MIN(MAX(H16,1),3),Assumption!$E$245,Assumption!$E$246,Assumption!$E$247))</f>
        <v>0</v>
      </c>
      <c r="I40" s="158" t="n">
        <f aca="false">(I14=1)*Assumption!$E$239*Assumption!$E$240/1000*(1+Assumption!$E$242)^INT((I15-1)/Assumption!$E$243)*(1-CHOOSE(MIN(MAX(I16,1),3),Assumption!$E$245,Assumption!$E$246,Assumption!$E$247))</f>
        <v>0</v>
      </c>
      <c r="J40" s="158" t="n">
        <f aca="false">(J14=1)*Assumption!$E$239*Assumption!$E$240/1000*(1+Assumption!$E$242)^INT((J15-1)/Assumption!$E$243)*(1-CHOOSE(MIN(MAX(J16,1),3),Assumption!$E$245,Assumption!$E$246,Assumption!$E$247))</f>
        <v>0</v>
      </c>
      <c r="K40" s="158" t="n">
        <f aca="false">(K14=1)*Assumption!$E$239*Assumption!$E$240/1000*(1+Assumption!$E$242)^INT((K15-1)/Assumption!$E$243)*(1-CHOOSE(MIN(MAX(K16,1),3),Assumption!$E$245,Assumption!$E$246,Assumption!$E$247))</f>
        <v>0</v>
      </c>
      <c r="L40" s="158" t="n">
        <f aca="false">(L14=1)*Assumption!$E$239*Assumption!$E$240/1000*(1+Assumption!$E$242)^INT((L15-1)/Assumption!$E$243)*(1-CHOOSE(MIN(MAX(L16,1),3),Assumption!$E$245,Assumption!$E$246,Assumption!$E$247))</f>
        <v>0</v>
      </c>
      <c r="M40" s="158" t="n">
        <f aca="false">(M14=1)*Assumption!$E$239*Assumption!$E$240/1000*(1+Assumption!$E$242)^INT((M15-1)/Assumption!$E$243)*(1-CHOOSE(MIN(MAX(M16,1),3),Assumption!$E$245,Assumption!$E$246,Assumption!$E$247))</f>
        <v>0</v>
      </c>
      <c r="N40" s="158" t="n">
        <f aca="false">(N14=1)*Assumption!$E$239*Assumption!$E$240/1000*(1+Assumption!$E$242)^INT((N15-1)/Assumption!$E$243)*(1-CHOOSE(MIN(MAX(N16,1),3),Assumption!$E$245,Assumption!$E$246,Assumption!$E$247))</f>
        <v>0</v>
      </c>
      <c r="O40" s="158" t="n">
        <f aca="false">(O14=1)*Assumption!$E$239*Assumption!$E$240/1000*(1+Assumption!$E$242)^INT((O15-1)/Assumption!$E$243)*(1-CHOOSE(MIN(MAX(O16,1),3),Assumption!$E$245,Assumption!$E$246,Assumption!$E$247))</f>
        <v>0</v>
      </c>
      <c r="P40" s="158" t="n">
        <f aca="false">(P14=1)*Assumption!$E$239*Assumption!$E$240/1000*(1+Assumption!$E$242)^INT((P15-1)/Assumption!$E$243)*(1-CHOOSE(MIN(MAX(P16,1),3),Assumption!$E$245,Assumption!$E$246,Assumption!$E$247))</f>
        <v>0</v>
      </c>
      <c r="Q40" s="158" t="n">
        <f aca="false">(Q14=1)*Assumption!$E$239*Assumption!$E$240/1000*(1+Assumption!$E$242)^INT((Q15-1)/Assumption!$E$243)*(1-CHOOSE(MIN(MAX(Q16,1),3),Assumption!$E$245,Assumption!$E$246,Assumption!$E$247))</f>
        <v>0</v>
      </c>
      <c r="R40" s="158" t="n">
        <f aca="false">(R14=1)*Assumption!$E$239*Assumption!$E$240/1000*(1+Assumption!$E$242)^INT((R15-1)/Assumption!$E$243)*(1-CHOOSE(MIN(MAX(R16,1),3),Assumption!$E$245,Assumption!$E$246,Assumption!$E$247))</f>
        <v>0</v>
      </c>
      <c r="S40" s="158" t="n">
        <f aca="false">(S14=1)*Assumption!$E$239*Assumption!$E$240/1000*(1+Assumption!$E$242)^INT((S15-1)/Assumption!$E$243)*(1-CHOOSE(MIN(MAX(S16,1),3),Assumption!$E$245,Assumption!$E$246,Assumption!$E$247))</f>
        <v>0</v>
      </c>
      <c r="T40" s="158" t="n">
        <f aca="false">(T14=1)*Assumption!$E$239*Assumption!$E$240/1000*(1+Assumption!$E$242)^INT((T15-1)/Assumption!$E$243)*(1-CHOOSE(MIN(MAX(T16,1),3),Assumption!$E$245,Assumption!$E$246,Assumption!$E$247))</f>
        <v>0</v>
      </c>
      <c r="U40" s="158" t="n">
        <f aca="false">(U14=1)*Assumption!$E$239*Assumption!$E$240/1000*(1+Assumption!$E$242)^INT((U15-1)/Assumption!$E$243)*(1-CHOOSE(MIN(MAX(U16,1),3),Assumption!$E$245,Assumption!$E$246,Assumption!$E$247))</f>
        <v>0</v>
      </c>
      <c r="V40" s="158" t="n">
        <f aca="false">(V14=1)*Assumption!$E$239*Assumption!$E$240/1000*(1+Assumption!$E$242)^INT((V15-1)/Assumption!$E$243)*(1-CHOOSE(MIN(MAX(V16,1),3),Assumption!$E$245,Assumption!$E$246,Assumption!$E$247))</f>
        <v>0</v>
      </c>
      <c r="W40" s="158" t="n">
        <f aca="false">(W14=1)*Assumption!$E$239*Assumption!$E$240/1000*(1+Assumption!$E$242)^INT((W15-1)/Assumption!$E$243)*(1-CHOOSE(MIN(MAX(W16,1),3),Assumption!$E$245,Assumption!$E$246,Assumption!$E$247))</f>
        <v>0</v>
      </c>
      <c r="X40" s="158" t="n">
        <f aca="false">(X14=1)*Assumption!$E$239*Assumption!$E$240/1000*(1+Assumption!$E$242)^INT((X15-1)/Assumption!$E$243)*(1-CHOOSE(MIN(MAX(X16,1),3),Assumption!$E$245,Assumption!$E$246,Assumption!$E$247))</f>
        <v>0</v>
      </c>
      <c r="Y40" s="158" t="n">
        <f aca="false">(Y14=1)*Assumption!$E$239*Assumption!$E$240/1000*(1+Assumption!$E$242)^INT((Y15-1)/Assumption!$E$243)*(1-CHOOSE(MIN(MAX(Y16,1),3),Assumption!$E$245,Assumption!$E$246,Assumption!$E$247))</f>
        <v>0</v>
      </c>
      <c r="Z40" s="158" t="n">
        <f aca="false">(Z14=1)*Assumption!$E$239*Assumption!$E$240/1000*(1+Assumption!$E$242)^INT((Z15-1)/Assumption!$E$243)*(1-CHOOSE(MIN(MAX(Z16,1),3),Assumption!$E$245,Assumption!$E$246,Assumption!$E$247))</f>
        <v>0</v>
      </c>
      <c r="AA40" s="158" t="n">
        <f aca="false">(AA14=1)*Assumption!$E$239*Assumption!$E$240/1000*(1+Assumption!$E$242)^INT((AA15-1)/Assumption!$E$243)*(1-CHOOSE(MIN(MAX(AA16,1),3),Assumption!$E$245,Assumption!$E$246,Assumption!$E$247))</f>
        <v>0</v>
      </c>
      <c r="AB40" s="158" t="n">
        <f aca="false">(AB14=1)*Assumption!$E$239*Assumption!$E$240/1000*(1+Assumption!$E$242)^INT((AB15-1)/Assumption!$E$243)*(1-CHOOSE(MIN(MAX(AB16,1),3),Assumption!$E$245,Assumption!$E$246,Assumption!$E$247))</f>
        <v>0</v>
      </c>
      <c r="AC40" s="158" t="n">
        <f aca="false">(AC14=1)*Assumption!$E$239*Assumption!$E$240/1000*(1+Assumption!$E$242)^INT((AC15-1)/Assumption!$E$243)*(1-CHOOSE(MIN(MAX(AC16,1),3),Assumption!$E$245,Assumption!$E$246,Assumption!$E$247))</f>
        <v>0</v>
      </c>
      <c r="AD40" s="158" t="n">
        <f aca="false">(AD14=1)*Assumption!$E$239*Assumption!$E$240/1000*(1+Assumption!$E$242)^INT((AD15-1)/Assumption!$E$243)*(1-CHOOSE(MIN(MAX(AD16,1),3),Assumption!$E$245,Assumption!$E$246,Assumption!$E$247))</f>
        <v>0</v>
      </c>
      <c r="AE40" s="158" t="n">
        <f aca="false">(AE14=1)*Assumption!$E$239*Assumption!$E$240/1000*(1+Assumption!$E$242)^INT((AE15-1)/Assumption!$E$243)*(1-CHOOSE(MIN(MAX(AE16,1),3),Assumption!$E$245,Assumption!$E$246,Assumption!$E$247))</f>
        <v>0</v>
      </c>
      <c r="AF40" s="158" t="n">
        <f aca="false">(AF14=1)*Assumption!$E$239*Assumption!$E$240/1000*(1+Assumption!$E$242)^INT((AF15-1)/Assumption!$E$243)*(1-CHOOSE(MIN(MAX(AF16,1),3),Assumption!$E$245,Assumption!$E$246,Assumption!$E$247))</f>
        <v>0</v>
      </c>
      <c r="AG40" s="158" t="n">
        <f aca="false">(AG14=1)*Assumption!$E$239*Assumption!$E$240/1000*(1+Assumption!$E$242)^INT((AG15-1)/Assumption!$E$243)*(1-CHOOSE(MIN(MAX(AG16,1),3),Assumption!$E$245,Assumption!$E$246,Assumption!$E$247))</f>
        <v>0</v>
      </c>
      <c r="AH40" s="158" t="n">
        <f aca="false">(AH14=1)*Assumption!$E$239*Assumption!$E$240/1000*(1+Assumption!$E$242)^INT((AH15-1)/Assumption!$E$243)*(1-CHOOSE(MIN(MAX(AH16,1),3),Assumption!$E$245,Assumption!$E$246,Assumption!$E$247))</f>
        <v>0</v>
      </c>
      <c r="AI40" s="158" t="n">
        <f aca="false">(AI14=1)*Assumption!$E$239*Assumption!$E$240/1000*(1+Assumption!$E$242)^INT((AI15-1)/Assumption!$E$243)*(1-CHOOSE(MIN(MAX(AI16,1),3),Assumption!$E$245,Assumption!$E$246,Assumption!$E$247))</f>
        <v>0</v>
      </c>
      <c r="AJ40" s="158" t="n">
        <f aca="false">(AJ14=1)*Assumption!$E$239*Assumption!$E$240/1000*(1+Assumption!$E$242)^INT((AJ15-1)/Assumption!$E$243)*(1-CHOOSE(MIN(MAX(AJ16,1),3),Assumption!$E$245,Assumption!$E$246,Assumption!$E$247))</f>
        <v>0</v>
      </c>
      <c r="AK40" s="158" t="n">
        <f aca="false">(AK14=1)*Assumption!$E$239*Assumption!$E$240/1000*(1+Assumption!$E$242)^INT((AK15-1)/Assumption!$E$243)*(1-CHOOSE(MIN(MAX(AK16,1),3),Assumption!$E$245,Assumption!$E$246,Assumption!$E$247))</f>
        <v>0</v>
      </c>
      <c r="AL40" s="158" t="n">
        <f aca="false">(AL14=1)*Assumption!$E$239*Assumption!$E$240/1000*(1+Assumption!$E$242)^INT((AL15-1)/Assumption!$E$243)*(1-CHOOSE(MIN(MAX(AL16,1),3),Assumption!$E$245,Assumption!$E$246,Assumption!$E$247))</f>
        <v>0</v>
      </c>
      <c r="AM40" s="158" t="n">
        <f aca="false">(AM14=1)*Assumption!$E$239*Assumption!$E$240/1000*(1+Assumption!$E$242)^INT((AM15-1)/Assumption!$E$243)*(1-CHOOSE(MIN(MAX(AM16,1),3),Assumption!$E$245,Assumption!$E$246,Assumption!$E$247))</f>
        <v>0</v>
      </c>
      <c r="AN40" s="158" t="n">
        <f aca="false">(AN14=1)*Assumption!$E$239*Assumption!$E$240/1000*(1+Assumption!$E$242)^INT((AN15-1)/Assumption!$E$243)*(1-CHOOSE(MIN(MAX(AN16,1),3),Assumption!$E$245,Assumption!$E$246,Assumption!$E$247))</f>
        <v>0</v>
      </c>
      <c r="AO40" s="158" t="n">
        <f aca="false">(AO14=1)*Assumption!$E$239*Assumption!$E$240/1000*(1+Assumption!$E$242)^INT((AO15-1)/Assumption!$E$243)*(1-CHOOSE(MIN(MAX(AO16,1),3),Assumption!$E$245,Assumption!$E$246,Assumption!$E$247))</f>
        <v>0</v>
      </c>
      <c r="AP40" s="158" t="n">
        <f aca="false">(AP14=1)*Assumption!$E$239*Assumption!$E$240/1000*(1+Assumption!$E$242)^INT((AP15-1)/Assumption!$E$243)*(1-CHOOSE(MIN(MAX(AP16,1),3),Assumption!$E$245,Assumption!$E$246,Assumption!$E$247))</f>
        <v>0</v>
      </c>
      <c r="AQ40" s="158" t="n">
        <f aca="false">(AQ14=1)*Assumption!$E$239*Assumption!$E$240/1000*(1+Assumption!$E$242)^INT((AQ15-1)/Assumption!$E$243)*(1-CHOOSE(MIN(MAX(AQ16,1),3),Assumption!$E$245,Assumption!$E$246,Assumption!$E$247))</f>
        <v>0</v>
      </c>
      <c r="AR40" s="158" t="n">
        <f aca="false">(AR14=1)*Assumption!$E$239*Assumption!$E$240/1000*(1+Assumption!$E$242)^INT((AR15-1)/Assumption!$E$243)*(1-CHOOSE(MIN(MAX(AR16,1),3),Assumption!$E$245,Assumption!$E$246,Assumption!$E$247))</f>
        <v>0</v>
      </c>
      <c r="AS40" s="158" t="n">
        <f aca="false">(AS14=1)*Assumption!$E$239*Assumption!$E$240/1000*(1+Assumption!$E$242)^INT((AS15-1)/Assumption!$E$243)*(1-CHOOSE(MIN(MAX(AS16,1),3),Assumption!$E$245,Assumption!$E$246,Assumption!$E$247))</f>
        <v>0</v>
      </c>
      <c r="AT40" s="158" t="n">
        <f aca="false">(AT14=1)*Assumption!$E$239*Assumption!$E$240/1000*(1+Assumption!$E$242)^INT((AT15-1)/Assumption!$E$243)*(1-CHOOSE(MIN(MAX(AT16,1),3),Assumption!$E$245,Assumption!$E$246,Assumption!$E$247))</f>
        <v>0</v>
      </c>
      <c r="AU40" s="158" t="n">
        <f aca="false">(AU14=1)*Assumption!$E$239*Assumption!$E$240/1000*(1+Assumption!$E$242)^INT((AU15-1)/Assumption!$E$243)*(1-CHOOSE(MIN(MAX(AU16,1),3),Assumption!$E$245,Assumption!$E$246,Assumption!$E$247))</f>
        <v>0</v>
      </c>
      <c r="AV40" s="158" t="n">
        <f aca="false">(AV14=1)*Assumption!$E$239*Assumption!$E$240/1000*(1+Assumption!$E$242)^INT((AV15-1)/Assumption!$E$243)*(1-CHOOSE(MIN(MAX(AV16,1),3),Assumption!$E$245,Assumption!$E$246,Assumption!$E$247))</f>
        <v>0</v>
      </c>
      <c r="AW40" s="158" t="n">
        <f aca="false">(AW14=1)*Assumption!$E$239*Assumption!$E$240/1000*(1+Assumption!$E$242)^INT((AW15-1)/Assumption!$E$243)*(1-CHOOSE(MIN(MAX(AW16,1),3),Assumption!$E$245,Assumption!$E$246,Assumption!$E$247))</f>
        <v>0</v>
      </c>
      <c r="AX40" s="158" t="n">
        <f aca="false">(AX14=1)*Assumption!$E$239*Assumption!$E$240/1000*(1+Assumption!$E$242)^INT((AX15-1)/Assumption!$E$243)*(1-CHOOSE(MIN(MAX(AX16,1),3),Assumption!$E$245,Assumption!$E$246,Assumption!$E$247))</f>
        <v>0</v>
      </c>
      <c r="AY40" s="158" t="n">
        <f aca="false">(AY14=1)*Assumption!$E$239*Assumption!$E$240/1000*(1+Assumption!$E$242)^INT((AY15-1)/Assumption!$E$243)*(1-CHOOSE(MIN(MAX(AY16,1),3),Assumption!$E$245,Assumption!$E$246,Assumption!$E$247))</f>
        <v>0</v>
      </c>
      <c r="AZ40" s="158" t="n">
        <f aca="false">(AZ14=1)*Assumption!$E$239*Assumption!$E$240/1000*(1+Assumption!$E$242)^INT((AZ15-1)/Assumption!$E$243)*(1-CHOOSE(MIN(MAX(AZ16,1),3),Assumption!$E$245,Assumption!$E$246,Assumption!$E$247))</f>
        <v>0</v>
      </c>
      <c r="BA40" s="158" t="n">
        <f aca="false">(BA14=1)*Assumption!$E$239*Assumption!$E$240/1000*(1+Assumption!$E$242)^INT((BA15-1)/Assumption!$E$243)*(1-CHOOSE(MIN(MAX(BA16,1),3),Assumption!$E$245,Assumption!$E$246,Assumption!$E$247))</f>
        <v>0</v>
      </c>
      <c r="BB40" s="158" t="n">
        <f aca="false">(BB14=1)*Assumption!$E$239*Assumption!$E$240/1000*(1+Assumption!$E$242)^INT((BB15-1)/Assumption!$E$243)*(1-CHOOSE(MIN(MAX(BB16,1),3),Assumption!$E$245,Assumption!$E$246,Assumption!$E$247))</f>
        <v>0</v>
      </c>
      <c r="BC40" s="158" t="n">
        <f aca="false">(BC14=1)*Assumption!$E$239*Assumption!$E$240/1000*(1+Assumption!$E$242)^INT((BC15-1)/Assumption!$E$243)*(1-CHOOSE(MIN(MAX(BC16,1),3),Assumption!$E$245,Assumption!$E$246,Assumption!$E$247))</f>
        <v>0</v>
      </c>
      <c r="BD40" s="158" t="n">
        <f aca="false">(BD14=1)*Assumption!$E$239*Assumption!$E$240/1000*(1+Assumption!$E$242)^INT((BD15-1)/Assumption!$E$243)*(1-CHOOSE(MIN(MAX(BD16,1),3),Assumption!$E$245,Assumption!$E$246,Assumption!$E$247))</f>
        <v>0</v>
      </c>
      <c r="BE40" s="158" t="n">
        <f aca="false">(BE14=1)*Assumption!$E$239*Assumption!$E$240/1000*(1+Assumption!$E$242)^INT((BE15-1)/Assumption!$E$243)*(1-CHOOSE(MIN(MAX(BE16,1),3),Assumption!$E$245,Assumption!$E$246,Assumption!$E$247))</f>
        <v>0</v>
      </c>
      <c r="BF40" s="158" t="n">
        <f aca="false">(BF14=1)*Assumption!$E$239*Assumption!$E$240/1000*(1+Assumption!$E$242)^INT((BF15-1)/Assumption!$E$243)*(1-CHOOSE(MIN(MAX(BF16,1),3),Assumption!$E$245,Assumption!$E$246,Assumption!$E$247))</f>
        <v>0</v>
      </c>
      <c r="BG40" s="158" t="n">
        <f aca="false">(BG14=1)*Assumption!$E$239*Assumption!$E$240/1000*(1+Assumption!$E$242)^INT((BG15-1)/Assumption!$E$243)*(1-CHOOSE(MIN(MAX(BG16,1),3),Assumption!$E$245,Assumption!$E$246,Assumption!$E$247))</f>
        <v>0</v>
      </c>
      <c r="BH40" s="158" t="n">
        <f aca="false">(BH14=1)*Assumption!$E$239*Assumption!$E$240/1000*(1+Assumption!$E$242)^INT((BH15-1)/Assumption!$E$243)*(1-CHOOSE(MIN(MAX(BH16,1),3),Assumption!$E$245,Assumption!$E$246,Assumption!$E$247))</f>
        <v>0</v>
      </c>
      <c r="BI40" s="158" t="n">
        <f aca="false">(BI14=1)*Assumption!$E$239*Assumption!$E$240/1000*(1+Assumption!$E$242)^INT((BI15-1)/Assumption!$E$243)*(1-CHOOSE(MIN(MAX(BI16,1),3),Assumption!$E$245,Assumption!$E$246,Assumption!$E$247))</f>
        <v>0</v>
      </c>
      <c r="BJ40" s="158" t="n">
        <f aca="false">(BJ14=1)*Assumption!$E$239*Assumption!$E$240/1000*(1+Assumption!$E$242)^INT((BJ15-1)/Assumption!$E$243)*(1-CHOOSE(MIN(MAX(BJ16,1),3),Assumption!$E$245,Assumption!$E$246,Assumption!$E$247))</f>
        <v>0</v>
      </c>
      <c r="BK40" s="158" t="n">
        <f aca="false">(BK14=1)*Assumption!$E$239*Assumption!$E$240/1000*(1+Assumption!$E$242)^INT((BK15-1)/Assumption!$E$243)*(1-CHOOSE(MIN(MAX(BK16,1),3),Assumption!$E$245,Assumption!$E$246,Assumption!$E$247))</f>
        <v>0</v>
      </c>
      <c r="BL40" s="158" t="n">
        <f aca="false">(BL14=1)*Assumption!$E$239*Assumption!$E$240/1000*(1+Assumption!$E$242)^INT((BL15-1)/Assumption!$E$243)*(1-CHOOSE(MIN(MAX(BL16,1),3),Assumption!$E$245,Assumption!$E$246,Assumption!$E$247))</f>
        <v>0</v>
      </c>
      <c r="BM40" s="158" t="n">
        <f aca="false">(BM14=1)*Assumption!$E$239*Assumption!$E$240/1000*(1+Assumption!$E$242)^INT((BM15-1)/Assumption!$E$243)*(1-CHOOSE(MIN(MAX(BM16,1),3),Assumption!$E$245,Assumption!$E$246,Assumption!$E$247))</f>
        <v>25.6644</v>
      </c>
      <c r="BN40" s="158" t="n">
        <f aca="false">(BN14=1)*Assumption!$E$239*Assumption!$E$240/1000*(1+Assumption!$E$242)^INT((BN15-1)/Assumption!$E$243)*(1-CHOOSE(MIN(MAX(BN16,1),3),Assumption!$E$245,Assumption!$E$246,Assumption!$E$247))</f>
        <v>25.6644</v>
      </c>
      <c r="BO40" s="158" t="n">
        <f aca="false">(BO14=1)*Assumption!$E$239*Assumption!$E$240/1000*(1+Assumption!$E$242)^INT((BO15-1)/Assumption!$E$243)*(1-CHOOSE(MIN(MAX(BO16,1),3),Assumption!$E$245,Assumption!$E$246,Assumption!$E$247))</f>
        <v>25.6644</v>
      </c>
      <c r="BP40" s="158" t="n">
        <f aca="false">(BP14=1)*Assumption!$E$239*Assumption!$E$240/1000*(1+Assumption!$E$242)^INT((BP15-1)/Assumption!$E$243)*(1-CHOOSE(MIN(MAX(BP16,1),3),Assumption!$E$245,Assumption!$E$246,Assumption!$E$247))</f>
        <v>25.6644</v>
      </c>
      <c r="BQ40" s="158" t="n">
        <f aca="false">(BQ14=1)*Assumption!$E$239*Assumption!$E$240/1000*(1+Assumption!$E$242)^INT((BQ15-1)/Assumption!$E$243)*(1-CHOOSE(MIN(MAX(BQ16,1),3),Assumption!$E$245,Assumption!$E$246,Assumption!$E$247))</f>
        <v>25.6644</v>
      </c>
      <c r="BR40" s="158" t="n">
        <f aca="false">(BR14=1)*Assumption!$E$239*Assumption!$E$240/1000*(1+Assumption!$E$242)^INT((BR15-1)/Assumption!$E$243)*(1-CHOOSE(MIN(MAX(BR16,1),3),Assumption!$E$245,Assumption!$E$246,Assumption!$E$247))</f>
        <v>25.6644</v>
      </c>
      <c r="BS40" s="158" t="n">
        <f aca="false">(BS14=1)*Assumption!$E$239*Assumption!$E$240/1000*(1+Assumption!$E$242)^INT((BS15-1)/Assumption!$E$243)*(1-CHOOSE(MIN(MAX(BS16,1),3),Assumption!$E$245,Assumption!$E$246,Assumption!$E$247))</f>
        <v>25.6644</v>
      </c>
      <c r="BT40" s="158" t="n">
        <f aca="false">(BT14=1)*Assumption!$E$239*Assumption!$E$240/1000*(1+Assumption!$E$242)^INT((BT15-1)/Assumption!$E$243)*(1-CHOOSE(MIN(MAX(BT16,1),3),Assumption!$E$245,Assumption!$E$246,Assumption!$E$247))</f>
        <v>25.6644</v>
      </c>
      <c r="BU40" s="158" t="n">
        <f aca="false">(BU14=1)*Assumption!$E$239*Assumption!$E$240/1000*(1+Assumption!$E$242)^INT((BU15-1)/Assumption!$E$243)*(1-CHOOSE(MIN(MAX(BU16,1),3),Assumption!$E$245,Assumption!$E$246,Assumption!$E$247))</f>
        <v>25.6644</v>
      </c>
      <c r="BV40" s="158" t="n">
        <f aca="false">(BV14=1)*Assumption!$E$239*Assumption!$E$240/1000*(1+Assumption!$E$242)^INT((BV15-1)/Assumption!$E$243)*(1-CHOOSE(MIN(MAX(BV16,1),3),Assumption!$E$245,Assumption!$E$246,Assumption!$E$247))</f>
        <v>25.6644</v>
      </c>
      <c r="BW40" s="158" t="n">
        <f aca="false">(BW14=1)*Assumption!$E$239*Assumption!$E$240/1000*(1+Assumption!$E$242)^INT((BW15-1)/Assumption!$E$243)*(1-CHOOSE(MIN(MAX(BW16,1),3),Assumption!$E$245,Assumption!$E$246,Assumption!$E$247))</f>
        <v>25.6644</v>
      </c>
      <c r="BX40" s="158" t="n">
        <f aca="false">(BX14=1)*Assumption!$E$239*Assumption!$E$240/1000*(1+Assumption!$E$242)^INT((BX15-1)/Assumption!$E$243)*(1-CHOOSE(MIN(MAX(BX16,1),3),Assumption!$E$245,Assumption!$E$246,Assumption!$E$247))</f>
        <v>25.6644</v>
      </c>
      <c r="BY40" s="158" t="n">
        <f aca="false">(BY14=1)*Assumption!$E$239*Assumption!$E$240/1000*(1+Assumption!$E$242)^INT((BY15-1)/Assumption!$E$243)*(1-CHOOSE(MIN(MAX(BY16,1),3),Assumption!$E$245,Assumption!$E$246,Assumption!$E$247))</f>
        <v>26.177688</v>
      </c>
      <c r="BZ40" s="158" t="n">
        <f aca="false">(BZ14=1)*Assumption!$E$239*Assumption!$E$240/1000*(1+Assumption!$E$242)^INT((BZ15-1)/Assumption!$E$243)*(1-CHOOSE(MIN(MAX(BZ16,1),3),Assumption!$E$245,Assumption!$E$246,Assumption!$E$247))</f>
        <v>26.177688</v>
      </c>
      <c r="CA40" s="158" t="n">
        <f aca="false">(CA14=1)*Assumption!$E$239*Assumption!$E$240/1000*(1+Assumption!$E$242)^INT((CA15-1)/Assumption!$E$243)*(1-CHOOSE(MIN(MAX(CA16,1),3),Assumption!$E$245,Assumption!$E$246,Assumption!$E$247))</f>
        <v>26.177688</v>
      </c>
      <c r="CB40" s="158" t="n">
        <f aca="false">(CB14=1)*Assumption!$E$239*Assumption!$E$240/1000*(1+Assumption!$E$242)^INT((CB15-1)/Assumption!$E$243)*(1-CHOOSE(MIN(MAX(CB16,1),3),Assumption!$E$245,Assumption!$E$246,Assumption!$E$247))</f>
        <v>26.177688</v>
      </c>
      <c r="CC40" s="158" t="n">
        <f aca="false">(CC14=1)*Assumption!$E$239*Assumption!$E$240/1000*(1+Assumption!$E$242)^INT((CC15-1)/Assumption!$E$243)*(1-CHOOSE(MIN(MAX(CC16,1),3),Assumption!$E$245,Assumption!$E$246,Assumption!$E$247))</f>
        <v>26.177688</v>
      </c>
      <c r="CD40" s="158" t="n">
        <f aca="false">(CD14=1)*Assumption!$E$239*Assumption!$E$240/1000*(1+Assumption!$E$242)^INT((CD15-1)/Assumption!$E$243)*(1-CHOOSE(MIN(MAX(CD16,1),3),Assumption!$E$245,Assumption!$E$246,Assumption!$E$247))</f>
        <v>26.177688</v>
      </c>
      <c r="CE40" s="158" t="n">
        <f aca="false">(CE14=1)*Assumption!$E$239*Assumption!$E$240/1000*(1+Assumption!$E$242)^INT((CE15-1)/Assumption!$E$243)*(1-CHOOSE(MIN(MAX(CE16,1),3),Assumption!$E$245,Assumption!$E$246,Assumption!$E$247))</f>
        <v>26.177688</v>
      </c>
      <c r="CF40" s="158" t="n">
        <f aca="false">(CF14=1)*Assumption!$E$239*Assumption!$E$240/1000*(1+Assumption!$E$242)^INT((CF15-1)/Assumption!$E$243)*(1-CHOOSE(MIN(MAX(CF16,1),3),Assumption!$E$245,Assumption!$E$246,Assumption!$E$247))</f>
        <v>26.177688</v>
      </c>
      <c r="CG40" s="158" t="n">
        <f aca="false">(CG14=1)*Assumption!$E$239*Assumption!$E$240/1000*(1+Assumption!$E$242)^INT((CG15-1)/Assumption!$E$243)*(1-CHOOSE(MIN(MAX(CG16,1),3),Assumption!$E$245,Assumption!$E$246,Assumption!$E$247))</f>
        <v>26.177688</v>
      </c>
      <c r="CH40" s="158" t="n">
        <f aca="false">(CH14=1)*Assumption!$E$239*Assumption!$E$240/1000*(1+Assumption!$E$242)^INT((CH15-1)/Assumption!$E$243)*(1-CHOOSE(MIN(MAX(CH16,1),3),Assumption!$E$245,Assumption!$E$246,Assumption!$E$247))</f>
        <v>26.177688</v>
      </c>
      <c r="CI40" s="158" t="n">
        <f aca="false">(CI14=1)*Assumption!$E$239*Assumption!$E$240/1000*(1+Assumption!$E$242)^INT((CI15-1)/Assumption!$E$243)*(1-CHOOSE(MIN(MAX(CI16,1),3),Assumption!$E$245,Assumption!$E$246,Assumption!$E$247))</f>
        <v>26.177688</v>
      </c>
      <c r="CJ40" s="158" t="n">
        <f aca="false">(CJ14=1)*Assumption!$E$239*Assumption!$E$240/1000*(1+Assumption!$E$242)^INT((CJ15-1)/Assumption!$E$243)*(1-CHOOSE(MIN(MAX(CJ16,1),3),Assumption!$E$245,Assumption!$E$246,Assumption!$E$247))</f>
        <v>26.177688</v>
      </c>
      <c r="CK40" s="158" t="n">
        <f aca="false">(CK14=1)*Assumption!$E$239*Assumption!$E$240/1000*(1+Assumption!$E$242)^INT((CK15-1)/Assumption!$E$243)*(1-CHOOSE(MIN(MAX(CK16,1),3),Assumption!$E$245,Assumption!$E$246,Assumption!$E$247))</f>
        <v>26.70124176</v>
      </c>
      <c r="CL40" s="158" t="n">
        <f aca="false">(CL14=1)*Assumption!$E$239*Assumption!$E$240/1000*(1+Assumption!$E$242)^INT((CL15-1)/Assumption!$E$243)*(1-CHOOSE(MIN(MAX(CL16,1),3),Assumption!$E$245,Assumption!$E$246,Assumption!$E$247))</f>
        <v>26.70124176</v>
      </c>
      <c r="CM40" s="158" t="n">
        <f aca="false">(CM14=1)*Assumption!$E$239*Assumption!$E$240/1000*(1+Assumption!$E$242)^INT((CM15-1)/Assumption!$E$243)*(1-CHOOSE(MIN(MAX(CM16,1),3),Assumption!$E$245,Assumption!$E$246,Assumption!$E$247))</f>
        <v>26.70124176</v>
      </c>
      <c r="CN40" s="158" t="n">
        <f aca="false">(CN14=1)*Assumption!$E$239*Assumption!$E$240/1000*(1+Assumption!$E$242)^INT((CN15-1)/Assumption!$E$243)*(1-CHOOSE(MIN(MAX(CN16,1),3),Assumption!$E$245,Assumption!$E$246,Assumption!$E$247))</f>
        <v>26.70124176</v>
      </c>
      <c r="CO40" s="158" t="n">
        <f aca="false">(CO14=1)*Assumption!$E$239*Assumption!$E$240/1000*(1+Assumption!$E$242)^INT((CO15-1)/Assumption!$E$243)*(1-CHOOSE(MIN(MAX(CO16,1),3),Assumption!$E$245,Assumption!$E$246,Assumption!$E$247))</f>
        <v>26.70124176</v>
      </c>
      <c r="CP40" s="158" t="n">
        <f aca="false">(CP14=1)*Assumption!$E$239*Assumption!$E$240/1000*(1+Assumption!$E$242)^INT((CP15-1)/Assumption!$E$243)*(1-CHOOSE(MIN(MAX(CP16,1),3),Assumption!$E$245,Assumption!$E$246,Assumption!$E$247))</f>
        <v>26.70124176</v>
      </c>
      <c r="CQ40" s="158" t="n">
        <f aca="false">(CQ14=1)*Assumption!$E$239*Assumption!$E$240/1000*(1+Assumption!$E$242)^INT((CQ15-1)/Assumption!$E$243)*(1-CHOOSE(MIN(MAX(CQ16,1),3),Assumption!$E$245,Assumption!$E$246,Assumption!$E$247))</f>
        <v>26.70124176</v>
      </c>
      <c r="CR40" s="158" t="n">
        <f aca="false">(CR14=1)*Assumption!$E$239*Assumption!$E$240/1000*(1+Assumption!$E$242)^INT((CR15-1)/Assumption!$E$243)*(1-CHOOSE(MIN(MAX(CR16,1),3),Assumption!$E$245,Assumption!$E$246,Assumption!$E$247))</f>
        <v>26.70124176</v>
      </c>
      <c r="CS40" s="158" t="n">
        <f aca="false">(CS14=1)*Assumption!$E$239*Assumption!$E$240/1000*(1+Assumption!$E$242)^INT((CS15-1)/Assumption!$E$243)*(1-CHOOSE(MIN(MAX(CS16,1),3),Assumption!$E$245,Assumption!$E$246,Assumption!$E$247))</f>
        <v>26.70124176</v>
      </c>
      <c r="CT40" s="158" t="n">
        <f aca="false">(CT14=1)*Assumption!$E$239*Assumption!$E$240/1000*(1+Assumption!$E$242)^INT((CT15-1)/Assumption!$E$243)*(1-CHOOSE(MIN(MAX(CT16,1),3),Assumption!$E$245,Assumption!$E$246,Assumption!$E$247))</f>
        <v>26.70124176</v>
      </c>
      <c r="CU40" s="158" t="n">
        <f aca="false">(CU14=1)*Assumption!$E$239*Assumption!$E$240/1000*(1+Assumption!$E$242)^INT((CU15-1)/Assumption!$E$243)*(1-CHOOSE(MIN(MAX(CU16,1),3),Assumption!$E$245,Assumption!$E$246,Assumption!$E$247))</f>
        <v>26.70124176</v>
      </c>
      <c r="CV40" s="158" t="n">
        <f aca="false">(CV14=1)*Assumption!$E$239*Assumption!$E$240/1000*(1+Assumption!$E$242)^INT((CV15-1)/Assumption!$E$243)*(1-CHOOSE(MIN(MAX(CV16,1),3),Assumption!$E$245,Assumption!$E$246,Assumption!$E$247))</f>
        <v>26.70124176</v>
      </c>
      <c r="CW40" s="158" t="n">
        <f aca="false">(CW14=1)*Assumption!$E$239*Assumption!$E$240/1000*(1+Assumption!$E$242)^INT((CW15-1)/Assumption!$E$243)*(1-CHOOSE(MIN(MAX(CW16,1),3),Assumption!$E$245,Assumption!$E$246,Assumption!$E$247))</f>
        <v>27.2352665952</v>
      </c>
      <c r="CX40" s="158" t="n">
        <f aca="false">(CX14=1)*Assumption!$E$239*Assumption!$E$240/1000*(1+Assumption!$E$242)^INT((CX15-1)/Assumption!$E$243)*(1-CHOOSE(MIN(MAX(CX16,1),3),Assumption!$E$245,Assumption!$E$246,Assumption!$E$247))</f>
        <v>27.2352665952</v>
      </c>
      <c r="CY40" s="158" t="n">
        <f aca="false">(CY14=1)*Assumption!$E$239*Assumption!$E$240/1000*(1+Assumption!$E$242)^INT((CY15-1)/Assumption!$E$243)*(1-CHOOSE(MIN(MAX(CY16,1),3),Assumption!$E$245,Assumption!$E$246,Assumption!$E$247))</f>
        <v>27.2352665952</v>
      </c>
      <c r="CZ40" s="158" t="n">
        <f aca="false">(CZ14=1)*Assumption!$E$239*Assumption!$E$240/1000*(1+Assumption!$E$242)^INT((CZ15-1)/Assumption!$E$243)*(1-CHOOSE(MIN(MAX(CZ16,1),3),Assumption!$E$245,Assumption!$E$246,Assumption!$E$247))</f>
        <v>27.2352665952</v>
      </c>
      <c r="DA40" s="158" t="n">
        <f aca="false">(DA14=1)*Assumption!$E$239*Assumption!$E$240/1000*(1+Assumption!$E$242)^INT((DA15-1)/Assumption!$E$243)*(1-CHOOSE(MIN(MAX(DA16,1),3),Assumption!$E$245,Assumption!$E$246,Assumption!$E$247))</f>
        <v>27.2352665952</v>
      </c>
      <c r="DB40" s="158" t="n">
        <f aca="false">(DB14=1)*Assumption!$E$239*Assumption!$E$240/1000*(1+Assumption!$E$242)^INT((DB15-1)/Assumption!$E$243)*(1-CHOOSE(MIN(MAX(DB16,1),3),Assumption!$E$245,Assumption!$E$246,Assumption!$E$247))</f>
        <v>27.2352665952</v>
      </c>
      <c r="DC40" s="158" t="n">
        <f aca="false">(DC14=1)*Assumption!$E$239*Assumption!$E$240/1000*(1+Assumption!$E$242)^INT((DC15-1)/Assumption!$E$243)*(1-CHOOSE(MIN(MAX(DC16,1),3),Assumption!$E$245,Assumption!$E$246,Assumption!$E$247))</f>
        <v>27.2352665952</v>
      </c>
      <c r="DD40" s="158" t="n">
        <f aca="false">(DD14=1)*Assumption!$E$239*Assumption!$E$240/1000*(1+Assumption!$E$242)^INT((DD15-1)/Assumption!$E$243)*(1-CHOOSE(MIN(MAX(DD16,1),3),Assumption!$E$245,Assumption!$E$246,Assumption!$E$247))</f>
        <v>27.2352665952</v>
      </c>
      <c r="DE40" s="158" t="n">
        <f aca="false">(DE14=1)*Assumption!$E$239*Assumption!$E$240/1000*(1+Assumption!$E$242)^INT((DE15-1)/Assumption!$E$243)*(1-CHOOSE(MIN(MAX(DE16,1),3),Assumption!$E$245,Assumption!$E$246,Assumption!$E$247))</f>
        <v>27.2352665952</v>
      </c>
      <c r="DF40" s="158" t="n">
        <f aca="false">(DF14=1)*Assumption!$E$239*Assumption!$E$240/1000*(1+Assumption!$E$242)^INT((DF15-1)/Assumption!$E$243)*(1-CHOOSE(MIN(MAX(DF16,1),3),Assumption!$E$245,Assumption!$E$246,Assumption!$E$247))</f>
        <v>27.2352665952</v>
      </c>
      <c r="DG40" s="158" t="n">
        <f aca="false">(DG14=1)*Assumption!$E$239*Assumption!$E$240/1000*(1+Assumption!$E$242)^INT((DG15-1)/Assumption!$E$243)*(1-CHOOSE(MIN(MAX(DG16,1),3),Assumption!$E$245,Assumption!$E$246,Assumption!$E$247))</f>
        <v>27.2352665952</v>
      </c>
      <c r="DH40" s="158" t="n">
        <f aca="false">(DH14=1)*Assumption!$E$239*Assumption!$E$240/1000*(1+Assumption!$E$242)^INT((DH15-1)/Assumption!$E$243)*(1-CHOOSE(MIN(MAX(DH16,1),3),Assumption!$E$245,Assumption!$E$246,Assumption!$E$247))</f>
        <v>27.2352665952</v>
      </c>
      <c r="DI40" s="158" t="n">
        <f aca="false">(DI14=1)*Assumption!$E$239*Assumption!$E$240/1000*(1+Assumption!$E$242)^INT((DI15-1)/Assumption!$E$243)*(1-CHOOSE(MIN(MAX(DI16,1),3),Assumption!$E$245,Assumption!$E$246,Assumption!$E$247))</f>
        <v>27.779971927104</v>
      </c>
      <c r="DJ40" s="158" t="n">
        <f aca="false">(DJ14=1)*Assumption!$E$239*Assumption!$E$240/1000*(1+Assumption!$E$242)^INT((DJ15-1)/Assumption!$E$243)*(1-CHOOSE(MIN(MAX(DJ16,1),3),Assumption!$E$245,Assumption!$E$246,Assumption!$E$247))</f>
        <v>27.779971927104</v>
      </c>
      <c r="DK40" s="158" t="n">
        <f aca="false">(DK14=1)*Assumption!$E$239*Assumption!$E$240/1000*(1+Assumption!$E$242)^INT((DK15-1)/Assumption!$E$243)*(1-CHOOSE(MIN(MAX(DK16,1),3),Assumption!$E$245,Assumption!$E$246,Assumption!$E$247))</f>
        <v>27.779971927104</v>
      </c>
      <c r="DL40" s="158" t="n">
        <f aca="false">(DL14=1)*Assumption!$E$239*Assumption!$E$240/1000*(1+Assumption!$E$242)^INT((DL15-1)/Assumption!$E$243)*(1-CHOOSE(MIN(MAX(DL16,1),3),Assumption!$E$245,Assumption!$E$246,Assumption!$E$247))</f>
        <v>27.779971927104</v>
      </c>
      <c r="DM40" s="158" t="n">
        <f aca="false">(DM14=1)*Assumption!$E$239*Assumption!$E$240/1000*(1+Assumption!$E$242)^INT((DM15-1)/Assumption!$E$243)*(1-CHOOSE(MIN(MAX(DM16,1),3),Assumption!$E$245,Assumption!$E$246,Assumption!$E$247))</f>
        <v>27.779971927104</v>
      </c>
      <c r="DN40" s="158" t="n">
        <f aca="false">(DN14=1)*Assumption!$E$239*Assumption!$E$240/1000*(1+Assumption!$E$242)^INT((DN15-1)/Assumption!$E$243)*(1-CHOOSE(MIN(MAX(DN16,1),3),Assumption!$E$245,Assumption!$E$246,Assumption!$E$247))</f>
        <v>27.779971927104</v>
      </c>
      <c r="DO40" s="158" t="n">
        <f aca="false">(DO14=1)*Assumption!$E$239*Assumption!$E$240/1000*(1+Assumption!$E$242)^INT((DO15-1)/Assumption!$E$243)*(1-CHOOSE(MIN(MAX(DO16,1),3),Assumption!$E$245,Assumption!$E$246,Assumption!$E$247))</f>
        <v>27.779971927104</v>
      </c>
      <c r="DP40" s="158" t="n">
        <f aca="false">(DP14=1)*Assumption!$E$239*Assumption!$E$240/1000*(1+Assumption!$E$242)^INT((DP15-1)/Assumption!$E$243)*(1-CHOOSE(MIN(MAX(DP16,1),3),Assumption!$E$245,Assumption!$E$246,Assumption!$E$247))</f>
        <v>27.779971927104</v>
      </c>
      <c r="DQ40" s="158" t="n">
        <f aca="false">(DQ14=1)*Assumption!$E$239*Assumption!$E$240/1000*(1+Assumption!$E$242)^INT((DQ15-1)/Assumption!$E$243)*(1-CHOOSE(MIN(MAX(DQ16,1),3),Assumption!$E$245,Assumption!$E$246,Assumption!$E$247))</f>
        <v>27.779971927104</v>
      </c>
      <c r="DR40" s="158" t="n">
        <f aca="false">(DR14=1)*Assumption!$E$239*Assumption!$E$240/1000*(1+Assumption!$E$242)^INT((DR15-1)/Assumption!$E$243)*(1-CHOOSE(MIN(MAX(DR16,1),3),Assumption!$E$245,Assumption!$E$246,Assumption!$E$247))</f>
        <v>27.779971927104</v>
      </c>
      <c r="DS40" s="158" t="n">
        <f aca="false">(DS14=1)*Assumption!$E$239*Assumption!$E$240/1000*(1+Assumption!$E$242)^INT((DS15-1)/Assumption!$E$243)*(1-CHOOSE(MIN(MAX(DS16,1),3),Assumption!$E$245,Assumption!$E$246,Assumption!$E$247))</f>
        <v>27.779971927104</v>
      </c>
      <c r="DT40" s="158" t="n">
        <f aca="false">(DT14=1)*Assumption!$E$239*Assumption!$E$240/1000*(1+Assumption!$E$242)^INT((DT15-1)/Assumption!$E$243)*(1-CHOOSE(MIN(MAX(DT16,1),3),Assumption!$E$245,Assumption!$E$246,Assumption!$E$247))</f>
        <v>27.779971927104</v>
      </c>
      <c r="DU40" s="158" t="n">
        <f aca="false">(DU14=1)*Assumption!$E$239*Assumption!$E$240/1000*(1+Assumption!$E$242)^INT((DU15-1)/Assumption!$E$243)*(1-CHOOSE(MIN(MAX(DU16,1),3),Assumption!$E$245,Assumption!$E$246,Assumption!$E$247))</f>
        <v>0</v>
      </c>
      <c r="DV40" s="158" t="n">
        <f aca="false">(DV14=1)*Assumption!$E$239*Assumption!$E$240/1000*(1+Assumption!$E$242)^INT((DV15-1)/Assumption!$E$243)*(1-CHOOSE(MIN(MAX(DV16,1),3),Assumption!$E$245,Assumption!$E$246,Assumption!$E$247))</f>
        <v>0</v>
      </c>
      <c r="DW40" s="158" t="n">
        <f aca="false">(DW14=1)*Assumption!$E$239*Assumption!$E$240/1000*(1+Assumption!$E$242)^INT((DW15-1)/Assumption!$E$243)*(1-CHOOSE(MIN(MAX(DW16,1),3),Assumption!$E$245,Assumption!$E$246,Assumption!$E$247))</f>
        <v>0</v>
      </c>
      <c r="DX40" s="158" t="n">
        <f aca="false">(DX14=1)*Assumption!$E$239*Assumption!$E$240/1000*(1+Assumption!$E$242)^INT((DX15-1)/Assumption!$E$243)*(1-CHOOSE(MIN(MAX(DX16,1),3),Assumption!$E$245,Assumption!$E$246,Assumption!$E$247))</f>
        <v>0</v>
      </c>
      <c r="DY40" s="158" t="n">
        <f aca="false">(DY14=1)*Assumption!$E$239*Assumption!$E$240/1000*(1+Assumption!$E$242)^INT((DY15-1)/Assumption!$E$243)*(1-CHOOSE(MIN(MAX(DY16,1),3),Assumption!$E$245,Assumption!$E$246,Assumption!$E$247))</f>
        <v>0</v>
      </c>
      <c r="DZ40" s="158" t="n">
        <f aca="false">(DZ14=1)*Assumption!$E$239*Assumption!$E$240/1000*(1+Assumption!$E$242)^INT((DZ15-1)/Assumption!$E$243)*(1-CHOOSE(MIN(MAX(DZ16,1),3),Assumption!$E$245,Assumption!$E$246,Assumption!$E$247))</f>
        <v>0</v>
      </c>
      <c r="EA40" s="158" t="n">
        <f aca="false">(EA14=1)*Assumption!$E$239*Assumption!$E$240/1000*(1+Assumption!$E$242)^INT((EA15-1)/Assumption!$E$243)*(1-CHOOSE(MIN(MAX(EA16,1),3),Assumption!$E$245,Assumption!$E$246,Assumption!$E$247))</f>
        <v>0</v>
      </c>
      <c r="EB40" s="158" t="n">
        <f aca="false">(EB14=1)*Assumption!$E$239*Assumption!$E$240/1000*(1+Assumption!$E$242)^INT((EB15-1)/Assumption!$E$243)*(1-CHOOSE(MIN(MAX(EB16,1),3),Assumption!$E$245,Assumption!$E$246,Assumption!$E$247))</f>
        <v>0</v>
      </c>
      <c r="EC40" s="158" t="n">
        <f aca="false">(EC14=1)*Assumption!$E$239*Assumption!$E$240/1000*(1+Assumption!$E$242)^INT((EC15-1)/Assumption!$E$243)*(1-CHOOSE(MIN(MAX(EC16,1),3),Assumption!$E$245,Assumption!$E$246,Assumption!$E$247))</f>
        <v>0</v>
      </c>
      <c r="ED40" s="158" t="n">
        <f aca="false">(ED14=1)*Assumption!$E$239*Assumption!$E$240/1000*(1+Assumption!$E$242)^INT((ED15-1)/Assumption!$E$243)*(1-CHOOSE(MIN(MAX(ED16,1),3),Assumption!$E$245,Assumption!$E$246,Assumption!$E$247))</f>
        <v>0</v>
      </c>
      <c r="EE40" s="158" t="n">
        <f aca="false">(EE14=1)*Assumption!$E$239*Assumption!$E$240/1000*(1+Assumption!$E$242)^INT((EE15-1)/Assumption!$E$243)*(1-CHOOSE(MIN(MAX(EE16,1),3),Assumption!$E$245,Assumption!$E$246,Assumption!$E$247))</f>
        <v>0</v>
      </c>
      <c r="EF40" s="158" t="n">
        <f aca="false">(EF14=1)*Assumption!$E$239*Assumption!$E$240/1000*(1+Assumption!$E$242)^INT((EF15-1)/Assumption!$E$243)*(1-CHOOSE(MIN(MAX(EF16,1),3),Assumption!$E$245,Assumption!$E$246,Assumption!$E$247))</f>
        <v>0</v>
      </c>
    </row>
    <row r="41" customFormat="false" ht="15" hidden="false" customHeight="false" outlineLevel="0" collapsed="false">
      <c r="A41" s="243" t="s">
        <v>507</v>
      </c>
      <c r="B41" s="244" t="s">
        <v>116</v>
      </c>
      <c r="C41" s="245" t="n">
        <f aca="false">SUM(E41:EF41)</f>
        <v>1022866.31264512</v>
      </c>
      <c r="D41" s="13"/>
      <c r="E41" s="246" t="n">
        <f aca="false">SUM(E21:E40)</f>
        <v>0</v>
      </c>
      <c r="F41" s="246" t="n">
        <f aca="false">SUM(F21:F40)</f>
        <v>0</v>
      </c>
      <c r="G41" s="246" t="n">
        <f aca="false">SUM(G21:G40)</f>
        <v>0</v>
      </c>
      <c r="H41" s="246" t="n">
        <f aca="false">SUM(H21:H40)</f>
        <v>0</v>
      </c>
      <c r="I41" s="246" t="n">
        <f aca="false">SUM(I21:I40)</f>
        <v>0</v>
      </c>
      <c r="J41" s="246" t="n">
        <f aca="false">SUM(J21:J40)</f>
        <v>0</v>
      </c>
      <c r="K41" s="246" t="n">
        <f aca="false">SUM(K21:K40)</f>
        <v>0</v>
      </c>
      <c r="L41" s="246" t="n">
        <f aca="false">SUM(L21:L40)</f>
        <v>0</v>
      </c>
      <c r="M41" s="246" t="n">
        <f aca="false">SUM(M21:M40)</f>
        <v>0</v>
      </c>
      <c r="N41" s="246" t="n">
        <f aca="false">SUM(N21:N40)</f>
        <v>0</v>
      </c>
      <c r="O41" s="246" t="n">
        <f aca="false">SUM(O21:O40)</f>
        <v>0</v>
      </c>
      <c r="P41" s="246" t="n">
        <f aca="false">SUM(P21:P40)</f>
        <v>0</v>
      </c>
      <c r="Q41" s="246" t="n">
        <f aca="false">SUM(Q21:Q40)</f>
        <v>0</v>
      </c>
      <c r="R41" s="246" t="n">
        <f aca="false">SUM(R21:R40)</f>
        <v>0</v>
      </c>
      <c r="S41" s="246" t="n">
        <f aca="false">SUM(S21:S40)</f>
        <v>0</v>
      </c>
      <c r="T41" s="246" t="n">
        <f aca="false">SUM(T21:T40)</f>
        <v>0</v>
      </c>
      <c r="U41" s="246" t="n">
        <f aca="false">SUM(U21:U40)</f>
        <v>0</v>
      </c>
      <c r="V41" s="246" t="n">
        <f aca="false">SUM(V21:V40)</f>
        <v>0</v>
      </c>
      <c r="W41" s="246" t="n">
        <f aca="false">SUM(W21:W40)</f>
        <v>0</v>
      </c>
      <c r="X41" s="246" t="n">
        <f aca="false">SUM(X21:X40)</f>
        <v>0</v>
      </c>
      <c r="Y41" s="246" t="n">
        <f aca="false">SUM(Y21:Y40)</f>
        <v>0</v>
      </c>
      <c r="Z41" s="246" t="n">
        <f aca="false">SUM(Z21:Z40)</f>
        <v>0</v>
      </c>
      <c r="AA41" s="246" t="n">
        <f aca="false">SUM(AA21:AA40)</f>
        <v>0</v>
      </c>
      <c r="AB41" s="246" t="n">
        <f aca="false">SUM(AB21:AB40)</f>
        <v>0</v>
      </c>
      <c r="AC41" s="246" t="n">
        <f aca="false">SUM(AC21:AC40)</f>
        <v>0</v>
      </c>
      <c r="AD41" s="246" t="n">
        <f aca="false">SUM(AD21:AD40)</f>
        <v>0</v>
      </c>
      <c r="AE41" s="246" t="n">
        <f aca="false">SUM(AE21:AE40)</f>
        <v>0</v>
      </c>
      <c r="AF41" s="246" t="n">
        <f aca="false">SUM(AF21:AF40)</f>
        <v>0</v>
      </c>
      <c r="AG41" s="246" t="n">
        <f aca="false">SUM(AG21:AG40)</f>
        <v>0</v>
      </c>
      <c r="AH41" s="246" t="n">
        <f aca="false">SUM(AH21:AH40)</f>
        <v>0</v>
      </c>
      <c r="AI41" s="246" t="n">
        <f aca="false">SUM(AI21:AI40)</f>
        <v>0</v>
      </c>
      <c r="AJ41" s="246" t="n">
        <f aca="false">SUM(AJ21:AJ40)</f>
        <v>0</v>
      </c>
      <c r="AK41" s="246" t="n">
        <f aca="false">SUM(AK21:AK40)</f>
        <v>0</v>
      </c>
      <c r="AL41" s="246" t="n">
        <f aca="false">SUM(AL21:AL40)</f>
        <v>0</v>
      </c>
      <c r="AM41" s="246" t="n">
        <f aca="false">SUM(AM21:AM40)</f>
        <v>0</v>
      </c>
      <c r="AN41" s="246" t="n">
        <f aca="false">SUM(AN21:AN40)</f>
        <v>0</v>
      </c>
      <c r="AO41" s="246" t="n">
        <f aca="false">SUM(AO21:AO40)</f>
        <v>0</v>
      </c>
      <c r="AP41" s="246" t="n">
        <f aca="false">SUM(AP21:AP40)</f>
        <v>0</v>
      </c>
      <c r="AQ41" s="246" t="n">
        <f aca="false">SUM(AQ21:AQ40)</f>
        <v>0</v>
      </c>
      <c r="AR41" s="246" t="n">
        <f aca="false">SUM(AR21:AR40)</f>
        <v>0</v>
      </c>
      <c r="AS41" s="246" t="n">
        <f aca="false">SUM(AS21:AS40)</f>
        <v>0</v>
      </c>
      <c r="AT41" s="246" t="n">
        <f aca="false">SUM(AT21:AT40)</f>
        <v>0</v>
      </c>
      <c r="AU41" s="246" t="n">
        <f aca="false">SUM(AU21:AU40)</f>
        <v>0</v>
      </c>
      <c r="AV41" s="246" t="n">
        <f aca="false">SUM(AV21:AV40)</f>
        <v>0</v>
      </c>
      <c r="AW41" s="246" t="n">
        <f aca="false">SUM(AW21:AW40)</f>
        <v>0</v>
      </c>
      <c r="AX41" s="246" t="n">
        <f aca="false">SUM(AX21:AX40)</f>
        <v>0</v>
      </c>
      <c r="AY41" s="246" t="n">
        <f aca="false">SUM(AY21:AY40)</f>
        <v>0</v>
      </c>
      <c r="AZ41" s="246" t="n">
        <f aca="false">SUM(AZ21:AZ40)</f>
        <v>0</v>
      </c>
      <c r="BA41" s="246" t="n">
        <f aca="false">SUM(BA21:BA40)</f>
        <v>0</v>
      </c>
      <c r="BB41" s="246" t="n">
        <f aca="false">SUM(BB21:BB40)</f>
        <v>0</v>
      </c>
      <c r="BC41" s="246" t="n">
        <f aca="false">SUM(BC21:BC40)</f>
        <v>0</v>
      </c>
      <c r="BD41" s="246" t="n">
        <f aca="false">SUM(BD21:BD40)</f>
        <v>0</v>
      </c>
      <c r="BE41" s="246" t="n">
        <f aca="false">SUM(BE21:BE40)</f>
        <v>0</v>
      </c>
      <c r="BF41" s="246" t="n">
        <f aca="false">SUM(BF21:BF40)</f>
        <v>0</v>
      </c>
      <c r="BG41" s="246" t="n">
        <f aca="false">SUM(BG21:BG40)</f>
        <v>0</v>
      </c>
      <c r="BH41" s="246" t="n">
        <f aca="false">SUM(BH21:BH40)</f>
        <v>0</v>
      </c>
      <c r="BI41" s="246" t="n">
        <f aca="false">SUM(BI21:BI40)</f>
        <v>0</v>
      </c>
      <c r="BJ41" s="246" t="n">
        <f aca="false">SUM(BJ21:BJ40)</f>
        <v>0</v>
      </c>
      <c r="BK41" s="246" t="n">
        <f aca="false">SUM(BK21:BK40)</f>
        <v>0</v>
      </c>
      <c r="BL41" s="246" t="n">
        <f aca="false">SUM(BL21:BL40)</f>
        <v>0</v>
      </c>
      <c r="BM41" s="246" t="n">
        <f aca="false">SUM(BM21:BM40)</f>
        <v>14695.9534178032</v>
      </c>
      <c r="BN41" s="246" t="n">
        <f aca="false">SUM(BN21:BN40)</f>
        <v>14333.065775616</v>
      </c>
      <c r="BO41" s="246" t="n">
        <f aca="false">SUM(BO21:BO40)</f>
        <v>14695.9534178032</v>
      </c>
      <c r="BP41" s="246" t="n">
        <f aca="false">SUM(BP21:BP40)</f>
        <v>14333.065775616</v>
      </c>
      <c r="BQ41" s="246" t="n">
        <f aca="false">SUM(BQ21:BQ40)</f>
        <v>14695.9534178032</v>
      </c>
      <c r="BR41" s="246" t="n">
        <f aca="false">SUM(BR21:BR40)</f>
        <v>14695.9534178032</v>
      </c>
      <c r="BS41" s="246" t="n">
        <f aca="false">SUM(BS21:BS40)</f>
        <v>14333.065775616</v>
      </c>
      <c r="BT41" s="246" t="n">
        <f aca="false">SUM(BT21:BT40)</f>
        <v>14695.9534178032</v>
      </c>
      <c r="BU41" s="246" t="n">
        <f aca="false">SUM(BU21:BU40)</f>
        <v>14333.065775616</v>
      </c>
      <c r="BV41" s="246" t="n">
        <f aca="false">SUM(BV21:BV40)</f>
        <v>14695.9534178032</v>
      </c>
      <c r="BW41" s="246" t="n">
        <f aca="false">SUM(BW21:BW40)</f>
        <v>14695.9534178032</v>
      </c>
      <c r="BX41" s="246" t="n">
        <f aca="false">SUM(BX21:BX40)</f>
        <v>13970.1781334288</v>
      </c>
      <c r="BY41" s="246" t="n">
        <f aca="false">SUM(BY21:BY40)</f>
        <v>17399.3797331899</v>
      </c>
      <c r="BZ41" s="246" t="n">
        <f aca="false">SUM(BZ21:BZ40)</f>
        <v>16972.2888927696</v>
      </c>
      <c r="CA41" s="246" t="n">
        <f aca="false">SUM(CA21:CA40)</f>
        <v>17399.3797331899</v>
      </c>
      <c r="CB41" s="246" t="n">
        <f aca="false">SUM(CB21:CB40)</f>
        <v>16972.2888927696</v>
      </c>
      <c r="CC41" s="246" t="n">
        <f aca="false">SUM(CC21:CC40)</f>
        <v>17399.3797331899</v>
      </c>
      <c r="CD41" s="246" t="n">
        <f aca="false">SUM(CD21:CD40)</f>
        <v>17399.3797331899</v>
      </c>
      <c r="CE41" s="246" t="n">
        <f aca="false">SUM(CE21:CE40)</f>
        <v>16972.2888927696</v>
      </c>
      <c r="CF41" s="246" t="n">
        <f aca="false">SUM(CF21:CF40)</f>
        <v>17399.3797331899</v>
      </c>
      <c r="CG41" s="246" t="n">
        <f aca="false">SUM(CG21:CG40)</f>
        <v>16972.2888927696</v>
      </c>
      <c r="CH41" s="246" t="n">
        <f aca="false">SUM(CH21:CH40)</f>
        <v>17399.3797331899</v>
      </c>
      <c r="CI41" s="246" t="n">
        <f aca="false">SUM(CI21:CI40)</f>
        <v>17399.3797331899</v>
      </c>
      <c r="CJ41" s="246" t="n">
        <f aca="false">SUM(CJ21:CJ40)</f>
        <v>16118.107211929</v>
      </c>
      <c r="CK41" s="246" t="n">
        <f aca="false">SUM(CK21:CK40)</f>
        <v>17747.3673278537</v>
      </c>
      <c r="CL41" s="246" t="n">
        <f aca="false">SUM(CL21:CL40)</f>
        <v>17311.734670625</v>
      </c>
      <c r="CM41" s="246" t="n">
        <f aca="false">SUM(CM21:CM40)</f>
        <v>17747.3673278537</v>
      </c>
      <c r="CN41" s="246" t="n">
        <f aca="false">SUM(CN21:CN40)</f>
        <v>17311.734670625</v>
      </c>
      <c r="CO41" s="246" t="n">
        <f aca="false">SUM(CO21:CO40)</f>
        <v>17747.3673278537</v>
      </c>
      <c r="CP41" s="246" t="n">
        <f aca="false">SUM(CP21:CP40)</f>
        <v>17747.3673278537</v>
      </c>
      <c r="CQ41" s="246" t="n">
        <f aca="false">SUM(CQ21:CQ40)</f>
        <v>17311.734670625</v>
      </c>
      <c r="CR41" s="246" t="n">
        <f aca="false">SUM(CR21:CR40)</f>
        <v>17747.3673278537</v>
      </c>
      <c r="CS41" s="246" t="n">
        <f aca="false">SUM(CS21:CS40)</f>
        <v>17311.734670625</v>
      </c>
      <c r="CT41" s="246" t="n">
        <f aca="false">SUM(CT21:CT40)</f>
        <v>17747.3673278537</v>
      </c>
      <c r="CU41" s="246" t="n">
        <f aca="false">SUM(CU21:CU40)</f>
        <v>17747.3673278537</v>
      </c>
      <c r="CV41" s="246" t="n">
        <f aca="false">SUM(CV21:CV40)</f>
        <v>16440.4693561675</v>
      </c>
      <c r="CW41" s="246" t="n">
        <f aca="false">SUM(CW21:CW40)</f>
        <v>18102.3146744108</v>
      </c>
      <c r="CX41" s="246" t="n">
        <f aca="false">SUM(CX21:CX40)</f>
        <v>17657.9693640375</v>
      </c>
      <c r="CY41" s="246" t="n">
        <f aca="false">SUM(CY21:CY40)</f>
        <v>18102.3146744108</v>
      </c>
      <c r="CZ41" s="246" t="n">
        <f aca="false">SUM(CZ21:CZ40)</f>
        <v>17657.9693640375</v>
      </c>
      <c r="DA41" s="246" t="n">
        <f aca="false">SUM(DA21:DA40)</f>
        <v>18102.3146744108</v>
      </c>
      <c r="DB41" s="246" t="n">
        <f aca="false">SUM(DB21:DB40)</f>
        <v>18102.3146744108</v>
      </c>
      <c r="DC41" s="246" t="n">
        <f aca="false">SUM(DC21:DC40)</f>
        <v>17657.9693640375</v>
      </c>
      <c r="DD41" s="246" t="n">
        <f aca="false">SUM(DD21:DD40)</f>
        <v>18102.3146744108</v>
      </c>
      <c r="DE41" s="246" t="n">
        <f aca="false">SUM(DE21:DE40)</f>
        <v>17657.9693640375</v>
      </c>
      <c r="DF41" s="246" t="n">
        <f aca="false">SUM(DF21:DF40)</f>
        <v>18102.3146744108</v>
      </c>
      <c r="DG41" s="246" t="n">
        <f aca="false">SUM(DG21:DG40)</f>
        <v>18102.3146744108</v>
      </c>
      <c r="DH41" s="246" t="n">
        <f aca="false">SUM(DH21:DH40)</f>
        <v>16769.2787432909</v>
      </c>
      <c r="DI41" s="246" t="n">
        <f aca="false">SUM(DI21:DI40)</f>
        <v>18464.360967899</v>
      </c>
      <c r="DJ41" s="246" t="n">
        <f aca="false">SUM(DJ21:DJ40)</f>
        <v>18011.1287513182</v>
      </c>
      <c r="DK41" s="246" t="n">
        <f aca="false">SUM(DK21:DK40)</f>
        <v>18464.360967899</v>
      </c>
      <c r="DL41" s="246" t="n">
        <f aca="false">SUM(DL21:DL40)</f>
        <v>18011.1287513182</v>
      </c>
      <c r="DM41" s="246" t="n">
        <f aca="false">SUM(DM21:DM40)</f>
        <v>18464.360967899</v>
      </c>
      <c r="DN41" s="246" t="n">
        <f aca="false">SUM(DN21:DN40)</f>
        <v>18464.360967899</v>
      </c>
      <c r="DO41" s="246" t="n">
        <f aca="false">SUM(DO21:DO40)</f>
        <v>18011.1287513182</v>
      </c>
      <c r="DP41" s="246" t="n">
        <f aca="false">SUM(DP21:DP40)</f>
        <v>18464.360967899</v>
      </c>
      <c r="DQ41" s="246" t="n">
        <f aca="false">SUM(DQ21:DQ40)</f>
        <v>18011.1287513182</v>
      </c>
      <c r="DR41" s="246" t="n">
        <f aca="false">SUM(DR21:DR40)</f>
        <v>18464.360967899</v>
      </c>
      <c r="DS41" s="246" t="n">
        <f aca="false">SUM(DS21:DS40)</f>
        <v>18464.360967899</v>
      </c>
      <c r="DT41" s="246" t="n">
        <f aca="false">SUM(DT21:DT40)</f>
        <v>17557.8965347375</v>
      </c>
      <c r="DU41" s="246" t="n">
        <f aca="false">SUM(DU21:DU40)</f>
        <v>0</v>
      </c>
      <c r="DV41" s="246" t="n">
        <f aca="false">SUM(DV21:DV40)</f>
        <v>0</v>
      </c>
      <c r="DW41" s="246" t="n">
        <f aca="false">SUM(DW21:DW40)</f>
        <v>0</v>
      </c>
      <c r="DX41" s="246" t="n">
        <f aca="false">SUM(DX21:DX40)</f>
        <v>0</v>
      </c>
      <c r="DY41" s="246" t="n">
        <f aca="false">SUM(DY21:DY40)</f>
        <v>0</v>
      </c>
      <c r="DZ41" s="246" t="n">
        <f aca="false">SUM(DZ21:DZ40)</f>
        <v>0</v>
      </c>
      <c r="EA41" s="246" t="n">
        <f aca="false">SUM(EA21:EA40)</f>
        <v>0</v>
      </c>
      <c r="EB41" s="246" t="n">
        <f aca="false">SUM(EB21:EB40)</f>
        <v>0</v>
      </c>
      <c r="EC41" s="246" t="n">
        <f aca="false">SUM(EC21:EC40)</f>
        <v>0</v>
      </c>
      <c r="ED41" s="246" t="n">
        <f aca="false">SUM(ED21:ED40)</f>
        <v>0</v>
      </c>
      <c r="EE41" s="246" t="n">
        <f aca="false">SUM(EE21:EE40)</f>
        <v>0</v>
      </c>
      <c r="EF41" s="246" t="n">
        <f aca="false">SUM(EF21:EF40)</f>
        <v>0</v>
      </c>
    </row>
    <row r="43" customFormat="false" ht="15" hidden="false" customHeight="false" outlineLevel="0" collapsed="false">
      <c r="A43" s="176" t="s">
        <v>508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</row>
    <row r="44" customFormat="false" ht="15" hidden="false" customHeight="false" outlineLevel="0" collapsed="false">
      <c r="A44" s="35" t="s">
        <v>509</v>
      </c>
      <c r="B44" s="241" t="s">
        <v>116</v>
      </c>
      <c r="C44" s="242" t="n">
        <f aca="false">SUM(E44:EF44)</f>
        <v>88377.5542353984</v>
      </c>
      <c r="E44" s="158" t="n">
        <f aca="false">(E21+E22)*(Assumption!$E$96+Assumption!$E$97)</f>
        <v>0</v>
      </c>
      <c r="F44" s="158" t="n">
        <f aca="false">(F21+F22)*(Assumption!$E$96+Assumption!$E$97)</f>
        <v>0</v>
      </c>
      <c r="G44" s="158" t="n">
        <f aca="false">(G21+G22)*(Assumption!$E$96+Assumption!$E$97)</f>
        <v>0</v>
      </c>
      <c r="H44" s="158" t="n">
        <f aca="false">(H21+H22)*(Assumption!$E$96+Assumption!$E$97)</f>
        <v>0</v>
      </c>
      <c r="I44" s="158" t="n">
        <f aca="false">(I21+I22)*(Assumption!$E$96+Assumption!$E$97)</f>
        <v>0</v>
      </c>
      <c r="J44" s="158" t="n">
        <f aca="false">(J21+J22)*(Assumption!$E$96+Assumption!$E$97)</f>
        <v>0</v>
      </c>
      <c r="K44" s="158" t="n">
        <f aca="false">(K21+K22)*(Assumption!$E$96+Assumption!$E$97)</f>
        <v>0</v>
      </c>
      <c r="L44" s="158" t="n">
        <f aca="false">(L21+L22)*(Assumption!$E$96+Assumption!$E$97)</f>
        <v>0</v>
      </c>
      <c r="M44" s="158" t="n">
        <f aca="false">(M21+M22)*(Assumption!$E$96+Assumption!$E$97)</f>
        <v>0</v>
      </c>
      <c r="N44" s="158" t="n">
        <f aca="false">(N21+N22)*(Assumption!$E$96+Assumption!$E$97)</f>
        <v>0</v>
      </c>
      <c r="O44" s="158" t="n">
        <f aca="false">(O21+O22)*(Assumption!$E$96+Assumption!$E$97)</f>
        <v>0</v>
      </c>
      <c r="P44" s="158" t="n">
        <f aca="false">(P21+P22)*(Assumption!$E$96+Assumption!$E$97)</f>
        <v>0</v>
      </c>
      <c r="Q44" s="158" t="n">
        <f aca="false">(Q21+Q22)*(Assumption!$E$96+Assumption!$E$97)</f>
        <v>0</v>
      </c>
      <c r="R44" s="158" t="n">
        <f aca="false">(R21+R22)*(Assumption!$E$96+Assumption!$E$97)</f>
        <v>0</v>
      </c>
      <c r="S44" s="158" t="n">
        <f aca="false">(S21+S22)*(Assumption!$E$96+Assumption!$E$97)</f>
        <v>0</v>
      </c>
      <c r="T44" s="158" t="n">
        <f aca="false">(T21+T22)*(Assumption!$E$96+Assumption!$E$97)</f>
        <v>0</v>
      </c>
      <c r="U44" s="158" t="n">
        <f aca="false">(U21+U22)*(Assumption!$E$96+Assumption!$E$97)</f>
        <v>0</v>
      </c>
      <c r="V44" s="158" t="n">
        <f aca="false">(V21+V22)*(Assumption!$E$96+Assumption!$E$97)</f>
        <v>0</v>
      </c>
      <c r="W44" s="158" t="n">
        <f aca="false">(W21+W22)*(Assumption!$E$96+Assumption!$E$97)</f>
        <v>0</v>
      </c>
      <c r="X44" s="158" t="n">
        <f aca="false">(X21+X22)*(Assumption!$E$96+Assumption!$E$97)</f>
        <v>0</v>
      </c>
      <c r="Y44" s="158" t="n">
        <f aca="false">(Y21+Y22)*(Assumption!$E$96+Assumption!$E$97)</f>
        <v>0</v>
      </c>
      <c r="Z44" s="158" t="n">
        <f aca="false">(Z21+Z22)*(Assumption!$E$96+Assumption!$E$97)</f>
        <v>0</v>
      </c>
      <c r="AA44" s="158" t="n">
        <f aca="false">(AA21+AA22)*(Assumption!$E$96+Assumption!$E$97)</f>
        <v>0</v>
      </c>
      <c r="AB44" s="158" t="n">
        <f aca="false">(AB21+AB22)*(Assumption!$E$96+Assumption!$E$97)</f>
        <v>0</v>
      </c>
      <c r="AC44" s="158" t="n">
        <f aca="false">(AC21+AC22)*(Assumption!$E$96+Assumption!$E$97)</f>
        <v>0</v>
      </c>
      <c r="AD44" s="158" t="n">
        <f aca="false">(AD21+AD22)*(Assumption!$E$96+Assumption!$E$97)</f>
        <v>0</v>
      </c>
      <c r="AE44" s="158" t="n">
        <f aca="false">(AE21+AE22)*(Assumption!$E$96+Assumption!$E$97)</f>
        <v>0</v>
      </c>
      <c r="AF44" s="158" t="n">
        <f aca="false">(AF21+AF22)*(Assumption!$E$96+Assumption!$E$97)</f>
        <v>0</v>
      </c>
      <c r="AG44" s="158" t="n">
        <f aca="false">(AG21+AG22)*(Assumption!$E$96+Assumption!$E$97)</f>
        <v>0</v>
      </c>
      <c r="AH44" s="158" t="n">
        <f aca="false">(AH21+AH22)*(Assumption!$E$96+Assumption!$E$97)</f>
        <v>0</v>
      </c>
      <c r="AI44" s="158" t="n">
        <f aca="false">(AI21+AI22)*(Assumption!$E$96+Assumption!$E$97)</f>
        <v>0</v>
      </c>
      <c r="AJ44" s="158" t="n">
        <f aca="false">(AJ21+AJ22)*(Assumption!$E$96+Assumption!$E$97)</f>
        <v>0</v>
      </c>
      <c r="AK44" s="158" t="n">
        <f aca="false">(AK21+AK22)*(Assumption!$E$96+Assumption!$E$97)</f>
        <v>0</v>
      </c>
      <c r="AL44" s="158" t="n">
        <f aca="false">(AL21+AL22)*(Assumption!$E$96+Assumption!$E$97)</f>
        <v>0</v>
      </c>
      <c r="AM44" s="158" t="n">
        <f aca="false">(AM21+AM22)*(Assumption!$E$96+Assumption!$E$97)</f>
        <v>0</v>
      </c>
      <c r="AN44" s="158" t="n">
        <f aca="false">(AN21+AN22)*(Assumption!$E$96+Assumption!$E$97)</f>
        <v>0</v>
      </c>
      <c r="AO44" s="158" t="n">
        <f aca="false">(AO21+AO22)*(Assumption!$E$96+Assumption!$E$97)</f>
        <v>0</v>
      </c>
      <c r="AP44" s="158" t="n">
        <f aca="false">(AP21+AP22)*(Assumption!$E$96+Assumption!$E$97)</f>
        <v>0</v>
      </c>
      <c r="AQ44" s="158" t="n">
        <f aca="false">(AQ21+AQ22)*(Assumption!$E$96+Assumption!$E$97)</f>
        <v>0</v>
      </c>
      <c r="AR44" s="158" t="n">
        <f aca="false">(AR21+AR22)*(Assumption!$E$96+Assumption!$E$97)</f>
        <v>0</v>
      </c>
      <c r="AS44" s="158" t="n">
        <f aca="false">(AS21+AS22)*(Assumption!$E$96+Assumption!$E$97)</f>
        <v>0</v>
      </c>
      <c r="AT44" s="158" t="n">
        <f aca="false">(AT21+AT22)*(Assumption!$E$96+Assumption!$E$97)</f>
        <v>0</v>
      </c>
      <c r="AU44" s="158" t="n">
        <f aca="false">(AU21+AU22)*(Assumption!$E$96+Assumption!$E$97)</f>
        <v>0</v>
      </c>
      <c r="AV44" s="158" t="n">
        <f aca="false">(AV21+AV22)*(Assumption!$E$96+Assumption!$E$97)</f>
        <v>0</v>
      </c>
      <c r="AW44" s="158" t="n">
        <f aca="false">(AW21+AW22)*(Assumption!$E$96+Assumption!$E$97)</f>
        <v>0</v>
      </c>
      <c r="AX44" s="158" t="n">
        <f aca="false">(AX21+AX22)*(Assumption!$E$96+Assumption!$E$97)</f>
        <v>0</v>
      </c>
      <c r="AY44" s="158" t="n">
        <f aca="false">(AY21+AY22)*(Assumption!$E$96+Assumption!$E$97)</f>
        <v>0</v>
      </c>
      <c r="AZ44" s="158" t="n">
        <f aca="false">(AZ21+AZ22)*(Assumption!$E$96+Assumption!$E$97)</f>
        <v>0</v>
      </c>
      <c r="BA44" s="158" t="n">
        <f aca="false">(BA21+BA22)*(Assumption!$E$96+Assumption!$E$97)</f>
        <v>0</v>
      </c>
      <c r="BB44" s="158" t="n">
        <f aca="false">(BB21+BB22)*(Assumption!$E$96+Assumption!$E$97)</f>
        <v>0</v>
      </c>
      <c r="BC44" s="158" t="n">
        <f aca="false">(BC21+BC22)*(Assumption!$E$96+Assumption!$E$97)</f>
        <v>0</v>
      </c>
      <c r="BD44" s="158" t="n">
        <f aca="false">(BD21+BD22)*(Assumption!$E$96+Assumption!$E$97)</f>
        <v>0</v>
      </c>
      <c r="BE44" s="158" t="n">
        <f aca="false">(BE21+BE22)*(Assumption!$E$96+Assumption!$E$97)</f>
        <v>0</v>
      </c>
      <c r="BF44" s="158" t="n">
        <f aca="false">(BF21+BF22)*(Assumption!$E$96+Assumption!$E$97)</f>
        <v>0</v>
      </c>
      <c r="BG44" s="158" t="n">
        <f aca="false">(BG21+BG22)*(Assumption!$E$96+Assumption!$E$97)</f>
        <v>0</v>
      </c>
      <c r="BH44" s="158" t="n">
        <f aca="false">(BH21+BH22)*(Assumption!$E$96+Assumption!$E$97)</f>
        <v>0</v>
      </c>
      <c r="BI44" s="158" t="n">
        <f aca="false">(BI21+BI22)*(Assumption!$E$96+Assumption!$E$97)</f>
        <v>0</v>
      </c>
      <c r="BJ44" s="158" t="n">
        <f aca="false">(BJ21+BJ22)*(Assumption!$E$96+Assumption!$E$97)</f>
        <v>0</v>
      </c>
      <c r="BK44" s="158" t="n">
        <f aca="false">(BK21+BK22)*(Assumption!$E$96+Assumption!$E$97)</f>
        <v>0</v>
      </c>
      <c r="BL44" s="158" t="n">
        <f aca="false">(BL21+BL22)*(Assumption!$E$96+Assumption!$E$97)</f>
        <v>0</v>
      </c>
      <c r="BM44" s="158" t="n">
        <f aca="false">(BM21+BM22)*(Assumption!$E$96+Assumption!$E$97)</f>
        <v>1177.416</v>
      </c>
      <c r="BN44" s="158" t="n">
        <f aca="false">(BN21+BN22)*(Assumption!$E$96+Assumption!$E$97)</f>
        <v>1177.416</v>
      </c>
      <c r="BO44" s="158" t="n">
        <f aca="false">(BO21+BO22)*(Assumption!$E$96+Assumption!$E$97)</f>
        <v>1177.416</v>
      </c>
      <c r="BP44" s="158" t="n">
        <f aca="false">(BP21+BP22)*(Assumption!$E$96+Assumption!$E$97)</f>
        <v>1177.416</v>
      </c>
      <c r="BQ44" s="158" t="n">
        <f aca="false">(BQ21+BQ22)*(Assumption!$E$96+Assumption!$E$97)</f>
        <v>1177.416</v>
      </c>
      <c r="BR44" s="158" t="n">
        <f aca="false">(BR21+BR22)*(Assumption!$E$96+Assumption!$E$97)</f>
        <v>1177.416</v>
      </c>
      <c r="BS44" s="158" t="n">
        <f aca="false">(BS21+BS22)*(Assumption!$E$96+Assumption!$E$97)</f>
        <v>1177.416</v>
      </c>
      <c r="BT44" s="158" t="n">
        <f aca="false">(BT21+BT22)*(Assumption!$E$96+Assumption!$E$97)</f>
        <v>1177.416</v>
      </c>
      <c r="BU44" s="158" t="n">
        <f aca="false">(BU21+BU22)*(Assumption!$E$96+Assumption!$E$97)</f>
        <v>1177.416</v>
      </c>
      <c r="BV44" s="158" t="n">
        <f aca="false">(BV21+BV22)*(Assumption!$E$96+Assumption!$E$97)</f>
        <v>1177.416</v>
      </c>
      <c r="BW44" s="158" t="n">
        <f aca="false">(BW21+BW22)*(Assumption!$E$96+Assumption!$E$97)</f>
        <v>1177.416</v>
      </c>
      <c r="BX44" s="158" t="n">
        <f aca="false">(BX21+BX22)*(Assumption!$E$96+Assumption!$E$97)</f>
        <v>1177.416</v>
      </c>
      <c r="BY44" s="158" t="n">
        <f aca="false">(BY21+BY22)*(Assumption!$E$96+Assumption!$E$97)</f>
        <v>1501.2054</v>
      </c>
      <c r="BZ44" s="158" t="n">
        <f aca="false">(BZ21+BZ22)*(Assumption!$E$96+Assumption!$E$97)</f>
        <v>1501.2054</v>
      </c>
      <c r="CA44" s="158" t="n">
        <f aca="false">(CA21+CA22)*(Assumption!$E$96+Assumption!$E$97)</f>
        <v>1501.2054</v>
      </c>
      <c r="CB44" s="158" t="n">
        <f aca="false">(CB21+CB22)*(Assumption!$E$96+Assumption!$E$97)</f>
        <v>1501.2054</v>
      </c>
      <c r="CC44" s="158" t="n">
        <f aca="false">(CC21+CC22)*(Assumption!$E$96+Assumption!$E$97)</f>
        <v>1501.2054</v>
      </c>
      <c r="CD44" s="158" t="n">
        <f aca="false">(CD21+CD22)*(Assumption!$E$96+Assumption!$E$97)</f>
        <v>1501.2054</v>
      </c>
      <c r="CE44" s="158" t="n">
        <f aca="false">(CE21+CE22)*(Assumption!$E$96+Assumption!$E$97)</f>
        <v>1501.2054</v>
      </c>
      <c r="CF44" s="158" t="n">
        <f aca="false">(CF21+CF22)*(Assumption!$E$96+Assumption!$E$97)</f>
        <v>1501.2054</v>
      </c>
      <c r="CG44" s="158" t="n">
        <f aca="false">(CG21+CG22)*(Assumption!$E$96+Assumption!$E$97)</f>
        <v>1501.2054</v>
      </c>
      <c r="CH44" s="158" t="n">
        <f aca="false">(CH21+CH22)*(Assumption!$E$96+Assumption!$E$97)</f>
        <v>1501.2054</v>
      </c>
      <c r="CI44" s="158" t="n">
        <f aca="false">(CI21+CI22)*(Assumption!$E$96+Assumption!$E$97)</f>
        <v>1501.2054</v>
      </c>
      <c r="CJ44" s="158" t="n">
        <f aca="false">(CJ21+CJ22)*(Assumption!$E$96+Assumption!$E$97)</f>
        <v>1501.2054</v>
      </c>
      <c r="CK44" s="158" t="n">
        <f aca="false">(CK21+CK22)*(Assumption!$E$96+Assumption!$E$97)</f>
        <v>1531.229508</v>
      </c>
      <c r="CL44" s="158" t="n">
        <f aca="false">(CL21+CL22)*(Assumption!$E$96+Assumption!$E$97)</f>
        <v>1531.229508</v>
      </c>
      <c r="CM44" s="158" t="n">
        <f aca="false">(CM21+CM22)*(Assumption!$E$96+Assumption!$E$97)</f>
        <v>1531.229508</v>
      </c>
      <c r="CN44" s="158" t="n">
        <f aca="false">(CN21+CN22)*(Assumption!$E$96+Assumption!$E$97)</f>
        <v>1531.229508</v>
      </c>
      <c r="CO44" s="158" t="n">
        <f aca="false">(CO21+CO22)*(Assumption!$E$96+Assumption!$E$97)</f>
        <v>1531.229508</v>
      </c>
      <c r="CP44" s="158" t="n">
        <f aca="false">(CP21+CP22)*(Assumption!$E$96+Assumption!$E$97)</f>
        <v>1531.229508</v>
      </c>
      <c r="CQ44" s="158" t="n">
        <f aca="false">(CQ21+CQ22)*(Assumption!$E$96+Assumption!$E$97)</f>
        <v>1531.229508</v>
      </c>
      <c r="CR44" s="158" t="n">
        <f aca="false">(CR21+CR22)*(Assumption!$E$96+Assumption!$E$97)</f>
        <v>1531.229508</v>
      </c>
      <c r="CS44" s="158" t="n">
        <f aca="false">(CS21+CS22)*(Assumption!$E$96+Assumption!$E$97)</f>
        <v>1531.229508</v>
      </c>
      <c r="CT44" s="158" t="n">
        <f aca="false">(CT21+CT22)*(Assumption!$E$96+Assumption!$E$97)</f>
        <v>1531.229508</v>
      </c>
      <c r="CU44" s="158" t="n">
        <f aca="false">(CU21+CU22)*(Assumption!$E$96+Assumption!$E$97)</f>
        <v>1531.229508</v>
      </c>
      <c r="CV44" s="158" t="n">
        <f aca="false">(CV21+CV22)*(Assumption!$E$96+Assumption!$E$97)</f>
        <v>1531.229508</v>
      </c>
      <c r="CW44" s="158" t="n">
        <f aca="false">(CW21+CW22)*(Assumption!$E$96+Assumption!$E$97)</f>
        <v>1561.85409816</v>
      </c>
      <c r="CX44" s="158" t="n">
        <f aca="false">(CX21+CX22)*(Assumption!$E$96+Assumption!$E$97)</f>
        <v>1561.85409816</v>
      </c>
      <c r="CY44" s="158" t="n">
        <f aca="false">(CY21+CY22)*(Assumption!$E$96+Assumption!$E$97)</f>
        <v>1561.85409816</v>
      </c>
      <c r="CZ44" s="158" t="n">
        <f aca="false">(CZ21+CZ22)*(Assumption!$E$96+Assumption!$E$97)</f>
        <v>1561.85409816</v>
      </c>
      <c r="DA44" s="158" t="n">
        <f aca="false">(DA21+DA22)*(Assumption!$E$96+Assumption!$E$97)</f>
        <v>1561.85409816</v>
      </c>
      <c r="DB44" s="158" t="n">
        <f aca="false">(DB21+DB22)*(Assumption!$E$96+Assumption!$E$97)</f>
        <v>1561.85409816</v>
      </c>
      <c r="DC44" s="158" t="n">
        <f aca="false">(DC21+DC22)*(Assumption!$E$96+Assumption!$E$97)</f>
        <v>1561.85409816</v>
      </c>
      <c r="DD44" s="158" t="n">
        <f aca="false">(DD21+DD22)*(Assumption!$E$96+Assumption!$E$97)</f>
        <v>1561.85409816</v>
      </c>
      <c r="DE44" s="158" t="n">
        <f aca="false">(DE21+DE22)*(Assumption!$E$96+Assumption!$E$97)</f>
        <v>1561.85409816</v>
      </c>
      <c r="DF44" s="158" t="n">
        <f aca="false">(DF21+DF22)*(Assumption!$E$96+Assumption!$E$97)</f>
        <v>1561.85409816</v>
      </c>
      <c r="DG44" s="158" t="n">
        <f aca="false">(DG21+DG22)*(Assumption!$E$96+Assumption!$E$97)</f>
        <v>1561.85409816</v>
      </c>
      <c r="DH44" s="158" t="n">
        <f aca="false">(DH21+DH22)*(Assumption!$E$96+Assumption!$E$97)</f>
        <v>1561.85409816</v>
      </c>
      <c r="DI44" s="158" t="n">
        <f aca="false">(DI21+DI22)*(Assumption!$E$96+Assumption!$E$97)</f>
        <v>1593.0911801232</v>
      </c>
      <c r="DJ44" s="158" t="n">
        <f aca="false">(DJ21+DJ22)*(Assumption!$E$96+Assumption!$E$97)</f>
        <v>1593.0911801232</v>
      </c>
      <c r="DK44" s="158" t="n">
        <f aca="false">(DK21+DK22)*(Assumption!$E$96+Assumption!$E$97)</f>
        <v>1593.0911801232</v>
      </c>
      <c r="DL44" s="158" t="n">
        <f aca="false">(DL21+DL22)*(Assumption!$E$96+Assumption!$E$97)</f>
        <v>1593.0911801232</v>
      </c>
      <c r="DM44" s="158" t="n">
        <f aca="false">(DM21+DM22)*(Assumption!$E$96+Assumption!$E$97)</f>
        <v>1593.0911801232</v>
      </c>
      <c r="DN44" s="158" t="n">
        <f aca="false">(DN21+DN22)*(Assumption!$E$96+Assumption!$E$97)</f>
        <v>1593.0911801232</v>
      </c>
      <c r="DO44" s="158" t="n">
        <f aca="false">(DO21+DO22)*(Assumption!$E$96+Assumption!$E$97)</f>
        <v>1593.0911801232</v>
      </c>
      <c r="DP44" s="158" t="n">
        <f aca="false">(DP21+DP22)*(Assumption!$E$96+Assumption!$E$97)</f>
        <v>1593.0911801232</v>
      </c>
      <c r="DQ44" s="158" t="n">
        <f aca="false">(DQ21+DQ22)*(Assumption!$E$96+Assumption!$E$97)</f>
        <v>1593.0911801232</v>
      </c>
      <c r="DR44" s="158" t="n">
        <f aca="false">(DR21+DR22)*(Assumption!$E$96+Assumption!$E$97)</f>
        <v>1593.0911801232</v>
      </c>
      <c r="DS44" s="158" t="n">
        <f aca="false">(DS21+DS22)*(Assumption!$E$96+Assumption!$E$97)</f>
        <v>1593.0911801232</v>
      </c>
      <c r="DT44" s="158" t="n">
        <f aca="false">(DT21+DT22)*(Assumption!$E$96+Assumption!$E$97)</f>
        <v>1593.0911801232</v>
      </c>
      <c r="DU44" s="158" t="n">
        <f aca="false">(DU21+DU22)*(Assumption!$E$96+Assumption!$E$97)</f>
        <v>0</v>
      </c>
      <c r="DV44" s="158" t="n">
        <f aca="false">(DV21+DV22)*(Assumption!$E$96+Assumption!$E$97)</f>
        <v>0</v>
      </c>
      <c r="DW44" s="158" t="n">
        <f aca="false">(DW21+DW22)*(Assumption!$E$96+Assumption!$E$97)</f>
        <v>0</v>
      </c>
      <c r="DX44" s="158" t="n">
        <f aca="false">(DX21+DX22)*(Assumption!$E$96+Assumption!$E$97)</f>
        <v>0</v>
      </c>
      <c r="DY44" s="158" t="n">
        <f aca="false">(DY21+DY22)*(Assumption!$E$96+Assumption!$E$97)</f>
        <v>0</v>
      </c>
      <c r="DZ44" s="158" t="n">
        <f aca="false">(DZ21+DZ22)*(Assumption!$E$96+Assumption!$E$97)</f>
        <v>0</v>
      </c>
      <c r="EA44" s="158" t="n">
        <f aca="false">(EA21+EA22)*(Assumption!$E$96+Assumption!$E$97)</f>
        <v>0</v>
      </c>
      <c r="EB44" s="158" t="n">
        <f aca="false">(EB21+EB22)*(Assumption!$E$96+Assumption!$E$97)</f>
        <v>0</v>
      </c>
      <c r="EC44" s="158" t="n">
        <f aca="false">(EC21+EC22)*(Assumption!$E$96+Assumption!$E$97)</f>
        <v>0</v>
      </c>
      <c r="ED44" s="158" t="n">
        <f aca="false">(ED21+ED22)*(Assumption!$E$96+Assumption!$E$97)</f>
        <v>0</v>
      </c>
      <c r="EE44" s="158" t="n">
        <f aca="false">(EE21+EE22)*(Assumption!$E$96+Assumption!$E$97)</f>
        <v>0</v>
      </c>
      <c r="EF44" s="158" t="n">
        <f aca="false">(EF21+EF22)*(Assumption!$E$96+Assumption!$E$97)</f>
        <v>0</v>
      </c>
    </row>
    <row r="45" customFormat="false" ht="15" hidden="false" customHeight="false" outlineLevel="0" collapsed="false">
      <c r="A45" s="35" t="s">
        <v>510</v>
      </c>
      <c r="B45" s="241" t="s">
        <v>116</v>
      </c>
      <c r="C45" s="242" t="n">
        <f aca="false">SUM(E45:EF45)</f>
        <v>127835.093697936</v>
      </c>
      <c r="E45" s="158" t="n">
        <f aca="false">(E24+E25)*(Assumption!$E$126+Assumption!$E$127)</f>
        <v>0</v>
      </c>
      <c r="F45" s="158" t="n">
        <f aca="false">(F24+F25)*(Assumption!$E$126+Assumption!$E$127)</f>
        <v>0</v>
      </c>
      <c r="G45" s="158" t="n">
        <f aca="false">(G24+G25)*(Assumption!$E$126+Assumption!$E$127)</f>
        <v>0</v>
      </c>
      <c r="H45" s="158" t="n">
        <f aca="false">(H24+H25)*(Assumption!$E$126+Assumption!$E$127)</f>
        <v>0</v>
      </c>
      <c r="I45" s="158" t="n">
        <f aca="false">(I24+I25)*(Assumption!$E$126+Assumption!$E$127)</f>
        <v>0</v>
      </c>
      <c r="J45" s="158" t="n">
        <f aca="false">(J24+J25)*(Assumption!$E$126+Assumption!$E$127)</f>
        <v>0</v>
      </c>
      <c r="K45" s="158" t="n">
        <f aca="false">(K24+K25)*(Assumption!$E$126+Assumption!$E$127)</f>
        <v>0</v>
      </c>
      <c r="L45" s="158" t="n">
        <f aca="false">(L24+L25)*(Assumption!$E$126+Assumption!$E$127)</f>
        <v>0</v>
      </c>
      <c r="M45" s="158" t="n">
        <f aca="false">(M24+M25)*(Assumption!$E$126+Assumption!$E$127)</f>
        <v>0</v>
      </c>
      <c r="N45" s="158" t="n">
        <f aca="false">(N24+N25)*(Assumption!$E$126+Assumption!$E$127)</f>
        <v>0</v>
      </c>
      <c r="O45" s="158" t="n">
        <f aca="false">(O24+O25)*(Assumption!$E$126+Assumption!$E$127)</f>
        <v>0</v>
      </c>
      <c r="P45" s="158" t="n">
        <f aca="false">(P24+P25)*(Assumption!$E$126+Assumption!$E$127)</f>
        <v>0</v>
      </c>
      <c r="Q45" s="158" t="n">
        <f aca="false">(Q24+Q25)*(Assumption!$E$126+Assumption!$E$127)</f>
        <v>0</v>
      </c>
      <c r="R45" s="158" t="n">
        <f aca="false">(R24+R25)*(Assumption!$E$126+Assumption!$E$127)</f>
        <v>0</v>
      </c>
      <c r="S45" s="158" t="n">
        <f aca="false">(S24+S25)*(Assumption!$E$126+Assumption!$E$127)</f>
        <v>0</v>
      </c>
      <c r="T45" s="158" t="n">
        <f aca="false">(T24+T25)*(Assumption!$E$126+Assumption!$E$127)</f>
        <v>0</v>
      </c>
      <c r="U45" s="158" t="n">
        <f aca="false">(U24+U25)*(Assumption!$E$126+Assumption!$E$127)</f>
        <v>0</v>
      </c>
      <c r="V45" s="158" t="n">
        <f aca="false">(V24+V25)*(Assumption!$E$126+Assumption!$E$127)</f>
        <v>0</v>
      </c>
      <c r="W45" s="158" t="n">
        <f aca="false">(W24+W25)*(Assumption!$E$126+Assumption!$E$127)</f>
        <v>0</v>
      </c>
      <c r="X45" s="158" t="n">
        <f aca="false">(X24+X25)*(Assumption!$E$126+Assumption!$E$127)</f>
        <v>0</v>
      </c>
      <c r="Y45" s="158" t="n">
        <f aca="false">(Y24+Y25)*(Assumption!$E$126+Assumption!$E$127)</f>
        <v>0</v>
      </c>
      <c r="Z45" s="158" t="n">
        <f aca="false">(Z24+Z25)*(Assumption!$E$126+Assumption!$E$127)</f>
        <v>0</v>
      </c>
      <c r="AA45" s="158" t="n">
        <f aca="false">(AA24+AA25)*(Assumption!$E$126+Assumption!$E$127)</f>
        <v>0</v>
      </c>
      <c r="AB45" s="158" t="n">
        <f aca="false">(AB24+AB25)*(Assumption!$E$126+Assumption!$E$127)</f>
        <v>0</v>
      </c>
      <c r="AC45" s="158" t="n">
        <f aca="false">(AC24+AC25)*(Assumption!$E$126+Assumption!$E$127)</f>
        <v>0</v>
      </c>
      <c r="AD45" s="158" t="n">
        <f aca="false">(AD24+AD25)*(Assumption!$E$126+Assumption!$E$127)</f>
        <v>0</v>
      </c>
      <c r="AE45" s="158" t="n">
        <f aca="false">(AE24+AE25)*(Assumption!$E$126+Assumption!$E$127)</f>
        <v>0</v>
      </c>
      <c r="AF45" s="158" t="n">
        <f aca="false">(AF24+AF25)*(Assumption!$E$126+Assumption!$E$127)</f>
        <v>0</v>
      </c>
      <c r="AG45" s="158" t="n">
        <f aca="false">(AG24+AG25)*(Assumption!$E$126+Assumption!$E$127)</f>
        <v>0</v>
      </c>
      <c r="AH45" s="158" t="n">
        <f aca="false">(AH24+AH25)*(Assumption!$E$126+Assumption!$E$127)</f>
        <v>0</v>
      </c>
      <c r="AI45" s="158" t="n">
        <f aca="false">(AI24+AI25)*(Assumption!$E$126+Assumption!$E$127)</f>
        <v>0</v>
      </c>
      <c r="AJ45" s="158" t="n">
        <f aca="false">(AJ24+AJ25)*(Assumption!$E$126+Assumption!$E$127)</f>
        <v>0</v>
      </c>
      <c r="AK45" s="158" t="n">
        <f aca="false">(AK24+AK25)*(Assumption!$E$126+Assumption!$E$127)</f>
        <v>0</v>
      </c>
      <c r="AL45" s="158" t="n">
        <f aca="false">(AL24+AL25)*(Assumption!$E$126+Assumption!$E$127)</f>
        <v>0</v>
      </c>
      <c r="AM45" s="158" t="n">
        <f aca="false">(AM24+AM25)*(Assumption!$E$126+Assumption!$E$127)</f>
        <v>0</v>
      </c>
      <c r="AN45" s="158" t="n">
        <f aca="false">(AN24+AN25)*(Assumption!$E$126+Assumption!$E$127)</f>
        <v>0</v>
      </c>
      <c r="AO45" s="158" t="n">
        <f aca="false">(AO24+AO25)*(Assumption!$E$126+Assumption!$E$127)</f>
        <v>0</v>
      </c>
      <c r="AP45" s="158" t="n">
        <f aca="false">(AP24+AP25)*(Assumption!$E$126+Assumption!$E$127)</f>
        <v>0</v>
      </c>
      <c r="AQ45" s="158" t="n">
        <f aca="false">(AQ24+AQ25)*(Assumption!$E$126+Assumption!$E$127)</f>
        <v>0</v>
      </c>
      <c r="AR45" s="158" t="n">
        <f aca="false">(AR24+AR25)*(Assumption!$E$126+Assumption!$E$127)</f>
        <v>0</v>
      </c>
      <c r="AS45" s="158" t="n">
        <f aca="false">(AS24+AS25)*(Assumption!$E$126+Assumption!$E$127)</f>
        <v>0</v>
      </c>
      <c r="AT45" s="158" t="n">
        <f aca="false">(AT24+AT25)*(Assumption!$E$126+Assumption!$E$127)</f>
        <v>0</v>
      </c>
      <c r="AU45" s="158" t="n">
        <f aca="false">(AU24+AU25)*(Assumption!$E$126+Assumption!$E$127)</f>
        <v>0</v>
      </c>
      <c r="AV45" s="158" t="n">
        <f aca="false">(AV24+AV25)*(Assumption!$E$126+Assumption!$E$127)</f>
        <v>0</v>
      </c>
      <c r="AW45" s="158" t="n">
        <f aca="false">(AW24+AW25)*(Assumption!$E$126+Assumption!$E$127)</f>
        <v>0</v>
      </c>
      <c r="AX45" s="158" t="n">
        <f aca="false">(AX24+AX25)*(Assumption!$E$126+Assumption!$E$127)</f>
        <v>0</v>
      </c>
      <c r="AY45" s="158" t="n">
        <f aca="false">(AY24+AY25)*(Assumption!$E$126+Assumption!$E$127)</f>
        <v>0</v>
      </c>
      <c r="AZ45" s="158" t="n">
        <f aca="false">(AZ24+AZ25)*(Assumption!$E$126+Assumption!$E$127)</f>
        <v>0</v>
      </c>
      <c r="BA45" s="158" t="n">
        <f aca="false">(BA24+BA25)*(Assumption!$E$126+Assumption!$E$127)</f>
        <v>0</v>
      </c>
      <c r="BB45" s="158" t="n">
        <f aca="false">(BB24+BB25)*(Assumption!$E$126+Assumption!$E$127)</f>
        <v>0</v>
      </c>
      <c r="BC45" s="158" t="n">
        <f aca="false">(BC24+BC25)*(Assumption!$E$126+Assumption!$E$127)</f>
        <v>0</v>
      </c>
      <c r="BD45" s="158" t="n">
        <f aca="false">(BD24+BD25)*(Assumption!$E$126+Assumption!$E$127)</f>
        <v>0</v>
      </c>
      <c r="BE45" s="158" t="n">
        <f aca="false">(BE24+BE25)*(Assumption!$E$126+Assumption!$E$127)</f>
        <v>0</v>
      </c>
      <c r="BF45" s="158" t="n">
        <f aca="false">(BF24+BF25)*(Assumption!$E$126+Assumption!$E$127)</f>
        <v>0</v>
      </c>
      <c r="BG45" s="158" t="n">
        <f aca="false">(BG24+BG25)*(Assumption!$E$126+Assumption!$E$127)</f>
        <v>0</v>
      </c>
      <c r="BH45" s="158" t="n">
        <f aca="false">(BH24+BH25)*(Assumption!$E$126+Assumption!$E$127)</f>
        <v>0</v>
      </c>
      <c r="BI45" s="158" t="n">
        <f aca="false">(BI24+BI25)*(Assumption!$E$126+Assumption!$E$127)</f>
        <v>0</v>
      </c>
      <c r="BJ45" s="158" t="n">
        <f aca="false">(BJ24+BJ25)*(Assumption!$E$126+Assumption!$E$127)</f>
        <v>0</v>
      </c>
      <c r="BK45" s="158" t="n">
        <f aca="false">(BK24+BK25)*(Assumption!$E$126+Assumption!$E$127)</f>
        <v>0</v>
      </c>
      <c r="BL45" s="158" t="n">
        <f aca="false">(BL24+BL25)*(Assumption!$E$126+Assumption!$E$127)</f>
        <v>0</v>
      </c>
      <c r="BM45" s="158" t="n">
        <f aca="false">(BM24+BM25)*(Assumption!$E$126+Assumption!$E$127)</f>
        <v>1853.72538482444</v>
      </c>
      <c r="BN45" s="158" t="n">
        <f aca="false">(BN24+BN25)*(Assumption!$E$126+Assumption!$E$127)</f>
        <v>1793.92779176559</v>
      </c>
      <c r="BO45" s="158" t="n">
        <f aca="false">(BO24+BO25)*(Assumption!$E$126+Assumption!$E$127)</f>
        <v>1853.72538482444</v>
      </c>
      <c r="BP45" s="158" t="n">
        <f aca="false">(BP24+BP25)*(Assumption!$E$126+Assumption!$E$127)</f>
        <v>1793.92779176559</v>
      </c>
      <c r="BQ45" s="158" t="n">
        <f aca="false">(BQ24+BQ25)*(Assumption!$E$126+Assumption!$E$127)</f>
        <v>1853.72538482444</v>
      </c>
      <c r="BR45" s="158" t="n">
        <f aca="false">(BR24+BR25)*(Assumption!$E$126+Assumption!$E$127)</f>
        <v>1853.72538482444</v>
      </c>
      <c r="BS45" s="158" t="n">
        <f aca="false">(BS24+BS25)*(Assumption!$E$126+Assumption!$E$127)</f>
        <v>1793.92779176559</v>
      </c>
      <c r="BT45" s="158" t="n">
        <f aca="false">(BT24+BT25)*(Assumption!$E$126+Assumption!$E$127)</f>
        <v>1853.72538482444</v>
      </c>
      <c r="BU45" s="158" t="n">
        <f aca="false">(BU24+BU25)*(Assumption!$E$126+Assumption!$E$127)</f>
        <v>1793.92779176559</v>
      </c>
      <c r="BV45" s="158" t="n">
        <f aca="false">(BV24+BV25)*(Assumption!$E$126+Assumption!$E$127)</f>
        <v>1853.72538482444</v>
      </c>
      <c r="BW45" s="158" t="n">
        <f aca="false">(BW24+BW25)*(Assumption!$E$126+Assumption!$E$127)</f>
        <v>1853.72538482444</v>
      </c>
      <c r="BX45" s="158" t="n">
        <f aca="false">(BX24+BX25)*(Assumption!$E$126+Assumption!$E$127)</f>
        <v>1734.13019870674</v>
      </c>
      <c r="BY45" s="158" t="n">
        <f aca="false">(BY24+BY25)*(Assumption!$E$126+Assumption!$E$127)</f>
        <v>2181.692183678</v>
      </c>
      <c r="BZ45" s="158" t="n">
        <f aca="false">(BZ24+BZ25)*(Assumption!$E$126+Assumption!$E$127)</f>
        <v>2111.31501646258</v>
      </c>
      <c r="CA45" s="158" t="n">
        <f aca="false">(CA24+CA25)*(Assumption!$E$126+Assumption!$E$127)</f>
        <v>2181.692183678</v>
      </c>
      <c r="CB45" s="158" t="n">
        <f aca="false">(CB24+CB25)*(Assumption!$E$126+Assumption!$E$127)</f>
        <v>2111.31501646258</v>
      </c>
      <c r="CC45" s="158" t="n">
        <f aca="false">(CC24+CC25)*(Assumption!$E$126+Assumption!$E$127)</f>
        <v>2181.692183678</v>
      </c>
      <c r="CD45" s="158" t="n">
        <f aca="false">(CD24+CD25)*(Assumption!$E$126+Assumption!$E$127)</f>
        <v>2181.692183678</v>
      </c>
      <c r="CE45" s="158" t="n">
        <f aca="false">(CE24+CE25)*(Assumption!$E$126+Assumption!$E$127)</f>
        <v>2111.31501646258</v>
      </c>
      <c r="CF45" s="158" t="n">
        <f aca="false">(CF24+CF25)*(Assumption!$E$126+Assumption!$E$127)</f>
        <v>2181.692183678</v>
      </c>
      <c r="CG45" s="158" t="n">
        <f aca="false">(CG24+CG25)*(Assumption!$E$126+Assumption!$E$127)</f>
        <v>2111.31501646258</v>
      </c>
      <c r="CH45" s="158" t="n">
        <f aca="false">(CH24+CH25)*(Assumption!$E$126+Assumption!$E$127)</f>
        <v>2181.692183678</v>
      </c>
      <c r="CI45" s="158" t="n">
        <f aca="false">(CI24+CI25)*(Assumption!$E$126+Assumption!$E$127)</f>
        <v>2181.692183678</v>
      </c>
      <c r="CJ45" s="158" t="n">
        <f aca="false">(CJ24+CJ25)*(Assumption!$E$126+Assumption!$E$127)</f>
        <v>1970.56068203174</v>
      </c>
      <c r="CK45" s="158" t="n">
        <f aca="false">(CK24+CK25)*(Assumption!$E$126+Assumption!$E$127)</f>
        <v>2225.32602735156</v>
      </c>
      <c r="CL45" s="158" t="n">
        <f aca="false">(CL24+CL25)*(Assumption!$E$126+Assumption!$E$127)</f>
        <v>2153.54131679183</v>
      </c>
      <c r="CM45" s="158" t="n">
        <f aca="false">(CM24+CM25)*(Assumption!$E$126+Assumption!$E$127)</f>
        <v>2225.32602735156</v>
      </c>
      <c r="CN45" s="158" t="n">
        <f aca="false">(CN24+CN25)*(Assumption!$E$126+Assumption!$E$127)</f>
        <v>2153.54131679183</v>
      </c>
      <c r="CO45" s="158" t="n">
        <f aca="false">(CO24+CO25)*(Assumption!$E$126+Assumption!$E$127)</f>
        <v>2225.32602735156</v>
      </c>
      <c r="CP45" s="158" t="n">
        <f aca="false">(CP24+CP25)*(Assumption!$E$126+Assumption!$E$127)</f>
        <v>2225.32602735156</v>
      </c>
      <c r="CQ45" s="158" t="n">
        <f aca="false">(CQ24+CQ25)*(Assumption!$E$126+Assumption!$E$127)</f>
        <v>2153.54131679183</v>
      </c>
      <c r="CR45" s="158" t="n">
        <f aca="false">(CR24+CR25)*(Assumption!$E$126+Assumption!$E$127)</f>
        <v>2225.32602735156</v>
      </c>
      <c r="CS45" s="158" t="n">
        <f aca="false">(CS24+CS25)*(Assumption!$E$126+Assumption!$E$127)</f>
        <v>2153.54131679183</v>
      </c>
      <c r="CT45" s="158" t="n">
        <f aca="false">(CT24+CT25)*(Assumption!$E$126+Assumption!$E$127)</f>
        <v>2225.32602735156</v>
      </c>
      <c r="CU45" s="158" t="n">
        <f aca="false">(CU24+CU25)*(Assumption!$E$126+Assumption!$E$127)</f>
        <v>2225.32602735156</v>
      </c>
      <c r="CV45" s="158" t="n">
        <f aca="false">(CV24+CV25)*(Assumption!$E$126+Assumption!$E$127)</f>
        <v>2009.97189567238</v>
      </c>
      <c r="CW45" s="158" t="n">
        <f aca="false">(CW24+CW25)*(Assumption!$E$126+Assumption!$E$127)</f>
        <v>2269.83254789859</v>
      </c>
      <c r="CX45" s="158" t="n">
        <f aca="false">(CX24+CX25)*(Assumption!$E$126+Assumption!$E$127)</f>
        <v>2196.61214312767</v>
      </c>
      <c r="CY45" s="158" t="n">
        <f aca="false">(CY24+CY25)*(Assumption!$E$126+Assumption!$E$127)</f>
        <v>2269.83254789859</v>
      </c>
      <c r="CZ45" s="158" t="n">
        <f aca="false">(CZ24+CZ25)*(Assumption!$E$126+Assumption!$E$127)</f>
        <v>2196.61214312767</v>
      </c>
      <c r="DA45" s="158" t="n">
        <f aca="false">(DA24+DA25)*(Assumption!$E$126+Assumption!$E$127)</f>
        <v>2269.83254789859</v>
      </c>
      <c r="DB45" s="158" t="n">
        <f aca="false">(DB24+DB25)*(Assumption!$E$126+Assumption!$E$127)</f>
        <v>2269.83254789859</v>
      </c>
      <c r="DC45" s="158" t="n">
        <f aca="false">(DC24+DC25)*(Assumption!$E$126+Assumption!$E$127)</f>
        <v>2196.61214312767</v>
      </c>
      <c r="DD45" s="158" t="n">
        <f aca="false">(DD24+DD25)*(Assumption!$E$126+Assumption!$E$127)</f>
        <v>2269.83254789859</v>
      </c>
      <c r="DE45" s="158" t="n">
        <f aca="false">(DE24+DE25)*(Assumption!$E$126+Assumption!$E$127)</f>
        <v>2196.61214312767</v>
      </c>
      <c r="DF45" s="158" t="n">
        <f aca="false">(DF24+DF25)*(Assumption!$E$126+Assumption!$E$127)</f>
        <v>2269.83254789859</v>
      </c>
      <c r="DG45" s="158" t="n">
        <f aca="false">(DG24+DG25)*(Assumption!$E$126+Assumption!$E$127)</f>
        <v>2269.83254789859</v>
      </c>
      <c r="DH45" s="158" t="n">
        <f aca="false">(DH24+DH25)*(Assumption!$E$126+Assumption!$E$127)</f>
        <v>2050.17133358582</v>
      </c>
      <c r="DI45" s="158" t="n">
        <f aca="false">(DI24+DI25)*(Assumption!$E$126+Assumption!$E$127)</f>
        <v>2315.22919885656</v>
      </c>
      <c r="DJ45" s="158" t="n">
        <f aca="false">(DJ24+DJ25)*(Assumption!$E$126+Assumption!$E$127)</f>
        <v>2240.54438599022</v>
      </c>
      <c r="DK45" s="158" t="n">
        <f aca="false">(DK24+DK25)*(Assumption!$E$126+Assumption!$E$127)</f>
        <v>2315.22919885656</v>
      </c>
      <c r="DL45" s="158" t="n">
        <f aca="false">(DL24+DL25)*(Assumption!$E$126+Assumption!$E$127)</f>
        <v>2240.54438599022</v>
      </c>
      <c r="DM45" s="158" t="n">
        <f aca="false">(DM24+DM25)*(Assumption!$E$126+Assumption!$E$127)</f>
        <v>2315.22919885656</v>
      </c>
      <c r="DN45" s="158" t="n">
        <f aca="false">(DN24+DN25)*(Assumption!$E$126+Assumption!$E$127)</f>
        <v>2315.22919885656</v>
      </c>
      <c r="DO45" s="158" t="n">
        <f aca="false">(DO24+DO25)*(Assumption!$E$126+Assumption!$E$127)</f>
        <v>2240.54438599022</v>
      </c>
      <c r="DP45" s="158" t="n">
        <f aca="false">(DP24+DP25)*(Assumption!$E$126+Assumption!$E$127)</f>
        <v>2315.22919885656</v>
      </c>
      <c r="DQ45" s="158" t="n">
        <f aca="false">(DQ24+DQ25)*(Assumption!$E$126+Assumption!$E$127)</f>
        <v>2240.54438599022</v>
      </c>
      <c r="DR45" s="158" t="n">
        <f aca="false">(DR24+DR25)*(Assumption!$E$126+Assumption!$E$127)</f>
        <v>2315.22919885656</v>
      </c>
      <c r="DS45" s="158" t="n">
        <f aca="false">(DS24+DS25)*(Assumption!$E$126+Assumption!$E$127)</f>
        <v>2315.22919885656</v>
      </c>
      <c r="DT45" s="158" t="n">
        <f aca="false">(DT24+DT25)*(Assumption!$E$126+Assumption!$E$127)</f>
        <v>2165.85957312388</v>
      </c>
      <c r="DU45" s="158" t="n">
        <f aca="false">(DU24+DU25)*(Assumption!$E$126+Assumption!$E$127)</f>
        <v>0</v>
      </c>
      <c r="DV45" s="158" t="n">
        <f aca="false">(DV24+DV25)*(Assumption!$E$126+Assumption!$E$127)</f>
        <v>0</v>
      </c>
      <c r="DW45" s="158" t="n">
        <f aca="false">(DW24+DW25)*(Assumption!$E$126+Assumption!$E$127)</f>
        <v>0</v>
      </c>
      <c r="DX45" s="158" t="n">
        <f aca="false">(DX24+DX25)*(Assumption!$E$126+Assumption!$E$127)</f>
        <v>0</v>
      </c>
      <c r="DY45" s="158" t="n">
        <f aca="false">(DY24+DY25)*(Assumption!$E$126+Assumption!$E$127)</f>
        <v>0</v>
      </c>
      <c r="DZ45" s="158" t="n">
        <f aca="false">(DZ24+DZ25)*(Assumption!$E$126+Assumption!$E$127)</f>
        <v>0</v>
      </c>
      <c r="EA45" s="158" t="n">
        <f aca="false">(EA24+EA25)*(Assumption!$E$126+Assumption!$E$127)</f>
        <v>0</v>
      </c>
      <c r="EB45" s="158" t="n">
        <f aca="false">(EB24+EB25)*(Assumption!$E$126+Assumption!$E$127)</f>
        <v>0</v>
      </c>
      <c r="EC45" s="158" t="n">
        <f aca="false">(EC24+EC25)*(Assumption!$E$126+Assumption!$E$127)</f>
        <v>0</v>
      </c>
      <c r="ED45" s="158" t="n">
        <f aca="false">(ED24+ED25)*(Assumption!$E$126+Assumption!$E$127)</f>
        <v>0</v>
      </c>
      <c r="EE45" s="158" t="n">
        <f aca="false">(EE24+EE25)*(Assumption!$E$126+Assumption!$E$127)</f>
        <v>0</v>
      </c>
      <c r="EF45" s="158" t="n">
        <f aca="false">(EF24+EF25)*(Assumption!$E$126+Assumption!$E$127)</f>
        <v>0</v>
      </c>
    </row>
    <row r="46" customFormat="false" ht="15" hidden="false" customHeight="false" outlineLevel="0" collapsed="false">
      <c r="A46" s="35" t="s">
        <v>511</v>
      </c>
      <c r="B46" s="241" t="s">
        <v>116</v>
      </c>
      <c r="C46" s="242" t="n">
        <f aca="false">SUM(E46:EF46)</f>
        <v>26573.0577174262</v>
      </c>
      <c r="E46" s="158" t="n">
        <f aca="false">E26*Assumption!$E$131</f>
        <v>0</v>
      </c>
      <c r="F46" s="158" t="n">
        <f aca="false">F26*Assumption!$E$131</f>
        <v>0</v>
      </c>
      <c r="G46" s="158" t="n">
        <f aca="false">G26*Assumption!$E$131</f>
        <v>0</v>
      </c>
      <c r="H46" s="158" t="n">
        <f aca="false">H26*Assumption!$E$131</f>
        <v>0</v>
      </c>
      <c r="I46" s="158" t="n">
        <f aca="false">I26*Assumption!$E$131</f>
        <v>0</v>
      </c>
      <c r="J46" s="158" t="n">
        <f aca="false">J26*Assumption!$E$131</f>
        <v>0</v>
      </c>
      <c r="K46" s="158" t="n">
        <f aca="false">K26*Assumption!$E$131</f>
        <v>0</v>
      </c>
      <c r="L46" s="158" t="n">
        <f aca="false">L26*Assumption!$E$131</f>
        <v>0</v>
      </c>
      <c r="M46" s="158" t="n">
        <f aca="false">M26*Assumption!$E$131</f>
        <v>0</v>
      </c>
      <c r="N46" s="158" t="n">
        <f aca="false">N26*Assumption!$E$131</f>
        <v>0</v>
      </c>
      <c r="O46" s="158" t="n">
        <f aca="false">O26*Assumption!$E$131</f>
        <v>0</v>
      </c>
      <c r="P46" s="158" t="n">
        <f aca="false">P26*Assumption!$E$131</f>
        <v>0</v>
      </c>
      <c r="Q46" s="158" t="n">
        <f aca="false">Q26*Assumption!$E$131</f>
        <v>0</v>
      </c>
      <c r="R46" s="158" t="n">
        <f aca="false">R26*Assumption!$E$131</f>
        <v>0</v>
      </c>
      <c r="S46" s="158" t="n">
        <f aca="false">S26*Assumption!$E$131</f>
        <v>0</v>
      </c>
      <c r="T46" s="158" t="n">
        <f aca="false">T26*Assumption!$E$131</f>
        <v>0</v>
      </c>
      <c r="U46" s="158" t="n">
        <f aca="false">U26*Assumption!$E$131</f>
        <v>0</v>
      </c>
      <c r="V46" s="158" t="n">
        <f aca="false">V26*Assumption!$E$131</f>
        <v>0</v>
      </c>
      <c r="W46" s="158" t="n">
        <f aca="false">W26*Assumption!$E$131</f>
        <v>0</v>
      </c>
      <c r="X46" s="158" t="n">
        <f aca="false">X26*Assumption!$E$131</f>
        <v>0</v>
      </c>
      <c r="Y46" s="158" t="n">
        <f aca="false">Y26*Assumption!$E$131</f>
        <v>0</v>
      </c>
      <c r="Z46" s="158" t="n">
        <f aca="false">Z26*Assumption!$E$131</f>
        <v>0</v>
      </c>
      <c r="AA46" s="158" t="n">
        <f aca="false">AA26*Assumption!$E$131</f>
        <v>0</v>
      </c>
      <c r="AB46" s="158" t="n">
        <f aca="false">AB26*Assumption!$E$131</f>
        <v>0</v>
      </c>
      <c r="AC46" s="158" t="n">
        <f aca="false">AC26*Assumption!$E$131</f>
        <v>0</v>
      </c>
      <c r="AD46" s="158" t="n">
        <f aca="false">AD26*Assumption!$E$131</f>
        <v>0</v>
      </c>
      <c r="AE46" s="158" t="n">
        <f aca="false">AE26*Assumption!$E$131</f>
        <v>0</v>
      </c>
      <c r="AF46" s="158" t="n">
        <f aca="false">AF26*Assumption!$E$131</f>
        <v>0</v>
      </c>
      <c r="AG46" s="158" t="n">
        <f aca="false">AG26*Assumption!$E$131</f>
        <v>0</v>
      </c>
      <c r="AH46" s="158" t="n">
        <f aca="false">AH26*Assumption!$E$131</f>
        <v>0</v>
      </c>
      <c r="AI46" s="158" t="n">
        <f aca="false">AI26*Assumption!$E$131</f>
        <v>0</v>
      </c>
      <c r="AJ46" s="158" t="n">
        <f aca="false">AJ26*Assumption!$E$131</f>
        <v>0</v>
      </c>
      <c r="AK46" s="158" t="n">
        <f aca="false">AK26*Assumption!$E$131</f>
        <v>0</v>
      </c>
      <c r="AL46" s="158" t="n">
        <f aca="false">AL26*Assumption!$E$131</f>
        <v>0</v>
      </c>
      <c r="AM46" s="158" t="n">
        <f aca="false">AM26*Assumption!$E$131</f>
        <v>0</v>
      </c>
      <c r="AN46" s="158" t="n">
        <f aca="false">AN26*Assumption!$E$131</f>
        <v>0</v>
      </c>
      <c r="AO46" s="158" t="n">
        <f aca="false">AO26*Assumption!$E$131</f>
        <v>0</v>
      </c>
      <c r="AP46" s="158" t="n">
        <f aca="false">AP26*Assumption!$E$131</f>
        <v>0</v>
      </c>
      <c r="AQ46" s="158" t="n">
        <f aca="false">AQ26*Assumption!$E$131</f>
        <v>0</v>
      </c>
      <c r="AR46" s="158" t="n">
        <f aca="false">AR26*Assumption!$E$131</f>
        <v>0</v>
      </c>
      <c r="AS46" s="158" t="n">
        <f aca="false">AS26*Assumption!$E$131</f>
        <v>0</v>
      </c>
      <c r="AT46" s="158" t="n">
        <f aca="false">AT26*Assumption!$E$131</f>
        <v>0</v>
      </c>
      <c r="AU46" s="158" t="n">
        <f aca="false">AU26*Assumption!$E$131</f>
        <v>0</v>
      </c>
      <c r="AV46" s="158" t="n">
        <f aca="false">AV26*Assumption!$E$131</f>
        <v>0</v>
      </c>
      <c r="AW46" s="158" t="n">
        <f aca="false">AW26*Assumption!$E$131</f>
        <v>0</v>
      </c>
      <c r="AX46" s="158" t="n">
        <f aca="false">AX26*Assumption!$E$131</f>
        <v>0</v>
      </c>
      <c r="AY46" s="158" t="n">
        <f aca="false">AY26*Assumption!$E$131</f>
        <v>0</v>
      </c>
      <c r="AZ46" s="158" t="n">
        <f aca="false">AZ26*Assumption!$E$131</f>
        <v>0</v>
      </c>
      <c r="BA46" s="158" t="n">
        <f aca="false">BA26*Assumption!$E$131</f>
        <v>0</v>
      </c>
      <c r="BB46" s="158" t="n">
        <f aca="false">BB26*Assumption!$E$131</f>
        <v>0</v>
      </c>
      <c r="BC46" s="158" t="n">
        <f aca="false">BC26*Assumption!$E$131</f>
        <v>0</v>
      </c>
      <c r="BD46" s="158" t="n">
        <f aca="false">BD26*Assumption!$E$131</f>
        <v>0</v>
      </c>
      <c r="BE46" s="158" t="n">
        <f aca="false">BE26*Assumption!$E$131</f>
        <v>0</v>
      </c>
      <c r="BF46" s="158" t="n">
        <f aca="false">BF26*Assumption!$E$131</f>
        <v>0</v>
      </c>
      <c r="BG46" s="158" t="n">
        <f aca="false">BG26*Assumption!$E$131</f>
        <v>0</v>
      </c>
      <c r="BH46" s="158" t="n">
        <f aca="false">BH26*Assumption!$E$131</f>
        <v>0</v>
      </c>
      <c r="BI46" s="158" t="n">
        <f aca="false">BI26*Assumption!$E$131</f>
        <v>0</v>
      </c>
      <c r="BJ46" s="158" t="n">
        <f aca="false">BJ26*Assumption!$E$131</f>
        <v>0</v>
      </c>
      <c r="BK46" s="158" t="n">
        <f aca="false">BK26*Assumption!$E$131</f>
        <v>0</v>
      </c>
      <c r="BL46" s="158" t="n">
        <f aca="false">BL26*Assumption!$E$131</f>
        <v>0</v>
      </c>
      <c r="BM46" s="158" t="n">
        <f aca="false">BM26*Assumption!$E$131</f>
        <v>385.333559183625</v>
      </c>
      <c r="BN46" s="158" t="n">
        <f aca="false">BN26*Assumption!$E$131</f>
        <v>372.90344437125</v>
      </c>
      <c r="BO46" s="158" t="n">
        <f aca="false">BO26*Assumption!$E$131</f>
        <v>385.333559183625</v>
      </c>
      <c r="BP46" s="158" t="n">
        <f aca="false">BP26*Assumption!$E$131</f>
        <v>372.90344437125</v>
      </c>
      <c r="BQ46" s="158" t="n">
        <f aca="false">BQ26*Assumption!$E$131</f>
        <v>385.333559183625</v>
      </c>
      <c r="BR46" s="158" t="n">
        <f aca="false">BR26*Assumption!$E$131</f>
        <v>385.333559183625</v>
      </c>
      <c r="BS46" s="158" t="n">
        <f aca="false">BS26*Assumption!$E$131</f>
        <v>372.90344437125</v>
      </c>
      <c r="BT46" s="158" t="n">
        <f aca="false">BT26*Assumption!$E$131</f>
        <v>385.333559183625</v>
      </c>
      <c r="BU46" s="158" t="n">
        <f aca="false">BU26*Assumption!$E$131</f>
        <v>372.90344437125</v>
      </c>
      <c r="BV46" s="158" t="n">
        <f aca="false">BV26*Assumption!$E$131</f>
        <v>385.333559183625</v>
      </c>
      <c r="BW46" s="158" t="n">
        <f aca="false">BW26*Assumption!$E$131</f>
        <v>385.333559183625</v>
      </c>
      <c r="BX46" s="158" t="n">
        <f aca="false">BX26*Assumption!$E$131</f>
        <v>360.473329558875</v>
      </c>
      <c r="BY46" s="158" t="n">
        <f aca="false">BY26*Assumption!$E$131</f>
        <v>453.507958116113</v>
      </c>
      <c r="BZ46" s="158" t="n">
        <f aca="false">BZ26*Assumption!$E$131</f>
        <v>438.878669144625</v>
      </c>
      <c r="CA46" s="158" t="n">
        <f aca="false">CA26*Assumption!$E$131</f>
        <v>453.507958116113</v>
      </c>
      <c r="CB46" s="158" t="n">
        <f aca="false">CB26*Assumption!$E$131</f>
        <v>438.878669144625</v>
      </c>
      <c r="CC46" s="158" t="n">
        <f aca="false">CC26*Assumption!$E$131</f>
        <v>453.507958116113</v>
      </c>
      <c r="CD46" s="158" t="n">
        <f aca="false">CD26*Assumption!$E$131</f>
        <v>453.507958116113</v>
      </c>
      <c r="CE46" s="158" t="n">
        <f aca="false">CE26*Assumption!$E$131</f>
        <v>438.878669144625</v>
      </c>
      <c r="CF46" s="158" t="n">
        <f aca="false">CF26*Assumption!$E$131</f>
        <v>453.507958116113</v>
      </c>
      <c r="CG46" s="158" t="n">
        <f aca="false">CG26*Assumption!$E$131</f>
        <v>438.878669144625</v>
      </c>
      <c r="CH46" s="158" t="n">
        <f aca="false">CH26*Assumption!$E$131</f>
        <v>453.507958116113</v>
      </c>
      <c r="CI46" s="158" t="n">
        <f aca="false">CI26*Assumption!$E$131</f>
        <v>453.507958116113</v>
      </c>
      <c r="CJ46" s="158" t="n">
        <f aca="false">CJ26*Assumption!$E$131</f>
        <v>409.62009120165</v>
      </c>
      <c r="CK46" s="158" t="n">
        <f aca="false">CK26*Assumption!$E$131</f>
        <v>462.578117278435</v>
      </c>
      <c r="CL46" s="158" t="n">
        <f aca="false">CL26*Assumption!$E$131</f>
        <v>447.656242527518</v>
      </c>
      <c r="CM46" s="158" t="n">
        <f aca="false">CM26*Assumption!$E$131</f>
        <v>462.578117278435</v>
      </c>
      <c r="CN46" s="158" t="n">
        <f aca="false">CN26*Assumption!$E$131</f>
        <v>447.656242527518</v>
      </c>
      <c r="CO46" s="158" t="n">
        <f aca="false">CO26*Assumption!$E$131</f>
        <v>462.578117278435</v>
      </c>
      <c r="CP46" s="158" t="n">
        <f aca="false">CP26*Assumption!$E$131</f>
        <v>462.578117278435</v>
      </c>
      <c r="CQ46" s="158" t="n">
        <f aca="false">CQ26*Assumption!$E$131</f>
        <v>447.656242527518</v>
      </c>
      <c r="CR46" s="158" t="n">
        <f aca="false">CR26*Assumption!$E$131</f>
        <v>462.578117278435</v>
      </c>
      <c r="CS46" s="158" t="n">
        <f aca="false">CS26*Assumption!$E$131</f>
        <v>447.656242527518</v>
      </c>
      <c r="CT46" s="158" t="n">
        <f aca="false">CT26*Assumption!$E$131</f>
        <v>462.578117278435</v>
      </c>
      <c r="CU46" s="158" t="n">
        <f aca="false">CU26*Assumption!$E$131</f>
        <v>462.578117278435</v>
      </c>
      <c r="CV46" s="158" t="n">
        <f aca="false">CV26*Assumption!$E$131</f>
        <v>417.812493025683</v>
      </c>
      <c r="CW46" s="158" t="n">
        <f aca="false">CW26*Assumption!$E$131</f>
        <v>471.829679624004</v>
      </c>
      <c r="CX46" s="158" t="n">
        <f aca="false">CX26*Assumption!$E$131</f>
        <v>456.609367378068</v>
      </c>
      <c r="CY46" s="158" t="n">
        <f aca="false">CY26*Assumption!$E$131</f>
        <v>471.829679624004</v>
      </c>
      <c r="CZ46" s="158" t="n">
        <f aca="false">CZ26*Assumption!$E$131</f>
        <v>456.609367378068</v>
      </c>
      <c r="DA46" s="158" t="n">
        <f aca="false">DA26*Assumption!$E$131</f>
        <v>471.829679624004</v>
      </c>
      <c r="DB46" s="158" t="n">
        <f aca="false">DB26*Assumption!$E$131</f>
        <v>471.829679624004</v>
      </c>
      <c r="DC46" s="158" t="n">
        <f aca="false">DC26*Assumption!$E$131</f>
        <v>456.609367378068</v>
      </c>
      <c r="DD46" s="158" t="n">
        <f aca="false">DD26*Assumption!$E$131</f>
        <v>471.829679624004</v>
      </c>
      <c r="DE46" s="158" t="n">
        <f aca="false">DE26*Assumption!$E$131</f>
        <v>456.609367378068</v>
      </c>
      <c r="DF46" s="158" t="n">
        <f aca="false">DF26*Assumption!$E$131</f>
        <v>471.829679624004</v>
      </c>
      <c r="DG46" s="158" t="n">
        <f aca="false">DG26*Assumption!$E$131</f>
        <v>471.829679624004</v>
      </c>
      <c r="DH46" s="158" t="n">
        <f aca="false">DH26*Assumption!$E$131</f>
        <v>426.168742886197</v>
      </c>
      <c r="DI46" s="158" t="n">
        <f aca="false">DI26*Assumption!$E$131</f>
        <v>481.266273216483</v>
      </c>
      <c r="DJ46" s="158" t="n">
        <f aca="false">DJ26*Assumption!$E$131</f>
        <v>465.741554725629</v>
      </c>
      <c r="DK46" s="158" t="n">
        <f aca="false">DK26*Assumption!$E$131</f>
        <v>481.266273216483</v>
      </c>
      <c r="DL46" s="158" t="n">
        <f aca="false">DL26*Assumption!$E$131</f>
        <v>465.741554725629</v>
      </c>
      <c r="DM46" s="158" t="n">
        <f aca="false">DM26*Assumption!$E$131</f>
        <v>481.266273216483</v>
      </c>
      <c r="DN46" s="158" t="n">
        <f aca="false">DN26*Assumption!$E$131</f>
        <v>481.266273216483</v>
      </c>
      <c r="DO46" s="158" t="n">
        <f aca="false">DO26*Assumption!$E$131</f>
        <v>465.741554725629</v>
      </c>
      <c r="DP46" s="158" t="n">
        <f aca="false">DP26*Assumption!$E$131</f>
        <v>481.266273216483</v>
      </c>
      <c r="DQ46" s="158" t="n">
        <f aca="false">DQ26*Assumption!$E$131</f>
        <v>465.741554725629</v>
      </c>
      <c r="DR46" s="158" t="n">
        <f aca="false">DR26*Assumption!$E$131</f>
        <v>481.266273216483</v>
      </c>
      <c r="DS46" s="158" t="n">
        <f aca="false">DS26*Assumption!$E$131</f>
        <v>481.266273216483</v>
      </c>
      <c r="DT46" s="158" t="n">
        <f aca="false">DT26*Assumption!$E$131</f>
        <v>450.216836234775</v>
      </c>
      <c r="DU46" s="158" t="n">
        <f aca="false">DU26*Assumption!$E$131</f>
        <v>0</v>
      </c>
      <c r="DV46" s="158" t="n">
        <f aca="false">DV26*Assumption!$E$131</f>
        <v>0</v>
      </c>
      <c r="DW46" s="158" t="n">
        <f aca="false">DW26*Assumption!$E$131</f>
        <v>0</v>
      </c>
      <c r="DX46" s="158" t="n">
        <f aca="false">DX26*Assumption!$E$131</f>
        <v>0</v>
      </c>
      <c r="DY46" s="158" t="n">
        <f aca="false">DY26*Assumption!$E$131</f>
        <v>0</v>
      </c>
      <c r="DZ46" s="158" t="n">
        <f aca="false">DZ26*Assumption!$E$131</f>
        <v>0</v>
      </c>
      <c r="EA46" s="158" t="n">
        <f aca="false">EA26*Assumption!$E$131</f>
        <v>0</v>
      </c>
      <c r="EB46" s="158" t="n">
        <f aca="false">EB26*Assumption!$E$131</f>
        <v>0</v>
      </c>
      <c r="EC46" s="158" t="n">
        <f aca="false">EC26*Assumption!$E$131</f>
        <v>0</v>
      </c>
      <c r="ED46" s="158" t="n">
        <f aca="false">ED26*Assumption!$E$131</f>
        <v>0</v>
      </c>
      <c r="EE46" s="158" t="n">
        <f aca="false">EE26*Assumption!$E$131</f>
        <v>0</v>
      </c>
      <c r="EF46" s="158" t="n">
        <f aca="false">EF26*Assumption!$E$131</f>
        <v>0</v>
      </c>
    </row>
    <row r="47" customFormat="false" ht="15" hidden="false" customHeight="false" outlineLevel="0" collapsed="false">
      <c r="A47" s="35" t="s">
        <v>512</v>
      </c>
      <c r="B47" s="241" t="s">
        <v>116</v>
      </c>
      <c r="C47" s="242" t="n">
        <f aca="false">SUM(E47:EF47)</f>
        <v>255604.302389502</v>
      </c>
      <c r="E47" s="158" t="n">
        <f aca="false">(E27+E28+E29)*(Assumption!$E$151+Assumption!$E$152)</f>
        <v>0</v>
      </c>
      <c r="F47" s="158" t="n">
        <f aca="false">(F27+F28+F29)*(Assumption!$E$151+Assumption!$E$152)</f>
        <v>0</v>
      </c>
      <c r="G47" s="158" t="n">
        <f aca="false">(G27+G28+G29)*(Assumption!$E$151+Assumption!$E$152)</f>
        <v>0</v>
      </c>
      <c r="H47" s="158" t="n">
        <f aca="false">(H27+H28+H29)*(Assumption!$E$151+Assumption!$E$152)</f>
        <v>0</v>
      </c>
      <c r="I47" s="158" t="n">
        <f aca="false">(I27+I28+I29)*(Assumption!$E$151+Assumption!$E$152)</f>
        <v>0</v>
      </c>
      <c r="J47" s="158" t="n">
        <f aca="false">(J27+J28+J29)*(Assumption!$E$151+Assumption!$E$152)</f>
        <v>0</v>
      </c>
      <c r="K47" s="158" t="n">
        <f aca="false">(K27+K28+K29)*(Assumption!$E$151+Assumption!$E$152)</f>
        <v>0</v>
      </c>
      <c r="L47" s="158" t="n">
        <f aca="false">(L27+L28+L29)*(Assumption!$E$151+Assumption!$E$152)</f>
        <v>0</v>
      </c>
      <c r="M47" s="158" t="n">
        <f aca="false">(M27+M28+M29)*(Assumption!$E$151+Assumption!$E$152)</f>
        <v>0</v>
      </c>
      <c r="N47" s="158" t="n">
        <f aca="false">(N27+N28+N29)*(Assumption!$E$151+Assumption!$E$152)</f>
        <v>0</v>
      </c>
      <c r="O47" s="158" t="n">
        <f aca="false">(O27+O28+O29)*(Assumption!$E$151+Assumption!$E$152)</f>
        <v>0</v>
      </c>
      <c r="P47" s="158" t="n">
        <f aca="false">(P27+P28+P29)*(Assumption!$E$151+Assumption!$E$152)</f>
        <v>0</v>
      </c>
      <c r="Q47" s="158" t="n">
        <f aca="false">(Q27+Q28+Q29)*(Assumption!$E$151+Assumption!$E$152)</f>
        <v>0</v>
      </c>
      <c r="R47" s="158" t="n">
        <f aca="false">(R27+R28+R29)*(Assumption!$E$151+Assumption!$E$152)</f>
        <v>0</v>
      </c>
      <c r="S47" s="158" t="n">
        <f aca="false">(S27+S28+S29)*(Assumption!$E$151+Assumption!$E$152)</f>
        <v>0</v>
      </c>
      <c r="T47" s="158" t="n">
        <f aca="false">(T27+T28+T29)*(Assumption!$E$151+Assumption!$E$152)</f>
        <v>0</v>
      </c>
      <c r="U47" s="158" t="n">
        <f aca="false">(U27+U28+U29)*(Assumption!$E$151+Assumption!$E$152)</f>
        <v>0</v>
      </c>
      <c r="V47" s="158" t="n">
        <f aca="false">(V27+V28+V29)*(Assumption!$E$151+Assumption!$E$152)</f>
        <v>0</v>
      </c>
      <c r="W47" s="158" t="n">
        <f aca="false">(W27+W28+W29)*(Assumption!$E$151+Assumption!$E$152)</f>
        <v>0</v>
      </c>
      <c r="X47" s="158" t="n">
        <f aca="false">(X27+X28+X29)*(Assumption!$E$151+Assumption!$E$152)</f>
        <v>0</v>
      </c>
      <c r="Y47" s="158" t="n">
        <f aca="false">(Y27+Y28+Y29)*(Assumption!$E$151+Assumption!$E$152)</f>
        <v>0</v>
      </c>
      <c r="Z47" s="158" t="n">
        <f aca="false">(Z27+Z28+Z29)*(Assumption!$E$151+Assumption!$E$152)</f>
        <v>0</v>
      </c>
      <c r="AA47" s="158" t="n">
        <f aca="false">(AA27+AA28+AA29)*(Assumption!$E$151+Assumption!$E$152)</f>
        <v>0</v>
      </c>
      <c r="AB47" s="158" t="n">
        <f aca="false">(AB27+AB28+AB29)*(Assumption!$E$151+Assumption!$E$152)</f>
        <v>0</v>
      </c>
      <c r="AC47" s="158" t="n">
        <f aca="false">(AC27+AC28+AC29)*(Assumption!$E$151+Assumption!$E$152)</f>
        <v>0</v>
      </c>
      <c r="AD47" s="158" t="n">
        <f aca="false">(AD27+AD28+AD29)*(Assumption!$E$151+Assumption!$E$152)</f>
        <v>0</v>
      </c>
      <c r="AE47" s="158" t="n">
        <f aca="false">(AE27+AE28+AE29)*(Assumption!$E$151+Assumption!$E$152)</f>
        <v>0</v>
      </c>
      <c r="AF47" s="158" t="n">
        <f aca="false">(AF27+AF28+AF29)*(Assumption!$E$151+Assumption!$E$152)</f>
        <v>0</v>
      </c>
      <c r="AG47" s="158" t="n">
        <f aca="false">(AG27+AG28+AG29)*(Assumption!$E$151+Assumption!$E$152)</f>
        <v>0</v>
      </c>
      <c r="AH47" s="158" t="n">
        <f aca="false">(AH27+AH28+AH29)*(Assumption!$E$151+Assumption!$E$152)</f>
        <v>0</v>
      </c>
      <c r="AI47" s="158" t="n">
        <f aca="false">(AI27+AI28+AI29)*(Assumption!$E$151+Assumption!$E$152)</f>
        <v>0</v>
      </c>
      <c r="AJ47" s="158" t="n">
        <f aca="false">(AJ27+AJ28+AJ29)*(Assumption!$E$151+Assumption!$E$152)</f>
        <v>0</v>
      </c>
      <c r="AK47" s="158" t="n">
        <f aca="false">(AK27+AK28+AK29)*(Assumption!$E$151+Assumption!$E$152)</f>
        <v>0</v>
      </c>
      <c r="AL47" s="158" t="n">
        <f aca="false">(AL27+AL28+AL29)*(Assumption!$E$151+Assumption!$E$152)</f>
        <v>0</v>
      </c>
      <c r="AM47" s="158" t="n">
        <f aca="false">(AM27+AM28+AM29)*(Assumption!$E$151+Assumption!$E$152)</f>
        <v>0</v>
      </c>
      <c r="AN47" s="158" t="n">
        <f aca="false">(AN27+AN28+AN29)*(Assumption!$E$151+Assumption!$E$152)</f>
        <v>0</v>
      </c>
      <c r="AO47" s="158" t="n">
        <f aca="false">(AO27+AO28+AO29)*(Assumption!$E$151+Assumption!$E$152)</f>
        <v>0</v>
      </c>
      <c r="AP47" s="158" t="n">
        <f aca="false">(AP27+AP28+AP29)*(Assumption!$E$151+Assumption!$E$152)</f>
        <v>0</v>
      </c>
      <c r="AQ47" s="158" t="n">
        <f aca="false">(AQ27+AQ28+AQ29)*(Assumption!$E$151+Assumption!$E$152)</f>
        <v>0</v>
      </c>
      <c r="AR47" s="158" t="n">
        <f aca="false">(AR27+AR28+AR29)*(Assumption!$E$151+Assumption!$E$152)</f>
        <v>0</v>
      </c>
      <c r="AS47" s="158" t="n">
        <f aca="false">(AS27+AS28+AS29)*(Assumption!$E$151+Assumption!$E$152)</f>
        <v>0</v>
      </c>
      <c r="AT47" s="158" t="n">
        <f aca="false">(AT27+AT28+AT29)*(Assumption!$E$151+Assumption!$E$152)</f>
        <v>0</v>
      </c>
      <c r="AU47" s="158" t="n">
        <f aca="false">(AU27+AU28+AU29)*(Assumption!$E$151+Assumption!$E$152)</f>
        <v>0</v>
      </c>
      <c r="AV47" s="158" t="n">
        <f aca="false">(AV27+AV28+AV29)*(Assumption!$E$151+Assumption!$E$152)</f>
        <v>0</v>
      </c>
      <c r="AW47" s="158" t="n">
        <f aca="false">(AW27+AW28+AW29)*(Assumption!$E$151+Assumption!$E$152)</f>
        <v>0</v>
      </c>
      <c r="AX47" s="158" t="n">
        <f aca="false">(AX27+AX28+AX29)*(Assumption!$E$151+Assumption!$E$152)</f>
        <v>0</v>
      </c>
      <c r="AY47" s="158" t="n">
        <f aca="false">(AY27+AY28+AY29)*(Assumption!$E$151+Assumption!$E$152)</f>
        <v>0</v>
      </c>
      <c r="AZ47" s="158" t="n">
        <f aca="false">(AZ27+AZ28+AZ29)*(Assumption!$E$151+Assumption!$E$152)</f>
        <v>0</v>
      </c>
      <c r="BA47" s="158" t="n">
        <f aca="false">(BA27+BA28+BA29)*(Assumption!$E$151+Assumption!$E$152)</f>
        <v>0</v>
      </c>
      <c r="BB47" s="158" t="n">
        <f aca="false">(BB27+BB28+BB29)*(Assumption!$E$151+Assumption!$E$152)</f>
        <v>0</v>
      </c>
      <c r="BC47" s="158" t="n">
        <f aca="false">(BC27+BC28+BC29)*(Assumption!$E$151+Assumption!$E$152)</f>
        <v>0</v>
      </c>
      <c r="BD47" s="158" t="n">
        <f aca="false">(BD27+BD28+BD29)*(Assumption!$E$151+Assumption!$E$152)</f>
        <v>0</v>
      </c>
      <c r="BE47" s="158" t="n">
        <f aca="false">(BE27+BE28+BE29)*(Assumption!$E$151+Assumption!$E$152)</f>
        <v>0</v>
      </c>
      <c r="BF47" s="158" t="n">
        <f aca="false">(BF27+BF28+BF29)*(Assumption!$E$151+Assumption!$E$152)</f>
        <v>0</v>
      </c>
      <c r="BG47" s="158" t="n">
        <f aca="false">(BG27+BG28+BG29)*(Assumption!$E$151+Assumption!$E$152)</f>
        <v>0</v>
      </c>
      <c r="BH47" s="158" t="n">
        <f aca="false">(BH27+BH28+BH29)*(Assumption!$E$151+Assumption!$E$152)</f>
        <v>0</v>
      </c>
      <c r="BI47" s="158" t="n">
        <f aca="false">(BI27+BI28+BI29)*(Assumption!$E$151+Assumption!$E$152)</f>
        <v>0</v>
      </c>
      <c r="BJ47" s="158" t="n">
        <f aca="false">(BJ27+BJ28+BJ29)*(Assumption!$E$151+Assumption!$E$152)</f>
        <v>0</v>
      </c>
      <c r="BK47" s="158" t="n">
        <f aca="false">(BK27+BK28+BK29)*(Assumption!$E$151+Assumption!$E$152)</f>
        <v>0</v>
      </c>
      <c r="BL47" s="158" t="n">
        <f aca="false">(BL27+BL28+BL29)*(Assumption!$E$151+Assumption!$E$152)</f>
        <v>0</v>
      </c>
      <c r="BM47" s="158" t="n">
        <f aca="false">(BM27+BM28+BM29)*(Assumption!$E$151+Assumption!$E$152)</f>
        <v>3706.495377</v>
      </c>
      <c r="BN47" s="158" t="n">
        <f aca="false">(BN27+BN28+BN29)*(Assumption!$E$151+Assumption!$E$152)</f>
        <v>3586.93101</v>
      </c>
      <c r="BO47" s="158" t="n">
        <f aca="false">(BO27+BO28+BO29)*(Assumption!$E$151+Assumption!$E$152)</f>
        <v>3706.495377</v>
      </c>
      <c r="BP47" s="158" t="n">
        <f aca="false">(BP27+BP28+BP29)*(Assumption!$E$151+Assumption!$E$152)</f>
        <v>3586.93101</v>
      </c>
      <c r="BQ47" s="158" t="n">
        <f aca="false">(BQ27+BQ28+BQ29)*(Assumption!$E$151+Assumption!$E$152)</f>
        <v>3706.495377</v>
      </c>
      <c r="BR47" s="158" t="n">
        <f aca="false">(BR27+BR28+BR29)*(Assumption!$E$151+Assumption!$E$152)</f>
        <v>3706.495377</v>
      </c>
      <c r="BS47" s="158" t="n">
        <f aca="false">(BS27+BS28+BS29)*(Assumption!$E$151+Assumption!$E$152)</f>
        <v>3586.93101</v>
      </c>
      <c r="BT47" s="158" t="n">
        <f aca="false">(BT27+BT28+BT29)*(Assumption!$E$151+Assumption!$E$152)</f>
        <v>3706.495377</v>
      </c>
      <c r="BU47" s="158" t="n">
        <f aca="false">(BU27+BU28+BU29)*(Assumption!$E$151+Assumption!$E$152)</f>
        <v>3586.93101</v>
      </c>
      <c r="BV47" s="158" t="n">
        <f aca="false">(BV27+BV28+BV29)*(Assumption!$E$151+Assumption!$E$152)</f>
        <v>3706.495377</v>
      </c>
      <c r="BW47" s="158" t="n">
        <f aca="false">(BW27+BW28+BW29)*(Assumption!$E$151+Assumption!$E$152)</f>
        <v>3706.495377</v>
      </c>
      <c r="BX47" s="158" t="n">
        <f aca="false">(BX27+BX28+BX29)*(Assumption!$E$151+Assumption!$E$152)</f>
        <v>3467.366643</v>
      </c>
      <c r="BY47" s="158" t="n">
        <f aca="false">(BY27+BY28+BY29)*(Assumption!$E$151+Assumption!$E$152)</f>
        <v>4362.2599437</v>
      </c>
      <c r="BZ47" s="158" t="n">
        <f aca="false">(BZ27+BZ28+BZ29)*(Assumption!$E$151+Assumption!$E$152)</f>
        <v>4221.541881</v>
      </c>
      <c r="CA47" s="158" t="n">
        <f aca="false">(CA27+CA28+CA29)*(Assumption!$E$151+Assumption!$E$152)</f>
        <v>4362.2599437</v>
      </c>
      <c r="CB47" s="158" t="n">
        <f aca="false">(CB27+CB28+CB29)*(Assumption!$E$151+Assumption!$E$152)</f>
        <v>4221.541881</v>
      </c>
      <c r="CC47" s="158" t="n">
        <f aca="false">(CC27+CC28+CC29)*(Assumption!$E$151+Assumption!$E$152)</f>
        <v>4362.2599437</v>
      </c>
      <c r="CD47" s="158" t="n">
        <f aca="false">(CD27+CD28+CD29)*(Assumption!$E$151+Assumption!$E$152)</f>
        <v>4362.2599437</v>
      </c>
      <c r="CE47" s="158" t="n">
        <f aca="false">(CE27+CE28+CE29)*(Assumption!$E$151+Assumption!$E$152)</f>
        <v>4221.541881</v>
      </c>
      <c r="CF47" s="158" t="n">
        <f aca="false">(CF27+CF28+CF29)*(Assumption!$E$151+Assumption!$E$152)</f>
        <v>4362.2599437</v>
      </c>
      <c r="CG47" s="158" t="n">
        <f aca="false">(CG27+CG28+CG29)*(Assumption!$E$151+Assumption!$E$152)</f>
        <v>4221.541881</v>
      </c>
      <c r="CH47" s="158" t="n">
        <f aca="false">(CH27+CH28+CH29)*(Assumption!$E$151+Assumption!$E$152)</f>
        <v>4362.2599437</v>
      </c>
      <c r="CI47" s="158" t="n">
        <f aca="false">(CI27+CI28+CI29)*(Assumption!$E$151+Assumption!$E$152)</f>
        <v>4362.2599437</v>
      </c>
      <c r="CJ47" s="158" t="n">
        <f aca="false">(CJ27+CJ28+CJ29)*(Assumption!$E$151+Assumption!$E$152)</f>
        <v>3940.1057556</v>
      </c>
      <c r="CK47" s="158" t="n">
        <f aca="false">(CK27+CK28+CK29)*(Assumption!$E$151+Assumption!$E$152)</f>
        <v>4449.505142574</v>
      </c>
      <c r="CL47" s="158" t="n">
        <f aca="false">(CL27+CL28+CL29)*(Assumption!$E$151+Assumption!$E$152)</f>
        <v>4305.97271862</v>
      </c>
      <c r="CM47" s="158" t="n">
        <f aca="false">(CM27+CM28+CM29)*(Assumption!$E$151+Assumption!$E$152)</f>
        <v>4449.505142574</v>
      </c>
      <c r="CN47" s="158" t="n">
        <f aca="false">(CN27+CN28+CN29)*(Assumption!$E$151+Assumption!$E$152)</f>
        <v>4305.97271862</v>
      </c>
      <c r="CO47" s="158" t="n">
        <f aca="false">(CO27+CO28+CO29)*(Assumption!$E$151+Assumption!$E$152)</f>
        <v>4449.505142574</v>
      </c>
      <c r="CP47" s="158" t="n">
        <f aca="false">(CP27+CP28+CP29)*(Assumption!$E$151+Assumption!$E$152)</f>
        <v>4449.505142574</v>
      </c>
      <c r="CQ47" s="158" t="n">
        <f aca="false">(CQ27+CQ28+CQ29)*(Assumption!$E$151+Assumption!$E$152)</f>
        <v>4305.97271862</v>
      </c>
      <c r="CR47" s="158" t="n">
        <f aca="false">(CR27+CR28+CR29)*(Assumption!$E$151+Assumption!$E$152)</f>
        <v>4449.505142574</v>
      </c>
      <c r="CS47" s="158" t="n">
        <f aca="false">(CS27+CS28+CS29)*(Assumption!$E$151+Assumption!$E$152)</f>
        <v>4305.97271862</v>
      </c>
      <c r="CT47" s="158" t="n">
        <f aca="false">(CT27+CT28+CT29)*(Assumption!$E$151+Assumption!$E$152)</f>
        <v>4449.505142574</v>
      </c>
      <c r="CU47" s="158" t="n">
        <f aca="false">(CU27+CU28+CU29)*(Assumption!$E$151+Assumption!$E$152)</f>
        <v>4449.505142574</v>
      </c>
      <c r="CV47" s="158" t="n">
        <f aca="false">(CV27+CV28+CV29)*(Assumption!$E$151+Assumption!$E$152)</f>
        <v>4018.907870712</v>
      </c>
      <c r="CW47" s="158" t="n">
        <f aca="false">(CW27+CW28+CW29)*(Assumption!$E$151+Assumption!$E$152)</f>
        <v>4538.49524542548</v>
      </c>
      <c r="CX47" s="158" t="n">
        <f aca="false">(CX27+CX28+CX29)*(Assumption!$E$151+Assumption!$E$152)</f>
        <v>4392.0921729924</v>
      </c>
      <c r="CY47" s="158" t="n">
        <f aca="false">(CY27+CY28+CY29)*(Assumption!$E$151+Assumption!$E$152)</f>
        <v>4538.49524542548</v>
      </c>
      <c r="CZ47" s="158" t="n">
        <f aca="false">(CZ27+CZ28+CZ29)*(Assumption!$E$151+Assumption!$E$152)</f>
        <v>4392.0921729924</v>
      </c>
      <c r="DA47" s="158" t="n">
        <f aca="false">(DA27+DA28+DA29)*(Assumption!$E$151+Assumption!$E$152)</f>
        <v>4538.49524542548</v>
      </c>
      <c r="DB47" s="158" t="n">
        <f aca="false">(DB27+DB28+DB29)*(Assumption!$E$151+Assumption!$E$152)</f>
        <v>4538.49524542548</v>
      </c>
      <c r="DC47" s="158" t="n">
        <f aca="false">(DC27+DC28+DC29)*(Assumption!$E$151+Assumption!$E$152)</f>
        <v>4392.0921729924</v>
      </c>
      <c r="DD47" s="158" t="n">
        <f aca="false">(DD27+DD28+DD29)*(Assumption!$E$151+Assumption!$E$152)</f>
        <v>4538.49524542548</v>
      </c>
      <c r="DE47" s="158" t="n">
        <f aca="false">(DE27+DE28+DE29)*(Assumption!$E$151+Assumption!$E$152)</f>
        <v>4392.0921729924</v>
      </c>
      <c r="DF47" s="158" t="n">
        <f aca="false">(DF27+DF28+DF29)*(Assumption!$E$151+Assumption!$E$152)</f>
        <v>4538.49524542548</v>
      </c>
      <c r="DG47" s="158" t="n">
        <f aca="false">(DG27+DG28+DG29)*(Assumption!$E$151+Assumption!$E$152)</f>
        <v>4538.49524542548</v>
      </c>
      <c r="DH47" s="158" t="n">
        <f aca="false">(DH27+DH28+DH29)*(Assumption!$E$151+Assumption!$E$152)</f>
        <v>4099.28602812624</v>
      </c>
      <c r="DI47" s="158" t="n">
        <f aca="false">(DI27+DI28+DI29)*(Assumption!$E$151+Assumption!$E$152)</f>
        <v>4629.26515033399</v>
      </c>
      <c r="DJ47" s="158" t="n">
        <f aca="false">(DJ27+DJ28+DJ29)*(Assumption!$E$151+Assumption!$E$152)</f>
        <v>4479.93401645225</v>
      </c>
      <c r="DK47" s="158" t="n">
        <f aca="false">(DK27+DK28+DK29)*(Assumption!$E$151+Assumption!$E$152)</f>
        <v>4629.26515033399</v>
      </c>
      <c r="DL47" s="158" t="n">
        <f aca="false">(DL27+DL28+DL29)*(Assumption!$E$151+Assumption!$E$152)</f>
        <v>4479.93401645225</v>
      </c>
      <c r="DM47" s="158" t="n">
        <f aca="false">(DM27+DM28+DM29)*(Assumption!$E$151+Assumption!$E$152)</f>
        <v>4629.26515033399</v>
      </c>
      <c r="DN47" s="158" t="n">
        <f aca="false">(DN27+DN28+DN29)*(Assumption!$E$151+Assumption!$E$152)</f>
        <v>4629.26515033399</v>
      </c>
      <c r="DO47" s="158" t="n">
        <f aca="false">(DO27+DO28+DO29)*(Assumption!$E$151+Assumption!$E$152)</f>
        <v>4479.93401645225</v>
      </c>
      <c r="DP47" s="158" t="n">
        <f aca="false">(DP27+DP28+DP29)*(Assumption!$E$151+Assumption!$E$152)</f>
        <v>4629.26515033399</v>
      </c>
      <c r="DQ47" s="158" t="n">
        <f aca="false">(DQ27+DQ28+DQ29)*(Assumption!$E$151+Assumption!$E$152)</f>
        <v>4479.93401645225</v>
      </c>
      <c r="DR47" s="158" t="n">
        <f aca="false">(DR27+DR28+DR29)*(Assumption!$E$151+Assumption!$E$152)</f>
        <v>4629.26515033399</v>
      </c>
      <c r="DS47" s="158" t="n">
        <f aca="false">(DS27+DS28+DS29)*(Assumption!$E$151+Assumption!$E$152)</f>
        <v>4629.26515033399</v>
      </c>
      <c r="DT47" s="158" t="n">
        <f aca="false">(DT27+DT28+DT29)*(Assumption!$E$151+Assumption!$E$152)</f>
        <v>4330.60288257051</v>
      </c>
      <c r="DU47" s="158" t="n">
        <f aca="false">(DU27+DU28+DU29)*(Assumption!$E$151+Assumption!$E$152)</f>
        <v>0</v>
      </c>
      <c r="DV47" s="158" t="n">
        <f aca="false">(DV27+DV28+DV29)*(Assumption!$E$151+Assumption!$E$152)</f>
        <v>0</v>
      </c>
      <c r="DW47" s="158" t="n">
        <f aca="false">(DW27+DW28+DW29)*(Assumption!$E$151+Assumption!$E$152)</f>
        <v>0</v>
      </c>
      <c r="DX47" s="158" t="n">
        <f aca="false">(DX27+DX28+DX29)*(Assumption!$E$151+Assumption!$E$152)</f>
        <v>0</v>
      </c>
      <c r="DY47" s="158" t="n">
        <f aca="false">(DY27+DY28+DY29)*(Assumption!$E$151+Assumption!$E$152)</f>
        <v>0</v>
      </c>
      <c r="DZ47" s="158" t="n">
        <f aca="false">(DZ27+DZ28+DZ29)*(Assumption!$E$151+Assumption!$E$152)</f>
        <v>0</v>
      </c>
      <c r="EA47" s="158" t="n">
        <f aca="false">(EA27+EA28+EA29)*(Assumption!$E$151+Assumption!$E$152)</f>
        <v>0</v>
      </c>
      <c r="EB47" s="158" t="n">
        <f aca="false">(EB27+EB28+EB29)*(Assumption!$E$151+Assumption!$E$152)</f>
        <v>0</v>
      </c>
      <c r="EC47" s="158" t="n">
        <f aca="false">(EC27+EC28+EC29)*(Assumption!$E$151+Assumption!$E$152)</f>
        <v>0</v>
      </c>
      <c r="ED47" s="158" t="n">
        <f aca="false">(ED27+ED28+ED29)*(Assumption!$E$151+Assumption!$E$152)</f>
        <v>0</v>
      </c>
      <c r="EE47" s="158" t="n">
        <f aca="false">(EE27+EE28+EE29)*(Assumption!$E$151+Assumption!$E$152)</f>
        <v>0</v>
      </c>
      <c r="EF47" s="158" t="n">
        <f aca="false">(EF27+EF28+EF29)*(Assumption!$E$151+Assumption!$E$152)</f>
        <v>0</v>
      </c>
    </row>
    <row r="48" customFormat="false" ht="15" hidden="false" customHeight="false" outlineLevel="0" collapsed="false">
      <c r="A48" s="35" t="s">
        <v>513</v>
      </c>
      <c r="B48" s="241" t="s">
        <v>116</v>
      </c>
      <c r="C48" s="242" t="n">
        <f aca="false">SUM(E48:EF48)</f>
        <v>57853.2665312813</v>
      </c>
      <c r="E48" s="158" t="n">
        <f aca="false">E30*Assumption!$E$161</f>
        <v>0</v>
      </c>
      <c r="F48" s="158" t="n">
        <f aca="false">F30*Assumption!$E$161</f>
        <v>0</v>
      </c>
      <c r="G48" s="158" t="n">
        <f aca="false">G30*Assumption!$E$161</f>
        <v>0</v>
      </c>
      <c r="H48" s="158" t="n">
        <f aca="false">H30*Assumption!$E$161</f>
        <v>0</v>
      </c>
      <c r="I48" s="158" t="n">
        <f aca="false">I30*Assumption!$E$161</f>
        <v>0</v>
      </c>
      <c r="J48" s="158" t="n">
        <f aca="false">J30*Assumption!$E$161</f>
        <v>0</v>
      </c>
      <c r="K48" s="158" t="n">
        <f aca="false">K30*Assumption!$E$161</f>
        <v>0</v>
      </c>
      <c r="L48" s="158" t="n">
        <f aca="false">L30*Assumption!$E$161</f>
        <v>0</v>
      </c>
      <c r="M48" s="158" t="n">
        <f aca="false">M30*Assumption!$E$161</f>
        <v>0</v>
      </c>
      <c r="N48" s="158" t="n">
        <f aca="false">N30*Assumption!$E$161</f>
        <v>0</v>
      </c>
      <c r="O48" s="158" t="n">
        <f aca="false">O30*Assumption!$E$161</f>
        <v>0</v>
      </c>
      <c r="P48" s="158" t="n">
        <f aca="false">P30*Assumption!$E$161</f>
        <v>0</v>
      </c>
      <c r="Q48" s="158" t="n">
        <f aca="false">Q30*Assumption!$E$161</f>
        <v>0</v>
      </c>
      <c r="R48" s="158" t="n">
        <f aca="false">R30*Assumption!$E$161</f>
        <v>0</v>
      </c>
      <c r="S48" s="158" t="n">
        <f aca="false">S30*Assumption!$E$161</f>
        <v>0</v>
      </c>
      <c r="T48" s="158" t="n">
        <f aca="false">T30*Assumption!$E$161</f>
        <v>0</v>
      </c>
      <c r="U48" s="158" t="n">
        <f aca="false">U30*Assumption!$E$161</f>
        <v>0</v>
      </c>
      <c r="V48" s="158" t="n">
        <f aca="false">V30*Assumption!$E$161</f>
        <v>0</v>
      </c>
      <c r="W48" s="158" t="n">
        <f aca="false">W30*Assumption!$E$161</f>
        <v>0</v>
      </c>
      <c r="X48" s="158" t="n">
        <f aca="false">X30*Assumption!$E$161</f>
        <v>0</v>
      </c>
      <c r="Y48" s="158" t="n">
        <f aca="false">Y30*Assumption!$E$161</f>
        <v>0</v>
      </c>
      <c r="Z48" s="158" t="n">
        <f aca="false">Z30*Assumption!$E$161</f>
        <v>0</v>
      </c>
      <c r="AA48" s="158" t="n">
        <f aca="false">AA30*Assumption!$E$161</f>
        <v>0</v>
      </c>
      <c r="AB48" s="158" t="n">
        <f aca="false">AB30*Assumption!$E$161</f>
        <v>0</v>
      </c>
      <c r="AC48" s="158" t="n">
        <f aca="false">AC30*Assumption!$E$161</f>
        <v>0</v>
      </c>
      <c r="AD48" s="158" t="n">
        <f aca="false">AD30*Assumption!$E$161</f>
        <v>0</v>
      </c>
      <c r="AE48" s="158" t="n">
        <f aca="false">AE30*Assumption!$E$161</f>
        <v>0</v>
      </c>
      <c r="AF48" s="158" t="n">
        <f aca="false">AF30*Assumption!$E$161</f>
        <v>0</v>
      </c>
      <c r="AG48" s="158" t="n">
        <f aca="false">AG30*Assumption!$E$161</f>
        <v>0</v>
      </c>
      <c r="AH48" s="158" t="n">
        <f aca="false">AH30*Assumption!$E$161</f>
        <v>0</v>
      </c>
      <c r="AI48" s="158" t="n">
        <f aca="false">AI30*Assumption!$E$161</f>
        <v>0</v>
      </c>
      <c r="AJ48" s="158" t="n">
        <f aca="false">AJ30*Assumption!$E$161</f>
        <v>0</v>
      </c>
      <c r="AK48" s="158" t="n">
        <f aca="false">AK30*Assumption!$E$161</f>
        <v>0</v>
      </c>
      <c r="AL48" s="158" t="n">
        <f aca="false">AL30*Assumption!$E$161</f>
        <v>0</v>
      </c>
      <c r="AM48" s="158" t="n">
        <f aca="false">AM30*Assumption!$E$161</f>
        <v>0</v>
      </c>
      <c r="AN48" s="158" t="n">
        <f aca="false">AN30*Assumption!$E$161</f>
        <v>0</v>
      </c>
      <c r="AO48" s="158" t="n">
        <f aca="false">AO30*Assumption!$E$161</f>
        <v>0</v>
      </c>
      <c r="AP48" s="158" t="n">
        <f aca="false">AP30*Assumption!$E$161</f>
        <v>0</v>
      </c>
      <c r="AQ48" s="158" t="n">
        <f aca="false">AQ30*Assumption!$E$161</f>
        <v>0</v>
      </c>
      <c r="AR48" s="158" t="n">
        <f aca="false">AR30*Assumption!$E$161</f>
        <v>0</v>
      </c>
      <c r="AS48" s="158" t="n">
        <f aca="false">AS30*Assumption!$E$161</f>
        <v>0</v>
      </c>
      <c r="AT48" s="158" t="n">
        <f aca="false">AT30*Assumption!$E$161</f>
        <v>0</v>
      </c>
      <c r="AU48" s="158" t="n">
        <f aca="false">AU30*Assumption!$E$161</f>
        <v>0</v>
      </c>
      <c r="AV48" s="158" t="n">
        <f aca="false">AV30*Assumption!$E$161</f>
        <v>0</v>
      </c>
      <c r="AW48" s="158" t="n">
        <f aca="false">AW30*Assumption!$E$161</f>
        <v>0</v>
      </c>
      <c r="AX48" s="158" t="n">
        <f aca="false">AX30*Assumption!$E$161</f>
        <v>0</v>
      </c>
      <c r="AY48" s="158" t="n">
        <f aca="false">AY30*Assumption!$E$161</f>
        <v>0</v>
      </c>
      <c r="AZ48" s="158" t="n">
        <f aca="false">AZ30*Assumption!$E$161</f>
        <v>0</v>
      </c>
      <c r="BA48" s="158" t="n">
        <f aca="false">BA30*Assumption!$E$161</f>
        <v>0</v>
      </c>
      <c r="BB48" s="158" t="n">
        <f aca="false">BB30*Assumption!$E$161</f>
        <v>0</v>
      </c>
      <c r="BC48" s="158" t="n">
        <f aca="false">BC30*Assumption!$E$161</f>
        <v>0</v>
      </c>
      <c r="BD48" s="158" t="n">
        <f aca="false">BD30*Assumption!$E$161</f>
        <v>0</v>
      </c>
      <c r="BE48" s="158" t="n">
        <f aca="false">BE30*Assumption!$E$161</f>
        <v>0</v>
      </c>
      <c r="BF48" s="158" t="n">
        <f aca="false">BF30*Assumption!$E$161</f>
        <v>0</v>
      </c>
      <c r="BG48" s="158" t="n">
        <f aca="false">BG30*Assumption!$E$161</f>
        <v>0</v>
      </c>
      <c r="BH48" s="158" t="n">
        <f aca="false">BH30*Assumption!$E$161</f>
        <v>0</v>
      </c>
      <c r="BI48" s="158" t="n">
        <f aca="false">BI30*Assumption!$E$161</f>
        <v>0</v>
      </c>
      <c r="BJ48" s="158" t="n">
        <f aca="false">BJ30*Assumption!$E$161</f>
        <v>0</v>
      </c>
      <c r="BK48" s="158" t="n">
        <f aca="false">BK30*Assumption!$E$161</f>
        <v>0</v>
      </c>
      <c r="BL48" s="158" t="n">
        <f aca="false">BL30*Assumption!$E$161</f>
        <v>0</v>
      </c>
      <c r="BM48" s="158" t="n">
        <f aca="false">BM30*Assumption!$E$161</f>
        <v>838.9251</v>
      </c>
      <c r="BN48" s="158" t="n">
        <f aca="false">BN30*Assumption!$E$161</f>
        <v>811.863</v>
      </c>
      <c r="BO48" s="158" t="n">
        <f aca="false">BO30*Assumption!$E$161</f>
        <v>838.9251</v>
      </c>
      <c r="BP48" s="158" t="n">
        <f aca="false">BP30*Assumption!$E$161</f>
        <v>811.863</v>
      </c>
      <c r="BQ48" s="158" t="n">
        <f aca="false">BQ30*Assumption!$E$161</f>
        <v>838.9251</v>
      </c>
      <c r="BR48" s="158" t="n">
        <f aca="false">BR30*Assumption!$E$161</f>
        <v>838.9251</v>
      </c>
      <c r="BS48" s="158" t="n">
        <f aca="false">BS30*Assumption!$E$161</f>
        <v>811.863</v>
      </c>
      <c r="BT48" s="158" t="n">
        <f aca="false">BT30*Assumption!$E$161</f>
        <v>838.9251</v>
      </c>
      <c r="BU48" s="158" t="n">
        <f aca="false">BU30*Assumption!$E$161</f>
        <v>811.863</v>
      </c>
      <c r="BV48" s="158" t="n">
        <f aca="false">BV30*Assumption!$E$161</f>
        <v>838.9251</v>
      </c>
      <c r="BW48" s="158" t="n">
        <f aca="false">BW30*Assumption!$E$161</f>
        <v>838.9251</v>
      </c>
      <c r="BX48" s="158" t="n">
        <f aca="false">BX30*Assumption!$E$161</f>
        <v>784.8009</v>
      </c>
      <c r="BY48" s="158" t="n">
        <f aca="false">BY30*Assumption!$E$161</f>
        <v>987.35031</v>
      </c>
      <c r="BZ48" s="158" t="n">
        <f aca="false">BZ30*Assumption!$E$161</f>
        <v>955.5003</v>
      </c>
      <c r="CA48" s="158" t="n">
        <f aca="false">CA30*Assumption!$E$161</f>
        <v>987.35031</v>
      </c>
      <c r="CB48" s="158" t="n">
        <f aca="false">CB30*Assumption!$E$161</f>
        <v>955.5003</v>
      </c>
      <c r="CC48" s="158" t="n">
        <f aca="false">CC30*Assumption!$E$161</f>
        <v>987.35031</v>
      </c>
      <c r="CD48" s="158" t="n">
        <f aca="false">CD30*Assumption!$E$161</f>
        <v>987.35031</v>
      </c>
      <c r="CE48" s="158" t="n">
        <f aca="false">CE30*Assumption!$E$161</f>
        <v>955.5003</v>
      </c>
      <c r="CF48" s="158" t="n">
        <f aca="false">CF30*Assumption!$E$161</f>
        <v>987.35031</v>
      </c>
      <c r="CG48" s="158" t="n">
        <f aca="false">CG30*Assumption!$E$161</f>
        <v>955.5003</v>
      </c>
      <c r="CH48" s="158" t="n">
        <f aca="false">CH30*Assumption!$E$161</f>
        <v>987.35031</v>
      </c>
      <c r="CI48" s="158" t="n">
        <f aca="false">CI30*Assumption!$E$161</f>
        <v>987.35031</v>
      </c>
      <c r="CJ48" s="158" t="n">
        <f aca="false">CJ30*Assumption!$E$161</f>
        <v>891.80028</v>
      </c>
      <c r="CK48" s="158" t="n">
        <f aca="false">CK30*Assumption!$E$161</f>
        <v>1007.0973162</v>
      </c>
      <c r="CL48" s="158" t="n">
        <f aca="false">CL30*Assumption!$E$161</f>
        <v>974.610306</v>
      </c>
      <c r="CM48" s="158" t="n">
        <f aca="false">CM30*Assumption!$E$161</f>
        <v>1007.0973162</v>
      </c>
      <c r="CN48" s="158" t="n">
        <f aca="false">CN30*Assumption!$E$161</f>
        <v>974.610306</v>
      </c>
      <c r="CO48" s="158" t="n">
        <f aca="false">CO30*Assumption!$E$161</f>
        <v>1007.0973162</v>
      </c>
      <c r="CP48" s="158" t="n">
        <f aca="false">CP30*Assumption!$E$161</f>
        <v>1007.0973162</v>
      </c>
      <c r="CQ48" s="158" t="n">
        <f aca="false">CQ30*Assumption!$E$161</f>
        <v>974.610306</v>
      </c>
      <c r="CR48" s="158" t="n">
        <f aca="false">CR30*Assumption!$E$161</f>
        <v>1007.0973162</v>
      </c>
      <c r="CS48" s="158" t="n">
        <f aca="false">CS30*Assumption!$E$161</f>
        <v>974.610306</v>
      </c>
      <c r="CT48" s="158" t="n">
        <f aca="false">CT30*Assumption!$E$161</f>
        <v>1007.0973162</v>
      </c>
      <c r="CU48" s="158" t="n">
        <f aca="false">CU30*Assumption!$E$161</f>
        <v>1007.0973162</v>
      </c>
      <c r="CV48" s="158" t="n">
        <f aca="false">CV30*Assumption!$E$161</f>
        <v>909.6362856</v>
      </c>
      <c r="CW48" s="158" t="n">
        <f aca="false">CW30*Assumption!$E$161</f>
        <v>1027.239262524</v>
      </c>
      <c r="CX48" s="158" t="n">
        <f aca="false">CX30*Assumption!$E$161</f>
        <v>994.10251212</v>
      </c>
      <c r="CY48" s="158" t="n">
        <f aca="false">CY30*Assumption!$E$161</f>
        <v>1027.239262524</v>
      </c>
      <c r="CZ48" s="158" t="n">
        <f aca="false">CZ30*Assumption!$E$161</f>
        <v>994.10251212</v>
      </c>
      <c r="DA48" s="158" t="n">
        <f aca="false">DA30*Assumption!$E$161</f>
        <v>1027.239262524</v>
      </c>
      <c r="DB48" s="158" t="n">
        <f aca="false">DB30*Assumption!$E$161</f>
        <v>1027.239262524</v>
      </c>
      <c r="DC48" s="158" t="n">
        <f aca="false">DC30*Assumption!$E$161</f>
        <v>994.10251212</v>
      </c>
      <c r="DD48" s="158" t="n">
        <f aca="false">DD30*Assumption!$E$161</f>
        <v>1027.239262524</v>
      </c>
      <c r="DE48" s="158" t="n">
        <f aca="false">DE30*Assumption!$E$161</f>
        <v>994.10251212</v>
      </c>
      <c r="DF48" s="158" t="n">
        <f aca="false">DF30*Assumption!$E$161</f>
        <v>1027.239262524</v>
      </c>
      <c r="DG48" s="158" t="n">
        <f aca="false">DG30*Assumption!$E$161</f>
        <v>1027.239262524</v>
      </c>
      <c r="DH48" s="158" t="n">
        <f aca="false">DH30*Assumption!$E$161</f>
        <v>927.829011312</v>
      </c>
      <c r="DI48" s="158" t="n">
        <f aca="false">DI30*Assumption!$E$161</f>
        <v>1047.78404777448</v>
      </c>
      <c r="DJ48" s="158" t="n">
        <f aca="false">DJ30*Assumption!$E$161</f>
        <v>1013.9845623624</v>
      </c>
      <c r="DK48" s="158" t="n">
        <f aca="false">DK30*Assumption!$E$161</f>
        <v>1047.78404777448</v>
      </c>
      <c r="DL48" s="158" t="n">
        <f aca="false">DL30*Assumption!$E$161</f>
        <v>1013.9845623624</v>
      </c>
      <c r="DM48" s="158" t="n">
        <f aca="false">DM30*Assumption!$E$161</f>
        <v>1047.78404777448</v>
      </c>
      <c r="DN48" s="158" t="n">
        <f aca="false">DN30*Assumption!$E$161</f>
        <v>1047.78404777448</v>
      </c>
      <c r="DO48" s="158" t="n">
        <f aca="false">DO30*Assumption!$E$161</f>
        <v>1013.9845623624</v>
      </c>
      <c r="DP48" s="158" t="n">
        <f aca="false">DP30*Assumption!$E$161</f>
        <v>1047.78404777448</v>
      </c>
      <c r="DQ48" s="158" t="n">
        <f aca="false">DQ30*Assumption!$E$161</f>
        <v>1013.9845623624</v>
      </c>
      <c r="DR48" s="158" t="n">
        <f aca="false">DR30*Assumption!$E$161</f>
        <v>1047.78404777448</v>
      </c>
      <c r="DS48" s="158" t="n">
        <f aca="false">DS30*Assumption!$E$161</f>
        <v>1047.78404777448</v>
      </c>
      <c r="DT48" s="158" t="n">
        <f aca="false">DT30*Assumption!$E$161</f>
        <v>980.18507695032</v>
      </c>
      <c r="DU48" s="158" t="n">
        <f aca="false">DU30*Assumption!$E$161</f>
        <v>0</v>
      </c>
      <c r="DV48" s="158" t="n">
        <f aca="false">DV30*Assumption!$E$161</f>
        <v>0</v>
      </c>
      <c r="DW48" s="158" t="n">
        <f aca="false">DW30*Assumption!$E$161</f>
        <v>0</v>
      </c>
      <c r="DX48" s="158" t="n">
        <f aca="false">DX30*Assumption!$E$161</f>
        <v>0</v>
      </c>
      <c r="DY48" s="158" t="n">
        <f aca="false">DY30*Assumption!$E$161</f>
        <v>0</v>
      </c>
      <c r="DZ48" s="158" t="n">
        <f aca="false">DZ30*Assumption!$E$161</f>
        <v>0</v>
      </c>
      <c r="EA48" s="158" t="n">
        <f aca="false">EA30*Assumption!$E$161</f>
        <v>0</v>
      </c>
      <c r="EB48" s="158" t="n">
        <f aca="false">EB30*Assumption!$E$161</f>
        <v>0</v>
      </c>
      <c r="EC48" s="158" t="n">
        <f aca="false">EC30*Assumption!$E$161</f>
        <v>0</v>
      </c>
      <c r="ED48" s="158" t="n">
        <f aca="false">ED30*Assumption!$E$161</f>
        <v>0</v>
      </c>
      <c r="EE48" s="158" t="n">
        <f aca="false">EE30*Assumption!$E$161</f>
        <v>0</v>
      </c>
      <c r="EF48" s="158" t="n">
        <f aca="false">EF30*Assumption!$E$161</f>
        <v>0</v>
      </c>
    </row>
    <row r="49" customFormat="false" ht="15" hidden="false" customHeight="false" outlineLevel="0" collapsed="false">
      <c r="A49" s="35" t="s">
        <v>514</v>
      </c>
      <c r="B49" s="241" t="s">
        <v>116</v>
      </c>
      <c r="C49" s="242" t="n">
        <f aca="false">SUM(E49:EF49)</f>
        <v>22498.4925399427</v>
      </c>
      <c r="E49" s="158" t="n">
        <f aca="false">E31*Assumption!$E$162</f>
        <v>0</v>
      </c>
      <c r="F49" s="158" t="n">
        <f aca="false">F31*Assumption!$E$162</f>
        <v>0</v>
      </c>
      <c r="G49" s="158" t="n">
        <f aca="false">G31*Assumption!$E$162</f>
        <v>0</v>
      </c>
      <c r="H49" s="158" t="n">
        <f aca="false">H31*Assumption!$E$162</f>
        <v>0</v>
      </c>
      <c r="I49" s="158" t="n">
        <f aca="false">I31*Assumption!$E$162</f>
        <v>0</v>
      </c>
      <c r="J49" s="158" t="n">
        <f aca="false">J31*Assumption!$E$162</f>
        <v>0</v>
      </c>
      <c r="K49" s="158" t="n">
        <f aca="false">K31*Assumption!$E$162</f>
        <v>0</v>
      </c>
      <c r="L49" s="158" t="n">
        <f aca="false">L31*Assumption!$E$162</f>
        <v>0</v>
      </c>
      <c r="M49" s="158" t="n">
        <f aca="false">M31*Assumption!$E$162</f>
        <v>0</v>
      </c>
      <c r="N49" s="158" t="n">
        <f aca="false">N31*Assumption!$E$162</f>
        <v>0</v>
      </c>
      <c r="O49" s="158" t="n">
        <f aca="false">O31*Assumption!$E$162</f>
        <v>0</v>
      </c>
      <c r="P49" s="158" t="n">
        <f aca="false">P31*Assumption!$E$162</f>
        <v>0</v>
      </c>
      <c r="Q49" s="158" t="n">
        <f aca="false">Q31*Assumption!$E$162</f>
        <v>0</v>
      </c>
      <c r="R49" s="158" t="n">
        <f aca="false">R31*Assumption!$E$162</f>
        <v>0</v>
      </c>
      <c r="S49" s="158" t="n">
        <f aca="false">S31*Assumption!$E$162</f>
        <v>0</v>
      </c>
      <c r="T49" s="158" t="n">
        <f aca="false">T31*Assumption!$E$162</f>
        <v>0</v>
      </c>
      <c r="U49" s="158" t="n">
        <f aca="false">U31*Assumption!$E$162</f>
        <v>0</v>
      </c>
      <c r="V49" s="158" t="n">
        <f aca="false">V31*Assumption!$E$162</f>
        <v>0</v>
      </c>
      <c r="W49" s="158" t="n">
        <f aca="false">W31*Assumption!$E$162</f>
        <v>0</v>
      </c>
      <c r="X49" s="158" t="n">
        <f aca="false">X31*Assumption!$E$162</f>
        <v>0</v>
      </c>
      <c r="Y49" s="158" t="n">
        <f aca="false">Y31*Assumption!$E$162</f>
        <v>0</v>
      </c>
      <c r="Z49" s="158" t="n">
        <f aca="false">Z31*Assumption!$E$162</f>
        <v>0</v>
      </c>
      <c r="AA49" s="158" t="n">
        <f aca="false">AA31*Assumption!$E$162</f>
        <v>0</v>
      </c>
      <c r="AB49" s="158" t="n">
        <f aca="false">AB31*Assumption!$E$162</f>
        <v>0</v>
      </c>
      <c r="AC49" s="158" t="n">
        <f aca="false">AC31*Assumption!$E$162</f>
        <v>0</v>
      </c>
      <c r="AD49" s="158" t="n">
        <f aca="false">AD31*Assumption!$E$162</f>
        <v>0</v>
      </c>
      <c r="AE49" s="158" t="n">
        <f aca="false">AE31*Assumption!$E$162</f>
        <v>0</v>
      </c>
      <c r="AF49" s="158" t="n">
        <f aca="false">AF31*Assumption!$E$162</f>
        <v>0</v>
      </c>
      <c r="AG49" s="158" t="n">
        <f aca="false">AG31*Assumption!$E$162</f>
        <v>0</v>
      </c>
      <c r="AH49" s="158" t="n">
        <f aca="false">AH31*Assumption!$E$162</f>
        <v>0</v>
      </c>
      <c r="AI49" s="158" t="n">
        <f aca="false">AI31*Assumption!$E$162</f>
        <v>0</v>
      </c>
      <c r="AJ49" s="158" t="n">
        <f aca="false">AJ31*Assumption!$E$162</f>
        <v>0</v>
      </c>
      <c r="AK49" s="158" t="n">
        <f aca="false">AK31*Assumption!$E$162</f>
        <v>0</v>
      </c>
      <c r="AL49" s="158" t="n">
        <f aca="false">AL31*Assumption!$E$162</f>
        <v>0</v>
      </c>
      <c r="AM49" s="158" t="n">
        <f aca="false">AM31*Assumption!$E$162</f>
        <v>0</v>
      </c>
      <c r="AN49" s="158" t="n">
        <f aca="false">AN31*Assumption!$E$162</f>
        <v>0</v>
      </c>
      <c r="AO49" s="158" t="n">
        <f aca="false">AO31*Assumption!$E$162</f>
        <v>0</v>
      </c>
      <c r="AP49" s="158" t="n">
        <f aca="false">AP31*Assumption!$E$162</f>
        <v>0</v>
      </c>
      <c r="AQ49" s="158" t="n">
        <f aca="false">AQ31*Assumption!$E$162</f>
        <v>0</v>
      </c>
      <c r="AR49" s="158" t="n">
        <f aca="false">AR31*Assumption!$E$162</f>
        <v>0</v>
      </c>
      <c r="AS49" s="158" t="n">
        <f aca="false">AS31*Assumption!$E$162</f>
        <v>0</v>
      </c>
      <c r="AT49" s="158" t="n">
        <f aca="false">AT31*Assumption!$E$162</f>
        <v>0</v>
      </c>
      <c r="AU49" s="158" t="n">
        <f aca="false">AU31*Assumption!$E$162</f>
        <v>0</v>
      </c>
      <c r="AV49" s="158" t="n">
        <f aca="false">AV31*Assumption!$E$162</f>
        <v>0</v>
      </c>
      <c r="AW49" s="158" t="n">
        <f aca="false">AW31*Assumption!$E$162</f>
        <v>0</v>
      </c>
      <c r="AX49" s="158" t="n">
        <f aca="false">AX31*Assumption!$E$162</f>
        <v>0</v>
      </c>
      <c r="AY49" s="158" t="n">
        <f aca="false">AY31*Assumption!$E$162</f>
        <v>0</v>
      </c>
      <c r="AZ49" s="158" t="n">
        <f aca="false">AZ31*Assumption!$E$162</f>
        <v>0</v>
      </c>
      <c r="BA49" s="158" t="n">
        <f aca="false">BA31*Assumption!$E$162</f>
        <v>0</v>
      </c>
      <c r="BB49" s="158" t="n">
        <f aca="false">BB31*Assumption!$E$162</f>
        <v>0</v>
      </c>
      <c r="BC49" s="158" t="n">
        <f aca="false">BC31*Assumption!$E$162</f>
        <v>0</v>
      </c>
      <c r="BD49" s="158" t="n">
        <f aca="false">BD31*Assumption!$E$162</f>
        <v>0</v>
      </c>
      <c r="BE49" s="158" t="n">
        <f aca="false">BE31*Assumption!$E$162</f>
        <v>0</v>
      </c>
      <c r="BF49" s="158" t="n">
        <f aca="false">BF31*Assumption!$E$162</f>
        <v>0</v>
      </c>
      <c r="BG49" s="158" t="n">
        <f aca="false">BG31*Assumption!$E$162</f>
        <v>0</v>
      </c>
      <c r="BH49" s="158" t="n">
        <f aca="false">BH31*Assumption!$E$162</f>
        <v>0</v>
      </c>
      <c r="BI49" s="158" t="n">
        <f aca="false">BI31*Assumption!$E$162</f>
        <v>0</v>
      </c>
      <c r="BJ49" s="158" t="n">
        <f aca="false">BJ31*Assumption!$E$162</f>
        <v>0</v>
      </c>
      <c r="BK49" s="158" t="n">
        <f aca="false">BK31*Assumption!$E$162</f>
        <v>0</v>
      </c>
      <c r="BL49" s="158" t="n">
        <f aca="false">BL31*Assumption!$E$162</f>
        <v>0</v>
      </c>
      <c r="BM49" s="158" t="n">
        <f aca="false">BM31*Assumption!$E$162</f>
        <v>326.24865</v>
      </c>
      <c r="BN49" s="158" t="n">
        <f aca="false">BN31*Assumption!$E$162</f>
        <v>315.7245</v>
      </c>
      <c r="BO49" s="158" t="n">
        <f aca="false">BO31*Assumption!$E$162</f>
        <v>326.24865</v>
      </c>
      <c r="BP49" s="158" t="n">
        <f aca="false">BP31*Assumption!$E$162</f>
        <v>315.7245</v>
      </c>
      <c r="BQ49" s="158" t="n">
        <f aca="false">BQ31*Assumption!$E$162</f>
        <v>326.24865</v>
      </c>
      <c r="BR49" s="158" t="n">
        <f aca="false">BR31*Assumption!$E$162</f>
        <v>326.24865</v>
      </c>
      <c r="BS49" s="158" t="n">
        <f aca="false">BS31*Assumption!$E$162</f>
        <v>315.7245</v>
      </c>
      <c r="BT49" s="158" t="n">
        <f aca="false">BT31*Assumption!$E$162</f>
        <v>326.24865</v>
      </c>
      <c r="BU49" s="158" t="n">
        <f aca="false">BU31*Assumption!$E$162</f>
        <v>315.7245</v>
      </c>
      <c r="BV49" s="158" t="n">
        <f aca="false">BV31*Assumption!$E$162</f>
        <v>326.24865</v>
      </c>
      <c r="BW49" s="158" t="n">
        <f aca="false">BW31*Assumption!$E$162</f>
        <v>326.24865</v>
      </c>
      <c r="BX49" s="158" t="n">
        <f aca="false">BX31*Assumption!$E$162</f>
        <v>305.20035</v>
      </c>
      <c r="BY49" s="158" t="n">
        <f aca="false">BY31*Assumption!$E$162</f>
        <v>383.969565</v>
      </c>
      <c r="BZ49" s="158" t="n">
        <f aca="false">BZ31*Assumption!$E$162</f>
        <v>371.58345</v>
      </c>
      <c r="CA49" s="158" t="n">
        <f aca="false">CA31*Assumption!$E$162</f>
        <v>383.969565</v>
      </c>
      <c r="CB49" s="158" t="n">
        <f aca="false">CB31*Assumption!$E$162</f>
        <v>371.58345</v>
      </c>
      <c r="CC49" s="158" t="n">
        <f aca="false">CC31*Assumption!$E$162</f>
        <v>383.969565</v>
      </c>
      <c r="CD49" s="158" t="n">
        <f aca="false">CD31*Assumption!$E$162</f>
        <v>383.969565</v>
      </c>
      <c r="CE49" s="158" t="n">
        <f aca="false">CE31*Assumption!$E$162</f>
        <v>371.58345</v>
      </c>
      <c r="CF49" s="158" t="n">
        <f aca="false">CF31*Assumption!$E$162</f>
        <v>383.969565</v>
      </c>
      <c r="CG49" s="158" t="n">
        <f aca="false">CG31*Assumption!$E$162</f>
        <v>371.58345</v>
      </c>
      <c r="CH49" s="158" t="n">
        <f aca="false">CH31*Assumption!$E$162</f>
        <v>383.969565</v>
      </c>
      <c r="CI49" s="158" t="n">
        <f aca="false">CI31*Assumption!$E$162</f>
        <v>383.969565</v>
      </c>
      <c r="CJ49" s="158" t="n">
        <f aca="false">CJ31*Assumption!$E$162</f>
        <v>346.81122</v>
      </c>
      <c r="CK49" s="158" t="n">
        <f aca="false">CK31*Assumption!$E$162</f>
        <v>391.6489563</v>
      </c>
      <c r="CL49" s="158" t="n">
        <f aca="false">CL31*Assumption!$E$162</f>
        <v>379.015119</v>
      </c>
      <c r="CM49" s="158" t="n">
        <f aca="false">CM31*Assumption!$E$162</f>
        <v>391.6489563</v>
      </c>
      <c r="CN49" s="158" t="n">
        <f aca="false">CN31*Assumption!$E$162</f>
        <v>379.015119</v>
      </c>
      <c r="CO49" s="158" t="n">
        <f aca="false">CO31*Assumption!$E$162</f>
        <v>391.6489563</v>
      </c>
      <c r="CP49" s="158" t="n">
        <f aca="false">CP31*Assumption!$E$162</f>
        <v>391.6489563</v>
      </c>
      <c r="CQ49" s="158" t="n">
        <f aca="false">CQ31*Assumption!$E$162</f>
        <v>379.015119</v>
      </c>
      <c r="CR49" s="158" t="n">
        <f aca="false">CR31*Assumption!$E$162</f>
        <v>391.6489563</v>
      </c>
      <c r="CS49" s="158" t="n">
        <f aca="false">CS31*Assumption!$E$162</f>
        <v>379.015119</v>
      </c>
      <c r="CT49" s="158" t="n">
        <f aca="false">CT31*Assumption!$E$162</f>
        <v>391.6489563</v>
      </c>
      <c r="CU49" s="158" t="n">
        <f aca="false">CU31*Assumption!$E$162</f>
        <v>391.6489563</v>
      </c>
      <c r="CV49" s="158" t="n">
        <f aca="false">CV31*Assumption!$E$162</f>
        <v>353.7474444</v>
      </c>
      <c r="CW49" s="158" t="n">
        <f aca="false">CW31*Assumption!$E$162</f>
        <v>399.481935426</v>
      </c>
      <c r="CX49" s="158" t="n">
        <f aca="false">CX31*Assumption!$E$162</f>
        <v>386.59542138</v>
      </c>
      <c r="CY49" s="158" t="n">
        <f aca="false">CY31*Assumption!$E$162</f>
        <v>399.481935426</v>
      </c>
      <c r="CZ49" s="158" t="n">
        <f aca="false">CZ31*Assumption!$E$162</f>
        <v>386.59542138</v>
      </c>
      <c r="DA49" s="158" t="n">
        <f aca="false">DA31*Assumption!$E$162</f>
        <v>399.481935426</v>
      </c>
      <c r="DB49" s="158" t="n">
        <f aca="false">DB31*Assumption!$E$162</f>
        <v>399.481935426</v>
      </c>
      <c r="DC49" s="158" t="n">
        <f aca="false">DC31*Assumption!$E$162</f>
        <v>386.59542138</v>
      </c>
      <c r="DD49" s="158" t="n">
        <f aca="false">DD31*Assumption!$E$162</f>
        <v>399.481935426</v>
      </c>
      <c r="DE49" s="158" t="n">
        <f aca="false">DE31*Assumption!$E$162</f>
        <v>386.59542138</v>
      </c>
      <c r="DF49" s="158" t="n">
        <f aca="false">DF31*Assumption!$E$162</f>
        <v>399.481935426</v>
      </c>
      <c r="DG49" s="158" t="n">
        <f aca="false">DG31*Assumption!$E$162</f>
        <v>399.481935426</v>
      </c>
      <c r="DH49" s="158" t="n">
        <f aca="false">DH31*Assumption!$E$162</f>
        <v>360.822393288</v>
      </c>
      <c r="DI49" s="158" t="n">
        <f aca="false">DI31*Assumption!$E$162</f>
        <v>407.47157413452</v>
      </c>
      <c r="DJ49" s="158" t="n">
        <f aca="false">DJ31*Assumption!$E$162</f>
        <v>394.3273298076</v>
      </c>
      <c r="DK49" s="158" t="n">
        <f aca="false">DK31*Assumption!$E$162</f>
        <v>407.47157413452</v>
      </c>
      <c r="DL49" s="158" t="n">
        <f aca="false">DL31*Assumption!$E$162</f>
        <v>394.3273298076</v>
      </c>
      <c r="DM49" s="158" t="n">
        <f aca="false">DM31*Assumption!$E$162</f>
        <v>407.47157413452</v>
      </c>
      <c r="DN49" s="158" t="n">
        <f aca="false">DN31*Assumption!$E$162</f>
        <v>407.47157413452</v>
      </c>
      <c r="DO49" s="158" t="n">
        <f aca="false">DO31*Assumption!$E$162</f>
        <v>394.3273298076</v>
      </c>
      <c r="DP49" s="158" t="n">
        <f aca="false">DP31*Assumption!$E$162</f>
        <v>407.47157413452</v>
      </c>
      <c r="DQ49" s="158" t="n">
        <f aca="false">DQ31*Assumption!$E$162</f>
        <v>394.3273298076</v>
      </c>
      <c r="DR49" s="158" t="n">
        <f aca="false">DR31*Assumption!$E$162</f>
        <v>407.47157413452</v>
      </c>
      <c r="DS49" s="158" t="n">
        <f aca="false">DS31*Assumption!$E$162</f>
        <v>407.47157413452</v>
      </c>
      <c r="DT49" s="158" t="n">
        <f aca="false">DT31*Assumption!$E$162</f>
        <v>381.18308548068</v>
      </c>
      <c r="DU49" s="158" t="n">
        <f aca="false">DU31*Assumption!$E$162</f>
        <v>0</v>
      </c>
      <c r="DV49" s="158" t="n">
        <f aca="false">DV31*Assumption!$E$162</f>
        <v>0</v>
      </c>
      <c r="DW49" s="158" t="n">
        <f aca="false">DW31*Assumption!$E$162</f>
        <v>0</v>
      </c>
      <c r="DX49" s="158" t="n">
        <f aca="false">DX31*Assumption!$E$162</f>
        <v>0</v>
      </c>
      <c r="DY49" s="158" t="n">
        <f aca="false">DY31*Assumption!$E$162</f>
        <v>0</v>
      </c>
      <c r="DZ49" s="158" t="n">
        <f aca="false">DZ31*Assumption!$E$162</f>
        <v>0</v>
      </c>
      <c r="EA49" s="158" t="n">
        <f aca="false">EA31*Assumption!$E$162</f>
        <v>0</v>
      </c>
      <c r="EB49" s="158" t="n">
        <f aca="false">EB31*Assumption!$E$162</f>
        <v>0</v>
      </c>
      <c r="EC49" s="158" t="n">
        <f aca="false">EC31*Assumption!$E$162</f>
        <v>0</v>
      </c>
      <c r="ED49" s="158" t="n">
        <f aca="false">ED31*Assumption!$E$162</f>
        <v>0</v>
      </c>
      <c r="EE49" s="158" t="n">
        <f aca="false">EE31*Assumption!$E$162</f>
        <v>0</v>
      </c>
      <c r="EF49" s="158" t="n">
        <f aca="false">EF31*Assumption!$E$162</f>
        <v>0</v>
      </c>
    </row>
    <row r="50" customFormat="false" ht="15" hidden="false" customHeight="false" outlineLevel="0" collapsed="false">
      <c r="A50" s="35" t="s">
        <v>515</v>
      </c>
      <c r="B50" s="241" t="s">
        <v>116</v>
      </c>
      <c r="C50" s="242" t="n">
        <f aca="false">SUM(E50:EF50)</f>
        <v>72316.5831641016</v>
      </c>
      <c r="E50" s="158" t="n">
        <f aca="false">E32*Assumption!$E$163</f>
        <v>0</v>
      </c>
      <c r="F50" s="158" t="n">
        <f aca="false">F32*Assumption!$E$163</f>
        <v>0</v>
      </c>
      <c r="G50" s="158" t="n">
        <f aca="false">G32*Assumption!$E$163</f>
        <v>0</v>
      </c>
      <c r="H50" s="158" t="n">
        <f aca="false">H32*Assumption!$E$163</f>
        <v>0</v>
      </c>
      <c r="I50" s="158" t="n">
        <f aca="false">I32*Assumption!$E$163</f>
        <v>0</v>
      </c>
      <c r="J50" s="158" t="n">
        <f aca="false">J32*Assumption!$E$163</f>
        <v>0</v>
      </c>
      <c r="K50" s="158" t="n">
        <f aca="false">K32*Assumption!$E$163</f>
        <v>0</v>
      </c>
      <c r="L50" s="158" t="n">
        <f aca="false">L32*Assumption!$E$163</f>
        <v>0</v>
      </c>
      <c r="M50" s="158" t="n">
        <f aca="false">M32*Assumption!$E$163</f>
        <v>0</v>
      </c>
      <c r="N50" s="158" t="n">
        <f aca="false">N32*Assumption!$E$163</f>
        <v>0</v>
      </c>
      <c r="O50" s="158" t="n">
        <f aca="false">O32*Assumption!$E$163</f>
        <v>0</v>
      </c>
      <c r="P50" s="158" t="n">
        <f aca="false">P32*Assumption!$E$163</f>
        <v>0</v>
      </c>
      <c r="Q50" s="158" t="n">
        <f aca="false">Q32*Assumption!$E$163</f>
        <v>0</v>
      </c>
      <c r="R50" s="158" t="n">
        <f aca="false">R32*Assumption!$E$163</f>
        <v>0</v>
      </c>
      <c r="S50" s="158" t="n">
        <f aca="false">S32*Assumption!$E$163</f>
        <v>0</v>
      </c>
      <c r="T50" s="158" t="n">
        <f aca="false">T32*Assumption!$E$163</f>
        <v>0</v>
      </c>
      <c r="U50" s="158" t="n">
        <f aca="false">U32*Assumption!$E$163</f>
        <v>0</v>
      </c>
      <c r="V50" s="158" t="n">
        <f aca="false">V32*Assumption!$E$163</f>
        <v>0</v>
      </c>
      <c r="W50" s="158" t="n">
        <f aca="false">W32*Assumption!$E$163</f>
        <v>0</v>
      </c>
      <c r="X50" s="158" t="n">
        <f aca="false">X32*Assumption!$E$163</f>
        <v>0</v>
      </c>
      <c r="Y50" s="158" t="n">
        <f aca="false">Y32*Assumption!$E$163</f>
        <v>0</v>
      </c>
      <c r="Z50" s="158" t="n">
        <f aca="false">Z32*Assumption!$E$163</f>
        <v>0</v>
      </c>
      <c r="AA50" s="158" t="n">
        <f aca="false">AA32*Assumption!$E$163</f>
        <v>0</v>
      </c>
      <c r="AB50" s="158" t="n">
        <f aca="false">AB32*Assumption!$E$163</f>
        <v>0</v>
      </c>
      <c r="AC50" s="158" t="n">
        <f aca="false">AC32*Assumption!$E$163</f>
        <v>0</v>
      </c>
      <c r="AD50" s="158" t="n">
        <f aca="false">AD32*Assumption!$E$163</f>
        <v>0</v>
      </c>
      <c r="AE50" s="158" t="n">
        <f aca="false">AE32*Assumption!$E$163</f>
        <v>0</v>
      </c>
      <c r="AF50" s="158" t="n">
        <f aca="false">AF32*Assumption!$E$163</f>
        <v>0</v>
      </c>
      <c r="AG50" s="158" t="n">
        <f aca="false">AG32*Assumption!$E$163</f>
        <v>0</v>
      </c>
      <c r="AH50" s="158" t="n">
        <f aca="false">AH32*Assumption!$E$163</f>
        <v>0</v>
      </c>
      <c r="AI50" s="158" t="n">
        <f aca="false">AI32*Assumption!$E$163</f>
        <v>0</v>
      </c>
      <c r="AJ50" s="158" t="n">
        <f aca="false">AJ32*Assumption!$E$163</f>
        <v>0</v>
      </c>
      <c r="AK50" s="158" t="n">
        <f aca="false">AK32*Assumption!$E$163</f>
        <v>0</v>
      </c>
      <c r="AL50" s="158" t="n">
        <f aca="false">AL32*Assumption!$E$163</f>
        <v>0</v>
      </c>
      <c r="AM50" s="158" t="n">
        <f aca="false">AM32*Assumption!$E$163</f>
        <v>0</v>
      </c>
      <c r="AN50" s="158" t="n">
        <f aca="false">AN32*Assumption!$E$163</f>
        <v>0</v>
      </c>
      <c r="AO50" s="158" t="n">
        <f aca="false">AO32*Assumption!$E$163</f>
        <v>0</v>
      </c>
      <c r="AP50" s="158" t="n">
        <f aca="false">AP32*Assumption!$E$163</f>
        <v>0</v>
      </c>
      <c r="AQ50" s="158" t="n">
        <f aca="false">AQ32*Assumption!$E$163</f>
        <v>0</v>
      </c>
      <c r="AR50" s="158" t="n">
        <f aca="false">AR32*Assumption!$E$163</f>
        <v>0</v>
      </c>
      <c r="AS50" s="158" t="n">
        <f aca="false">AS32*Assumption!$E$163</f>
        <v>0</v>
      </c>
      <c r="AT50" s="158" t="n">
        <f aca="false">AT32*Assumption!$E$163</f>
        <v>0</v>
      </c>
      <c r="AU50" s="158" t="n">
        <f aca="false">AU32*Assumption!$E$163</f>
        <v>0</v>
      </c>
      <c r="AV50" s="158" t="n">
        <f aca="false">AV32*Assumption!$E$163</f>
        <v>0</v>
      </c>
      <c r="AW50" s="158" t="n">
        <f aca="false">AW32*Assumption!$E$163</f>
        <v>0</v>
      </c>
      <c r="AX50" s="158" t="n">
        <f aca="false">AX32*Assumption!$E$163</f>
        <v>0</v>
      </c>
      <c r="AY50" s="158" t="n">
        <f aca="false">AY32*Assumption!$E$163</f>
        <v>0</v>
      </c>
      <c r="AZ50" s="158" t="n">
        <f aca="false">AZ32*Assumption!$E$163</f>
        <v>0</v>
      </c>
      <c r="BA50" s="158" t="n">
        <f aca="false">BA32*Assumption!$E$163</f>
        <v>0</v>
      </c>
      <c r="BB50" s="158" t="n">
        <f aca="false">BB32*Assumption!$E$163</f>
        <v>0</v>
      </c>
      <c r="BC50" s="158" t="n">
        <f aca="false">BC32*Assumption!$E$163</f>
        <v>0</v>
      </c>
      <c r="BD50" s="158" t="n">
        <f aca="false">BD32*Assumption!$E$163</f>
        <v>0</v>
      </c>
      <c r="BE50" s="158" t="n">
        <f aca="false">BE32*Assumption!$E$163</f>
        <v>0</v>
      </c>
      <c r="BF50" s="158" t="n">
        <f aca="false">BF32*Assumption!$E$163</f>
        <v>0</v>
      </c>
      <c r="BG50" s="158" t="n">
        <f aca="false">BG32*Assumption!$E$163</f>
        <v>0</v>
      </c>
      <c r="BH50" s="158" t="n">
        <f aca="false">BH32*Assumption!$E$163</f>
        <v>0</v>
      </c>
      <c r="BI50" s="158" t="n">
        <f aca="false">BI32*Assumption!$E$163</f>
        <v>0</v>
      </c>
      <c r="BJ50" s="158" t="n">
        <f aca="false">BJ32*Assumption!$E$163</f>
        <v>0</v>
      </c>
      <c r="BK50" s="158" t="n">
        <f aca="false">BK32*Assumption!$E$163</f>
        <v>0</v>
      </c>
      <c r="BL50" s="158" t="n">
        <f aca="false">BL32*Assumption!$E$163</f>
        <v>0</v>
      </c>
      <c r="BM50" s="158" t="n">
        <f aca="false">BM32*Assumption!$E$163</f>
        <v>1048.656375</v>
      </c>
      <c r="BN50" s="158" t="n">
        <f aca="false">BN32*Assumption!$E$163</f>
        <v>1014.82875</v>
      </c>
      <c r="BO50" s="158" t="n">
        <f aca="false">BO32*Assumption!$E$163</f>
        <v>1048.656375</v>
      </c>
      <c r="BP50" s="158" t="n">
        <f aca="false">BP32*Assumption!$E$163</f>
        <v>1014.82875</v>
      </c>
      <c r="BQ50" s="158" t="n">
        <f aca="false">BQ32*Assumption!$E$163</f>
        <v>1048.656375</v>
      </c>
      <c r="BR50" s="158" t="n">
        <f aca="false">BR32*Assumption!$E$163</f>
        <v>1048.656375</v>
      </c>
      <c r="BS50" s="158" t="n">
        <f aca="false">BS32*Assumption!$E$163</f>
        <v>1014.82875</v>
      </c>
      <c r="BT50" s="158" t="n">
        <f aca="false">BT32*Assumption!$E$163</f>
        <v>1048.656375</v>
      </c>
      <c r="BU50" s="158" t="n">
        <f aca="false">BU32*Assumption!$E$163</f>
        <v>1014.82875</v>
      </c>
      <c r="BV50" s="158" t="n">
        <f aca="false">BV32*Assumption!$E$163</f>
        <v>1048.656375</v>
      </c>
      <c r="BW50" s="158" t="n">
        <f aca="false">BW32*Assumption!$E$163</f>
        <v>1048.656375</v>
      </c>
      <c r="BX50" s="158" t="n">
        <f aca="false">BX32*Assumption!$E$163</f>
        <v>981.001125</v>
      </c>
      <c r="BY50" s="158" t="n">
        <f aca="false">BY32*Assumption!$E$163</f>
        <v>1234.1878875</v>
      </c>
      <c r="BZ50" s="158" t="n">
        <f aca="false">BZ32*Assumption!$E$163</f>
        <v>1194.375375</v>
      </c>
      <c r="CA50" s="158" t="n">
        <f aca="false">CA32*Assumption!$E$163</f>
        <v>1234.1878875</v>
      </c>
      <c r="CB50" s="158" t="n">
        <f aca="false">CB32*Assumption!$E$163</f>
        <v>1194.375375</v>
      </c>
      <c r="CC50" s="158" t="n">
        <f aca="false">CC32*Assumption!$E$163</f>
        <v>1234.1878875</v>
      </c>
      <c r="CD50" s="158" t="n">
        <f aca="false">CD32*Assumption!$E$163</f>
        <v>1234.1878875</v>
      </c>
      <c r="CE50" s="158" t="n">
        <f aca="false">CE32*Assumption!$E$163</f>
        <v>1194.375375</v>
      </c>
      <c r="CF50" s="158" t="n">
        <f aca="false">CF32*Assumption!$E$163</f>
        <v>1234.1878875</v>
      </c>
      <c r="CG50" s="158" t="n">
        <f aca="false">CG32*Assumption!$E$163</f>
        <v>1194.375375</v>
      </c>
      <c r="CH50" s="158" t="n">
        <f aca="false">CH32*Assumption!$E$163</f>
        <v>1234.1878875</v>
      </c>
      <c r="CI50" s="158" t="n">
        <f aca="false">CI32*Assumption!$E$163</f>
        <v>1234.1878875</v>
      </c>
      <c r="CJ50" s="158" t="n">
        <f aca="false">CJ32*Assumption!$E$163</f>
        <v>1114.75035</v>
      </c>
      <c r="CK50" s="158" t="n">
        <f aca="false">CK32*Assumption!$E$163</f>
        <v>1258.87164525</v>
      </c>
      <c r="CL50" s="158" t="n">
        <f aca="false">CL32*Assumption!$E$163</f>
        <v>1218.2628825</v>
      </c>
      <c r="CM50" s="158" t="n">
        <f aca="false">CM32*Assumption!$E$163</f>
        <v>1258.87164525</v>
      </c>
      <c r="CN50" s="158" t="n">
        <f aca="false">CN32*Assumption!$E$163</f>
        <v>1218.2628825</v>
      </c>
      <c r="CO50" s="158" t="n">
        <f aca="false">CO32*Assumption!$E$163</f>
        <v>1258.87164525</v>
      </c>
      <c r="CP50" s="158" t="n">
        <f aca="false">CP32*Assumption!$E$163</f>
        <v>1258.87164525</v>
      </c>
      <c r="CQ50" s="158" t="n">
        <f aca="false">CQ32*Assumption!$E$163</f>
        <v>1218.2628825</v>
      </c>
      <c r="CR50" s="158" t="n">
        <f aca="false">CR32*Assumption!$E$163</f>
        <v>1258.87164525</v>
      </c>
      <c r="CS50" s="158" t="n">
        <f aca="false">CS32*Assumption!$E$163</f>
        <v>1218.2628825</v>
      </c>
      <c r="CT50" s="158" t="n">
        <f aca="false">CT32*Assumption!$E$163</f>
        <v>1258.87164525</v>
      </c>
      <c r="CU50" s="158" t="n">
        <f aca="false">CU32*Assumption!$E$163</f>
        <v>1258.87164525</v>
      </c>
      <c r="CV50" s="158" t="n">
        <f aca="false">CV32*Assumption!$E$163</f>
        <v>1137.045357</v>
      </c>
      <c r="CW50" s="158" t="n">
        <f aca="false">CW32*Assumption!$E$163</f>
        <v>1284.049078155</v>
      </c>
      <c r="CX50" s="158" t="n">
        <f aca="false">CX32*Assumption!$E$163</f>
        <v>1242.62814015</v>
      </c>
      <c r="CY50" s="158" t="n">
        <f aca="false">CY32*Assumption!$E$163</f>
        <v>1284.049078155</v>
      </c>
      <c r="CZ50" s="158" t="n">
        <f aca="false">CZ32*Assumption!$E$163</f>
        <v>1242.62814015</v>
      </c>
      <c r="DA50" s="158" t="n">
        <f aca="false">DA32*Assumption!$E$163</f>
        <v>1284.049078155</v>
      </c>
      <c r="DB50" s="158" t="n">
        <f aca="false">DB32*Assumption!$E$163</f>
        <v>1284.049078155</v>
      </c>
      <c r="DC50" s="158" t="n">
        <f aca="false">DC32*Assumption!$E$163</f>
        <v>1242.62814015</v>
      </c>
      <c r="DD50" s="158" t="n">
        <f aca="false">DD32*Assumption!$E$163</f>
        <v>1284.049078155</v>
      </c>
      <c r="DE50" s="158" t="n">
        <f aca="false">DE32*Assumption!$E$163</f>
        <v>1242.62814015</v>
      </c>
      <c r="DF50" s="158" t="n">
        <f aca="false">DF32*Assumption!$E$163</f>
        <v>1284.049078155</v>
      </c>
      <c r="DG50" s="158" t="n">
        <f aca="false">DG32*Assumption!$E$163</f>
        <v>1284.049078155</v>
      </c>
      <c r="DH50" s="158" t="n">
        <f aca="false">DH32*Assumption!$E$163</f>
        <v>1159.78626414</v>
      </c>
      <c r="DI50" s="158" t="n">
        <f aca="false">DI32*Assumption!$E$163</f>
        <v>1309.7300597181</v>
      </c>
      <c r="DJ50" s="158" t="n">
        <f aca="false">DJ32*Assumption!$E$163</f>
        <v>1267.480702953</v>
      </c>
      <c r="DK50" s="158" t="n">
        <f aca="false">DK32*Assumption!$E$163</f>
        <v>1309.7300597181</v>
      </c>
      <c r="DL50" s="158" t="n">
        <f aca="false">DL32*Assumption!$E$163</f>
        <v>1267.480702953</v>
      </c>
      <c r="DM50" s="158" t="n">
        <f aca="false">DM32*Assumption!$E$163</f>
        <v>1309.7300597181</v>
      </c>
      <c r="DN50" s="158" t="n">
        <f aca="false">DN32*Assumption!$E$163</f>
        <v>1309.7300597181</v>
      </c>
      <c r="DO50" s="158" t="n">
        <f aca="false">DO32*Assumption!$E$163</f>
        <v>1267.480702953</v>
      </c>
      <c r="DP50" s="158" t="n">
        <f aca="false">DP32*Assumption!$E$163</f>
        <v>1309.7300597181</v>
      </c>
      <c r="DQ50" s="158" t="n">
        <f aca="false">DQ32*Assumption!$E$163</f>
        <v>1267.480702953</v>
      </c>
      <c r="DR50" s="158" t="n">
        <f aca="false">DR32*Assumption!$E$163</f>
        <v>1309.7300597181</v>
      </c>
      <c r="DS50" s="158" t="n">
        <f aca="false">DS32*Assumption!$E$163</f>
        <v>1309.7300597181</v>
      </c>
      <c r="DT50" s="158" t="n">
        <f aca="false">DT32*Assumption!$E$163</f>
        <v>1225.2313461879</v>
      </c>
      <c r="DU50" s="158" t="n">
        <f aca="false">DU32*Assumption!$E$163</f>
        <v>0</v>
      </c>
      <c r="DV50" s="158" t="n">
        <f aca="false">DV32*Assumption!$E$163</f>
        <v>0</v>
      </c>
      <c r="DW50" s="158" t="n">
        <f aca="false">DW32*Assumption!$E$163</f>
        <v>0</v>
      </c>
      <c r="DX50" s="158" t="n">
        <f aca="false">DX32*Assumption!$E$163</f>
        <v>0</v>
      </c>
      <c r="DY50" s="158" t="n">
        <f aca="false">DY32*Assumption!$E$163</f>
        <v>0</v>
      </c>
      <c r="DZ50" s="158" t="n">
        <f aca="false">DZ32*Assumption!$E$163</f>
        <v>0</v>
      </c>
      <c r="EA50" s="158" t="n">
        <f aca="false">EA32*Assumption!$E$163</f>
        <v>0</v>
      </c>
      <c r="EB50" s="158" t="n">
        <f aca="false">EB32*Assumption!$E$163</f>
        <v>0</v>
      </c>
      <c r="EC50" s="158" t="n">
        <f aca="false">EC32*Assumption!$E$163</f>
        <v>0</v>
      </c>
      <c r="ED50" s="158" t="n">
        <f aca="false">ED32*Assumption!$E$163</f>
        <v>0</v>
      </c>
      <c r="EE50" s="158" t="n">
        <f aca="false">EE32*Assumption!$E$163</f>
        <v>0</v>
      </c>
      <c r="EF50" s="158" t="n">
        <f aca="false">EF32*Assumption!$E$163</f>
        <v>0</v>
      </c>
    </row>
    <row r="51" customFormat="false" ht="15" hidden="false" customHeight="false" outlineLevel="0" collapsed="false">
      <c r="A51" s="35" t="s">
        <v>516</v>
      </c>
      <c r="B51" s="241" t="s">
        <v>116</v>
      </c>
      <c r="C51" s="242" t="n">
        <f aca="false">SUM(E51:EF51)</f>
        <v>29997.990053257</v>
      </c>
      <c r="E51" s="158" t="n">
        <f aca="false">E33*Assumption!$E$164</f>
        <v>0</v>
      </c>
      <c r="F51" s="158" t="n">
        <f aca="false">F33*Assumption!$E$164</f>
        <v>0</v>
      </c>
      <c r="G51" s="158" t="n">
        <f aca="false">G33*Assumption!$E$164</f>
        <v>0</v>
      </c>
      <c r="H51" s="158" t="n">
        <f aca="false">H33*Assumption!$E$164</f>
        <v>0</v>
      </c>
      <c r="I51" s="158" t="n">
        <f aca="false">I33*Assumption!$E$164</f>
        <v>0</v>
      </c>
      <c r="J51" s="158" t="n">
        <f aca="false">J33*Assumption!$E$164</f>
        <v>0</v>
      </c>
      <c r="K51" s="158" t="n">
        <f aca="false">K33*Assumption!$E$164</f>
        <v>0</v>
      </c>
      <c r="L51" s="158" t="n">
        <f aca="false">L33*Assumption!$E$164</f>
        <v>0</v>
      </c>
      <c r="M51" s="158" t="n">
        <f aca="false">M33*Assumption!$E$164</f>
        <v>0</v>
      </c>
      <c r="N51" s="158" t="n">
        <f aca="false">N33*Assumption!$E$164</f>
        <v>0</v>
      </c>
      <c r="O51" s="158" t="n">
        <f aca="false">O33*Assumption!$E$164</f>
        <v>0</v>
      </c>
      <c r="P51" s="158" t="n">
        <f aca="false">P33*Assumption!$E$164</f>
        <v>0</v>
      </c>
      <c r="Q51" s="158" t="n">
        <f aca="false">Q33*Assumption!$E$164</f>
        <v>0</v>
      </c>
      <c r="R51" s="158" t="n">
        <f aca="false">R33*Assumption!$E$164</f>
        <v>0</v>
      </c>
      <c r="S51" s="158" t="n">
        <f aca="false">S33*Assumption!$E$164</f>
        <v>0</v>
      </c>
      <c r="T51" s="158" t="n">
        <f aca="false">T33*Assumption!$E$164</f>
        <v>0</v>
      </c>
      <c r="U51" s="158" t="n">
        <f aca="false">U33*Assumption!$E$164</f>
        <v>0</v>
      </c>
      <c r="V51" s="158" t="n">
        <f aca="false">V33*Assumption!$E$164</f>
        <v>0</v>
      </c>
      <c r="W51" s="158" t="n">
        <f aca="false">W33*Assumption!$E$164</f>
        <v>0</v>
      </c>
      <c r="X51" s="158" t="n">
        <f aca="false">X33*Assumption!$E$164</f>
        <v>0</v>
      </c>
      <c r="Y51" s="158" t="n">
        <f aca="false">Y33*Assumption!$E$164</f>
        <v>0</v>
      </c>
      <c r="Z51" s="158" t="n">
        <f aca="false">Z33*Assumption!$E$164</f>
        <v>0</v>
      </c>
      <c r="AA51" s="158" t="n">
        <f aca="false">AA33*Assumption!$E$164</f>
        <v>0</v>
      </c>
      <c r="AB51" s="158" t="n">
        <f aca="false">AB33*Assumption!$E$164</f>
        <v>0</v>
      </c>
      <c r="AC51" s="158" t="n">
        <f aca="false">AC33*Assumption!$E$164</f>
        <v>0</v>
      </c>
      <c r="AD51" s="158" t="n">
        <f aca="false">AD33*Assumption!$E$164</f>
        <v>0</v>
      </c>
      <c r="AE51" s="158" t="n">
        <f aca="false">AE33*Assumption!$E$164</f>
        <v>0</v>
      </c>
      <c r="AF51" s="158" t="n">
        <f aca="false">AF33*Assumption!$E$164</f>
        <v>0</v>
      </c>
      <c r="AG51" s="158" t="n">
        <f aca="false">AG33*Assumption!$E$164</f>
        <v>0</v>
      </c>
      <c r="AH51" s="158" t="n">
        <f aca="false">AH33*Assumption!$E$164</f>
        <v>0</v>
      </c>
      <c r="AI51" s="158" t="n">
        <f aca="false">AI33*Assumption!$E$164</f>
        <v>0</v>
      </c>
      <c r="AJ51" s="158" t="n">
        <f aca="false">AJ33*Assumption!$E$164</f>
        <v>0</v>
      </c>
      <c r="AK51" s="158" t="n">
        <f aca="false">AK33*Assumption!$E$164</f>
        <v>0</v>
      </c>
      <c r="AL51" s="158" t="n">
        <f aca="false">AL33*Assumption!$E$164</f>
        <v>0</v>
      </c>
      <c r="AM51" s="158" t="n">
        <f aca="false">AM33*Assumption!$E$164</f>
        <v>0</v>
      </c>
      <c r="AN51" s="158" t="n">
        <f aca="false">AN33*Assumption!$E$164</f>
        <v>0</v>
      </c>
      <c r="AO51" s="158" t="n">
        <f aca="false">AO33*Assumption!$E$164</f>
        <v>0</v>
      </c>
      <c r="AP51" s="158" t="n">
        <f aca="false">AP33*Assumption!$E$164</f>
        <v>0</v>
      </c>
      <c r="AQ51" s="158" t="n">
        <f aca="false">AQ33*Assumption!$E$164</f>
        <v>0</v>
      </c>
      <c r="AR51" s="158" t="n">
        <f aca="false">AR33*Assumption!$E$164</f>
        <v>0</v>
      </c>
      <c r="AS51" s="158" t="n">
        <f aca="false">AS33*Assumption!$E$164</f>
        <v>0</v>
      </c>
      <c r="AT51" s="158" t="n">
        <f aca="false">AT33*Assumption!$E$164</f>
        <v>0</v>
      </c>
      <c r="AU51" s="158" t="n">
        <f aca="false">AU33*Assumption!$E$164</f>
        <v>0</v>
      </c>
      <c r="AV51" s="158" t="n">
        <f aca="false">AV33*Assumption!$E$164</f>
        <v>0</v>
      </c>
      <c r="AW51" s="158" t="n">
        <f aca="false">AW33*Assumption!$E$164</f>
        <v>0</v>
      </c>
      <c r="AX51" s="158" t="n">
        <f aca="false">AX33*Assumption!$E$164</f>
        <v>0</v>
      </c>
      <c r="AY51" s="158" t="n">
        <f aca="false">AY33*Assumption!$E$164</f>
        <v>0</v>
      </c>
      <c r="AZ51" s="158" t="n">
        <f aca="false">AZ33*Assumption!$E$164</f>
        <v>0</v>
      </c>
      <c r="BA51" s="158" t="n">
        <f aca="false">BA33*Assumption!$E$164</f>
        <v>0</v>
      </c>
      <c r="BB51" s="158" t="n">
        <f aca="false">BB33*Assumption!$E$164</f>
        <v>0</v>
      </c>
      <c r="BC51" s="158" t="n">
        <f aca="false">BC33*Assumption!$E$164</f>
        <v>0</v>
      </c>
      <c r="BD51" s="158" t="n">
        <f aca="false">BD33*Assumption!$E$164</f>
        <v>0</v>
      </c>
      <c r="BE51" s="158" t="n">
        <f aca="false">BE33*Assumption!$E$164</f>
        <v>0</v>
      </c>
      <c r="BF51" s="158" t="n">
        <f aca="false">BF33*Assumption!$E$164</f>
        <v>0</v>
      </c>
      <c r="BG51" s="158" t="n">
        <f aca="false">BG33*Assumption!$E$164</f>
        <v>0</v>
      </c>
      <c r="BH51" s="158" t="n">
        <f aca="false">BH33*Assumption!$E$164</f>
        <v>0</v>
      </c>
      <c r="BI51" s="158" t="n">
        <f aca="false">BI33*Assumption!$E$164</f>
        <v>0</v>
      </c>
      <c r="BJ51" s="158" t="n">
        <f aca="false">BJ33*Assumption!$E$164</f>
        <v>0</v>
      </c>
      <c r="BK51" s="158" t="n">
        <f aca="false">BK33*Assumption!$E$164</f>
        <v>0</v>
      </c>
      <c r="BL51" s="158" t="n">
        <f aca="false">BL33*Assumption!$E$164</f>
        <v>0</v>
      </c>
      <c r="BM51" s="158" t="n">
        <f aca="false">BM33*Assumption!$E$164</f>
        <v>434.9982</v>
      </c>
      <c r="BN51" s="158" t="n">
        <f aca="false">BN33*Assumption!$E$164</f>
        <v>420.966</v>
      </c>
      <c r="BO51" s="158" t="n">
        <f aca="false">BO33*Assumption!$E$164</f>
        <v>434.9982</v>
      </c>
      <c r="BP51" s="158" t="n">
        <f aca="false">BP33*Assumption!$E$164</f>
        <v>420.966</v>
      </c>
      <c r="BQ51" s="158" t="n">
        <f aca="false">BQ33*Assumption!$E$164</f>
        <v>434.9982</v>
      </c>
      <c r="BR51" s="158" t="n">
        <f aca="false">BR33*Assumption!$E$164</f>
        <v>434.9982</v>
      </c>
      <c r="BS51" s="158" t="n">
        <f aca="false">BS33*Assumption!$E$164</f>
        <v>420.966</v>
      </c>
      <c r="BT51" s="158" t="n">
        <f aca="false">BT33*Assumption!$E$164</f>
        <v>434.9982</v>
      </c>
      <c r="BU51" s="158" t="n">
        <f aca="false">BU33*Assumption!$E$164</f>
        <v>420.966</v>
      </c>
      <c r="BV51" s="158" t="n">
        <f aca="false">BV33*Assumption!$E$164</f>
        <v>434.9982</v>
      </c>
      <c r="BW51" s="158" t="n">
        <f aca="false">BW33*Assumption!$E$164</f>
        <v>434.9982</v>
      </c>
      <c r="BX51" s="158" t="n">
        <f aca="false">BX33*Assumption!$E$164</f>
        <v>406.9338</v>
      </c>
      <c r="BY51" s="158" t="n">
        <f aca="false">BY33*Assumption!$E$164</f>
        <v>511.95942</v>
      </c>
      <c r="BZ51" s="158" t="n">
        <f aca="false">BZ33*Assumption!$E$164</f>
        <v>495.4446</v>
      </c>
      <c r="CA51" s="158" t="n">
        <f aca="false">CA33*Assumption!$E$164</f>
        <v>511.95942</v>
      </c>
      <c r="CB51" s="158" t="n">
        <f aca="false">CB33*Assumption!$E$164</f>
        <v>495.4446</v>
      </c>
      <c r="CC51" s="158" t="n">
        <f aca="false">CC33*Assumption!$E$164</f>
        <v>511.95942</v>
      </c>
      <c r="CD51" s="158" t="n">
        <f aca="false">CD33*Assumption!$E$164</f>
        <v>511.95942</v>
      </c>
      <c r="CE51" s="158" t="n">
        <f aca="false">CE33*Assumption!$E$164</f>
        <v>495.4446</v>
      </c>
      <c r="CF51" s="158" t="n">
        <f aca="false">CF33*Assumption!$E$164</f>
        <v>511.95942</v>
      </c>
      <c r="CG51" s="158" t="n">
        <f aca="false">CG33*Assumption!$E$164</f>
        <v>495.4446</v>
      </c>
      <c r="CH51" s="158" t="n">
        <f aca="false">CH33*Assumption!$E$164</f>
        <v>511.95942</v>
      </c>
      <c r="CI51" s="158" t="n">
        <f aca="false">CI33*Assumption!$E$164</f>
        <v>511.95942</v>
      </c>
      <c r="CJ51" s="158" t="n">
        <f aca="false">CJ33*Assumption!$E$164</f>
        <v>462.41496</v>
      </c>
      <c r="CK51" s="158" t="n">
        <f aca="false">CK33*Assumption!$E$164</f>
        <v>522.1986084</v>
      </c>
      <c r="CL51" s="158" t="n">
        <f aca="false">CL33*Assumption!$E$164</f>
        <v>505.353492</v>
      </c>
      <c r="CM51" s="158" t="n">
        <f aca="false">CM33*Assumption!$E$164</f>
        <v>522.1986084</v>
      </c>
      <c r="CN51" s="158" t="n">
        <f aca="false">CN33*Assumption!$E$164</f>
        <v>505.353492</v>
      </c>
      <c r="CO51" s="158" t="n">
        <f aca="false">CO33*Assumption!$E$164</f>
        <v>522.1986084</v>
      </c>
      <c r="CP51" s="158" t="n">
        <f aca="false">CP33*Assumption!$E$164</f>
        <v>522.1986084</v>
      </c>
      <c r="CQ51" s="158" t="n">
        <f aca="false">CQ33*Assumption!$E$164</f>
        <v>505.353492</v>
      </c>
      <c r="CR51" s="158" t="n">
        <f aca="false">CR33*Assumption!$E$164</f>
        <v>522.1986084</v>
      </c>
      <c r="CS51" s="158" t="n">
        <f aca="false">CS33*Assumption!$E$164</f>
        <v>505.353492</v>
      </c>
      <c r="CT51" s="158" t="n">
        <f aca="false">CT33*Assumption!$E$164</f>
        <v>522.1986084</v>
      </c>
      <c r="CU51" s="158" t="n">
        <f aca="false">CU33*Assumption!$E$164</f>
        <v>522.1986084</v>
      </c>
      <c r="CV51" s="158" t="n">
        <f aca="false">CV33*Assumption!$E$164</f>
        <v>471.6632592</v>
      </c>
      <c r="CW51" s="158" t="n">
        <f aca="false">CW33*Assumption!$E$164</f>
        <v>532.642580568</v>
      </c>
      <c r="CX51" s="158" t="n">
        <f aca="false">CX33*Assumption!$E$164</f>
        <v>515.46056184</v>
      </c>
      <c r="CY51" s="158" t="n">
        <f aca="false">CY33*Assumption!$E$164</f>
        <v>532.642580568</v>
      </c>
      <c r="CZ51" s="158" t="n">
        <f aca="false">CZ33*Assumption!$E$164</f>
        <v>515.46056184</v>
      </c>
      <c r="DA51" s="158" t="n">
        <f aca="false">DA33*Assumption!$E$164</f>
        <v>532.642580568</v>
      </c>
      <c r="DB51" s="158" t="n">
        <f aca="false">DB33*Assumption!$E$164</f>
        <v>532.642580568</v>
      </c>
      <c r="DC51" s="158" t="n">
        <f aca="false">DC33*Assumption!$E$164</f>
        <v>515.46056184</v>
      </c>
      <c r="DD51" s="158" t="n">
        <f aca="false">DD33*Assumption!$E$164</f>
        <v>532.642580568</v>
      </c>
      <c r="DE51" s="158" t="n">
        <f aca="false">DE33*Assumption!$E$164</f>
        <v>515.46056184</v>
      </c>
      <c r="DF51" s="158" t="n">
        <f aca="false">DF33*Assumption!$E$164</f>
        <v>532.642580568</v>
      </c>
      <c r="DG51" s="158" t="n">
        <f aca="false">DG33*Assumption!$E$164</f>
        <v>532.642580568</v>
      </c>
      <c r="DH51" s="158" t="n">
        <f aca="false">DH33*Assumption!$E$164</f>
        <v>481.096524384</v>
      </c>
      <c r="DI51" s="158" t="n">
        <f aca="false">DI33*Assumption!$E$164</f>
        <v>543.29543217936</v>
      </c>
      <c r="DJ51" s="158" t="n">
        <f aca="false">DJ33*Assumption!$E$164</f>
        <v>525.7697730768</v>
      </c>
      <c r="DK51" s="158" t="n">
        <f aca="false">DK33*Assumption!$E$164</f>
        <v>543.29543217936</v>
      </c>
      <c r="DL51" s="158" t="n">
        <f aca="false">DL33*Assumption!$E$164</f>
        <v>525.7697730768</v>
      </c>
      <c r="DM51" s="158" t="n">
        <f aca="false">DM33*Assumption!$E$164</f>
        <v>543.29543217936</v>
      </c>
      <c r="DN51" s="158" t="n">
        <f aca="false">DN33*Assumption!$E$164</f>
        <v>543.29543217936</v>
      </c>
      <c r="DO51" s="158" t="n">
        <f aca="false">DO33*Assumption!$E$164</f>
        <v>525.7697730768</v>
      </c>
      <c r="DP51" s="158" t="n">
        <f aca="false">DP33*Assumption!$E$164</f>
        <v>543.29543217936</v>
      </c>
      <c r="DQ51" s="158" t="n">
        <f aca="false">DQ33*Assumption!$E$164</f>
        <v>525.7697730768</v>
      </c>
      <c r="DR51" s="158" t="n">
        <f aca="false">DR33*Assumption!$E$164</f>
        <v>543.29543217936</v>
      </c>
      <c r="DS51" s="158" t="n">
        <f aca="false">DS33*Assumption!$E$164</f>
        <v>543.29543217936</v>
      </c>
      <c r="DT51" s="158" t="n">
        <f aca="false">DT33*Assumption!$E$164</f>
        <v>508.24411397424</v>
      </c>
      <c r="DU51" s="158" t="n">
        <f aca="false">DU33*Assumption!$E$164</f>
        <v>0</v>
      </c>
      <c r="DV51" s="158" t="n">
        <f aca="false">DV33*Assumption!$E$164</f>
        <v>0</v>
      </c>
      <c r="DW51" s="158" t="n">
        <f aca="false">DW33*Assumption!$E$164</f>
        <v>0</v>
      </c>
      <c r="DX51" s="158" t="n">
        <f aca="false">DX33*Assumption!$E$164</f>
        <v>0</v>
      </c>
      <c r="DY51" s="158" t="n">
        <f aca="false">DY33*Assumption!$E$164</f>
        <v>0</v>
      </c>
      <c r="DZ51" s="158" t="n">
        <f aca="false">DZ33*Assumption!$E$164</f>
        <v>0</v>
      </c>
      <c r="EA51" s="158" t="n">
        <f aca="false">EA33*Assumption!$E$164</f>
        <v>0</v>
      </c>
      <c r="EB51" s="158" t="n">
        <f aca="false">EB33*Assumption!$E$164</f>
        <v>0</v>
      </c>
      <c r="EC51" s="158" t="n">
        <f aca="false">EC33*Assumption!$E$164</f>
        <v>0</v>
      </c>
      <c r="ED51" s="158" t="n">
        <f aca="false">ED33*Assumption!$E$164</f>
        <v>0</v>
      </c>
      <c r="EE51" s="158" t="n">
        <f aca="false">EE33*Assumption!$E$164</f>
        <v>0</v>
      </c>
      <c r="EF51" s="158" t="n">
        <f aca="false">EF33*Assumption!$E$164</f>
        <v>0</v>
      </c>
    </row>
    <row r="52" customFormat="false" ht="15" hidden="false" customHeight="false" outlineLevel="0" collapsed="false">
      <c r="A52" s="112" t="s">
        <v>517</v>
      </c>
      <c r="B52" s="241" t="s">
        <v>116</v>
      </c>
      <c r="C52" s="242" t="n">
        <f aca="false">SUM(E52:EF52)</f>
        <v>7285.22615579098</v>
      </c>
      <c r="E52" s="158" t="n">
        <f aca="false">E34*Assumption!$E$165</f>
        <v>0</v>
      </c>
      <c r="F52" s="158" t="n">
        <f aca="false">F34*Assumption!$E$165</f>
        <v>0</v>
      </c>
      <c r="G52" s="158" t="n">
        <f aca="false">G34*Assumption!$E$165</f>
        <v>0</v>
      </c>
      <c r="H52" s="158" t="n">
        <f aca="false">H34*Assumption!$E$165</f>
        <v>0</v>
      </c>
      <c r="I52" s="158" t="n">
        <f aca="false">I34*Assumption!$E$165</f>
        <v>0</v>
      </c>
      <c r="J52" s="158" t="n">
        <f aca="false">J34*Assumption!$E$165</f>
        <v>0</v>
      </c>
      <c r="K52" s="158" t="n">
        <f aca="false">K34*Assumption!$E$165</f>
        <v>0</v>
      </c>
      <c r="L52" s="158" t="n">
        <f aca="false">L34*Assumption!$E$165</f>
        <v>0</v>
      </c>
      <c r="M52" s="158" t="n">
        <f aca="false">M34*Assumption!$E$165</f>
        <v>0</v>
      </c>
      <c r="N52" s="158" t="n">
        <f aca="false">N34*Assumption!$E$165</f>
        <v>0</v>
      </c>
      <c r="O52" s="158" t="n">
        <f aca="false">O34*Assumption!$E$165</f>
        <v>0</v>
      </c>
      <c r="P52" s="158" t="n">
        <f aca="false">P34*Assumption!$E$165</f>
        <v>0</v>
      </c>
      <c r="Q52" s="158" t="n">
        <f aca="false">Q34*Assumption!$E$165</f>
        <v>0</v>
      </c>
      <c r="R52" s="158" t="n">
        <f aca="false">R34*Assumption!$E$165</f>
        <v>0</v>
      </c>
      <c r="S52" s="158" t="n">
        <f aca="false">S34*Assumption!$E$165</f>
        <v>0</v>
      </c>
      <c r="T52" s="158" t="n">
        <f aca="false">T34*Assumption!$E$165</f>
        <v>0</v>
      </c>
      <c r="U52" s="158" t="n">
        <f aca="false">U34*Assumption!$E$165</f>
        <v>0</v>
      </c>
      <c r="V52" s="158" t="n">
        <f aca="false">V34*Assumption!$E$165</f>
        <v>0</v>
      </c>
      <c r="W52" s="158" t="n">
        <f aca="false">W34*Assumption!$E$165</f>
        <v>0</v>
      </c>
      <c r="X52" s="158" t="n">
        <f aca="false">X34*Assumption!$E$165</f>
        <v>0</v>
      </c>
      <c r="Y52" s="158" t="n">
        <f aca="false">Y34*Assumption!$E$165</f>
        <v>0</v>
      </c>
      <c r="Z52" s="158" t="n">
        <f aca="false">Z34*Assumption!$E$165</f>
        <v>0</v>
      </c>
      <c r="AA52" s="158" t="n">
        <f aca="false">AA34*Assumption!$E$165</f>
        <v>0</v>
      </c>
      <c r="AB52" s="158" t="n">
        <f aca="false">AB34*Assumption!$E$165</f>
        <v>0</v>
      </c>
      <c r="AC52" s="158" t="n">
        <f aca="false">AC34*Assumption!$E$165</f>
        <v>0</v>
      </c>
      <c r="AD52" s="158" t="n">
        <f aca="false">AD34*Assumption!$E$165</f>
        <v>0</v>
      </c>
      <c r="AE52" s="158" t="n">
        <f aca="false">AE34*Assumption!$E$165</f>
        <v>0</v>
      </c>
      <c r="AF52" s="158" t="n">
        <f aca="false">AF34*Assumption!$E$165</f>
        <v>0</v>
      </c>
      <c r="AG52" s="158" t="n">
        <f aca="false">AG34*Assumption!$E$165</f>
        <v>0</v>
      </c>
      <c r="AH52" s="158" t="n">
        <f aca="false">AH34*Assumption!$E$165</f>
        <v>0</v>
      </c>
      <c r="AI52" s="158" t="n">
        <f aca="false">AI34*Assumption!$E$165</f>
        <v>0</v>
      </c>
      <c r="AJ52" s="158" t="n">
        <f aca="false">AJ34*Assumption!$E$165</f>
        <v>0</v>
      </c>
      <c r="AK52" s="158" t="n">
        <f aca="false">AK34*Assumption!$E$165</f>
        <v>0</v>
      </c>
      <c r="AL52" s="158" t="n">
        <f aca="false">AL34*Assumption!$E$165</f>
        <v>0</v>
      </c>
      <c r="AM52" s="158" t="n">
        <f aca="false">AM34*Assumption!$E$165</f>
        <v>0</v>
      </c>
      <c r="AN52" s="158" t="n">
        <f aca="false">AN34*Assumption!$E$165</f>
        <v>0</v>
      </c>
      <c r="AO52" s="158" t="n">
        <f aca="false">AO34*Assumption!$E$165</f>
        <v>0</v>
      </c>
      <c r="AP52" s="158" t="n">
        <f aca="false">AP34*Assumption!$E$165</f>
        <v>0</v>
      </c>
      <c r="AQ52" s="158" t="n">
        <f aca="false">AQ34*Assumption!$E$165</f>
        <v>0</v>
      </c>
      <c r="AR52" s="158" t="n">
        <f aca="false">AR34*Assumption!$E$165</f>
        <v>0</v>
      </c>
      <c r="AS52" s="158" t="n">
        <f aca="false">AS34*Assumption!$E$165</f>
        <v>0</v>
      </c>
      <c r="AT52" s="158" t="n">
        <f aca="false">AT34*Assumption!$E$165</f>
        <v>0</v>
      </c>
      <c r="AU52" s="158" t="n">
        <f aca="false">AU34*Assumption!$E$165</f>
        <v>0</v>
      </c>
      <c r="AV52" s="158" t="n">
        <f aca="false">AV34*Assumption!$E$165</f>
        <v>0</v>
      </c>
      <c r="AW52" s="158" t="n">
        <f aca="false">AW34*Assumption!$E$165</f>
        <v>0</v>
      </c>
      <c r="AX52" s="158" t="n">
        <f aca="false">AX34*Assumption!$E$165</f>
        <v>0</v>
      </c>
      <c r="AY52" s="158" t="n">
        <f aca="false">AY34*Assumption!$E$165</f>
        <v>0</v>
      </c>
      <c r="AZ52" s="158" t="n">
        <f aca="false">AZ34*Assumption!$E$165</f>
        <v>0</v>
      </c>
      <c r="BA52" s="158" t="n">
        <f aca="false">BA34*Assumption!$E$165</f>
        <v>0</v>
      </c>
      <c r="BB52" s="158" t="n">
        <f aca="false">BB34*Assumption!$E$165</f>
        <v>0</v>
      </c>
      <c r="BC52" s="158" t="n">
        <f aca="false">BC34*Assumption!$E$165</f>
        <v>0</v>
      </c>
      <c r="BD52" s="158" t="n">
        <f aca="false">BD34*Assumption!$E$165</f>
        <v>0</v>
      </c>
      <c r="BE52" s="158" t="n">
        <f aca="false">BE34*Assumption!$E$165</f>
        <v>0</v>
      </c>
      <c r="BF52" s="158" t="n">
        <f aca="false">BF34*Assumption!$E$165</f>
        <v>0</v>
      </c>
      <c r="BG52" s="158" t="n">
        <f aca="false">BG34*Assumption!$E$165</f>
        <v>0</v>
      </c>
      <c r="BH52" s="158" t="n">
        <f aca="false">BH34*Assumption!$E$165</f>
        <v>0</v>
      </c>
      <c r="BI52" s="158" t="n">
        <f aca="false">BI34*Assumption!$E$165</f>
        <v>0</v>
      </c>
      <c r="BJ52" s="158" t="n">
        <f aca="false">BJ34*Assumption!$E$165</f>
        <v>0</v>
      </c>
      <c r="BK52" s="158" t="n">
        <f aca="false">BK34*Assumption!$E$165</f>
        <v>0</v>
      </c>
      <c r="BL52" s="158" t="n">
        <f aca="false">BL34*Assumption!$E$165</f>
        <v>0</v>
      </c>
      <c r="BM52" s="158" t="n">
        <f aca="false">BM34*Assumption!$E$165</f>
        <v>105.64242</v>
      </c>
      <c r="BN52" s="158" t="n">
        <f aca="false">BN34*Assumption!$E$165</f>
        <v>102.2346</v>
      </c>
      <c r="BO52" s="158" t="n">
        <f aca="false">BO34*Assumption!$E$165</f>
        <v>105.64242</v>
      </c>
      <c r="BP52" s="158" t="n">
        <f aca="false">BP34*Assumption!$E$165</f>
        <v>102.2346</v>
      </c>
      <c r="BQ52" s="158" t="n">
        <f aca="false">BQ34*Assumption!$E$165</f>
        <v>105.64242</v>
      </c>
      <c r="BR52" s="158" t="n">
        <f aca="false">BR34*Assumption!$E$165</f>
        <v>105.64242</v>
      </c>
      <c r="BS52" s="158" t="n">
        <f aca="false">BS34*Assumption!$E$165</f>
        <v>102.2346</v>
      </c>
      <c r="BT52" s="158" t="n">
        <f aca="false">BT34*Assumption!$E$165</f>
        <v>105.64242</v>
      </c>
      <c r="BU52" s="158" t="n">
        <f aca="false">BU34*Assumption!$E$165</f>
        <v>102.2346</v>
      </c>
      <c r="BV52" s="158" t="n">
        <f aca="false">BV34*Assumption!$E$165</f>
        <v>105.64242</v>
      </c>
      <c r="BW52" s="158" t="n">
        <f aca="false">BW34*Assumption!$E$165</f>
        <v>105.64242</v>
      </c>
      <c r="BX52" s="158" t="n">
        <f aca="false">BX34*Assumption!$E$165</f>
        <v>98.82678</v>
      </c>
      <c r="BY52" s="158" t="n">
        <f aca="false">BY34*Assumption!$E$165</f>
        <v>124.333002</v>
      </c>
      <c r="BZ52" s="158" t="n">
        <f aca="false">BZ34*Assumption!$E$165</f>
        <v>120.32226</v>
      </c>
      <c r="CA52" s="158" t="n">
        <f aca="false">CA34*Assumption!$E$165</f>
        <v>124.333002</v>
      </c>
      <c r="CB52" s="158" t="n">
        <f aca="false">CB34*Assumption!$E$165</f>
        <v>120.32226</v>
      </c>
      <c r="CC52" s="158" t="n">
        <f aca="false">CC34*Assumption!$E$165</f>
        <v>124.333002</v>
      </c>
      <c r="CD52" s="158" t="n">
        <f aca="false">CD34*Assumption!$E$165</f>
        <v>124.333002</v>
      </c>
      <c r="CE52" s="158" t="n">
        <f aca="false">CE34*Assumption!$E$165</f>
        <v>120.32226</v>
      </c>
      <c r="CF52" s="158" t="n">
        <f aca="false">CF34*Assumption!$E$165</f>
        <v>124.333002</v>
      </c>
      <c r="CG52" s="158" t="n">
        <f aca="false">CG34*Assumption!$E$165</f>
        <v>120.32226</v>
      </c>
      <c r="CH52" s="158" t="n">
        <f aca="false">CH34*Assumption!$E$165</f>
        <v>124.333002</v>
      </c>
      <c r="CI52" s="158" t="n">
        <f aca="false">CI34*Assumption!$E$165</f>
        <v>124.333002</v>
      </c>
      <c r="CJ52" s="158" t="n">
        <f aca="false">CJ34*Assumption!$E$165</f>
        <v>112.300776</v>
      </c>
      <c r="CK52" s="158" t="n">
        <f aca="false">CK34*Assumption!$E$165</f>
        <v>126.81966204</v>
      </c>
      <c r="CL52" s="158" t="n">
        <f aca="false">CL34*Assumption!$E$165</f>
        <v>122.7287052</v>
      </c>
      <c r="CM52" s="158" t="n">
        <f aca="false">CM34*Assumption!$E$165</f>
        <v>126.81966204</v>
      </c>
      <c r="CN52" s="158" t="n">
        <f aca="false">CN34*Assumption!$E$165</f>
        <v>122.7287052</v>
      </c>
      <c r="CO52" s="158" t="n">
        <f aca="false">CO34*Assumption!$E$165</f>
        <v>126.81966204</v>
      </c>
      <c r="CP52" s="158" t="n">
        <f aca="false">CP34*Assumption!$E$165</f>
        <v>126.81966204</v>
      </c>
      <c r="CQ52" s="158" t="n">
        <f aca="false">CQ34*Assumption!$E$165</f>
        <v>122.7287052</v>
      </c>
      <c r="CR52" s="158" t="n">
        <f aca="false">CR34*Assumption!$E$165</f>
        <v>126.81966204</v>
      </c>
      <c r="CS52" s="158" t="n">
        <f aca="false">CS34*Assumption!$E$165</f>
        <v>122.7287052</v>
      </c>
      <c r="CT52" s="158" t="n">
        <f aca="false">CT34*Assumption!$E$165</f>
        <v>126.81966204</v>
      </c>
      <c r="CU52" s="158" t="n">
        <f aca="false">CU34*Assumption!$E$165</f>
        <v>126.81966204</v>
      </c>
      <c r="CV52" s="158" t="n">
        <f aca="false">CV34*Assumption!$E$165</f>
        <v>114.54679152</v>
      </c>
      <c r="CW52" s="158" t="n">
        <f aca="false">CW34*Assumption!$E$165</f>
        <v>129.3560552808</v>
      </c>
      <c r="CX52" s="158" t="n">
        <f aca="false">CX34*Assumption!$E$165</f>
        <v>125.183279304</v>
      </c>
      <c r="CY52" s="158" t="n">
        <f aca="false">CY34*Assumption!$E$165</f>
        <v>129.3560552808</v>
      </c>
      <c r="CZ52" s="158" t="n">
        <f aca="false">CZ34*Assumption!$E$165</f>
        <v>125.183279304</v>
      </c>
      <c r="DA52" s="158" t="n">
        <f aca="false">DA34*Assumption!$E$165</f>
        <v>129.3560552808</v>
      </c>
      <c r="DB52" s="158" t="n">
        <f aca="false">DB34*Assumption!$E$165</f>
        <v>129.3560552808</v>
      </c>
      <c r="DC52" s="158" t="n">
        <f aca="false">DC34*Assumption!$E$165</f>
        <v>125.183279304</v>
      </c>
      <c r="DD52" s="158" t="n">
        <f aca="false">DD34*Assumption!$E$165</f>
        <v>129.3560552808</v>
      </c>
      <c r="DE52" s="158" t="n">
        <f aca="false">DE34*Assumption!$E$165</f>
        <v>125.183279304</v>
      </c>
      <c r="DF52" s="158" t="n">
        <f aca="false">DF34*Assumption!$E$165</f>
        <v>129.3560552808</v>
      </c>
      <c r="DG52" s="158" t="n">
        <f aca="false">DG34*Assumption!$E$165</f>
        <v>129.3560552808</v>
      </c>
      <c r="DH52" s="158" t="n">
        <f aca="false">DH34*Assumption!$E$165</f>
        <v>116.8377273504</v>
      </c>
      <c r="DI52" s="158" t="n">
        <f aca="false">DI34*Assumption!$E$165</f>
        <v>131.943176386416</v>
      </c>
      <c r="DJ52" s="158" t="n">
        <f aca="false">DJ34*Assumption!$E$165</f>
        <v>127.68694489008</v>
      </c>
      <c r="DK52" s="158" t="n">
        <f aca="false">DK34*Assumption!$E$165</f>
        <v>131.943176386416</v>
      </c>
      <c r="DL52" s="158" t="n">
        <f aca="false">DL34*Assumption!$E$165</f>
        <v>127.68694489008</v>
      </c>
      <c r="DM52" s="158" t="n">
        <f aca="false">DM34*Assumption!$E$165</f>
        <v>131.943176386416</v>
      </c>
      <c r="DN52" s="158" t="n">
        <f aca="false">DN34*Assumption!$E$165</f>
        <v>131.943176386416</v>
      </c>
      <c r="DO52" s="158" t="n">
        <f aca="false">DO34*Assumption!$E$165</f>
        <v>127.68694489008</v>
      </c>
      <c r="DP52" s="158" t="n">
        <f aca="false">DP34*Assumption!$E$165</f>
        <v>131.943176386416</v>
      </c>
      <c r="DQ52" s="158" t="n">
        <f aca="false">DQ34*Assumption!$E$165</f>
        <v>127.68694489008</v>
      </c>
      <c r="DR52" s="158" t="n">
        <f aca="false">DR34*Assumption!$E$165</f>
        <v>131.943176386416</v>
      </c>
      <c r="DS52" s="158" t="n">
        <f aca="false">DS34*Assumption!$E$165</f>
        <v>131.943176386416</v>
      </c>
      <c r="DT52" s="158" t="n">
        <f aca="false">DT34*Assumption!$E$165</f>
        <v>123.430713393744</v>
      </c>
      <c r="DU52" s="158" t="n">
        <f aca="false">DU34*Assumption!$E$165</f>
        <v>0</v>
      </c>
      <c r="DV52" s="158" t="n">
        <f aca="false">DV34*Assumption!$E$165</f>
        <v>0</v>
      </c>
      <c r="DW52" s="158" t="n">
        <f aca="false">DW34*Assumption!$E$165</f>
        <v>0</v>
      </c>
      <c r="DX52" s="158" t="n">
        <f aca="false">DX34*Assumption!$E$165</f>
        <v>0</v>
      </c>
      <c r="DY52" s="158" t="n">
        <f aca="false">DY34*Assumption!$E$165</f>
        <v>0</v>
      </c>
      <c r="DZ52" s="158" t="n">
        <f aca="false">DZ34*Assumption!$E$165</f>
        <v>0</v>
      </c>
      <c r="EA52" s="158" t="n">
        <f aca="false">EA34*Assumption!$E$165</f>
        <v>0</v>
      </c>
      <c r="EB52" s="158" t="n">
        <f aca="false">EB34*Assumption!$E$165</f>
        <v>0</v>
      </c>
      <c r="EC52" s="158" t="n">
        <f aca="false">EC34*Assumption!$E$165</f>
        <v>0</v>
      </c>
      <c r="ED52" s="158" t="n">
        <f aca="false">ED34*Assumption!$E$165</f>
        <v>0</v>
      </c>
      <c r="EE52" s="158" t="n">
        <f aca="false">EE34*Assumption!$E$165</f>
        <v>0</v>
      </c>
      <c r="EF52" s="158" t="n">
        <f aca="false">EF34*Assumption!$E$165</f>
        <v>0</v>
      </c>
    </row>
    <row r="53" customFormat="false" ht="15" hidden="false" customHeight="false" outlineLevel="0" collapsed="false">
      <c r="A53" s="35" t="s">
        <v>518</v>
      </c>
      <c r="B53" s="241" t="s">
        <v>116</v>
      </c>
      <c r="C53" s="242" t="n">
        <f aca="false">SUM(E53:EF53)</f>
        <v>9356.59565574672</v>
      </c>
      <c r="E53" s="158" t="n">
        <f aca="false">E35*CHOOSE(MIN(MAX(E16,1),3),Assumption!$E$178,Assumption!$E$179,Assumption!$E$180)</f>
        <v>0</v>
      </c>
      <c r="F53" s="158" t="n">
        <f aca="false">F35*CHOOSE(MIN(MAX(F16,1),3),Assumption!$E$178,Assumption!$E$179,Assumption!$E$180)</f>
        <v>0</v>
      </c>
      <c r="G53" s="158" t="n">
        <f aca="false">G35*CHOOSE(MIN(MAX(G16,1),3),Assumption!$E$178,Assumption!$E$179,Assumption!$E$180)</f>
        <v>0</v>
      </c>
      <c r="H53" s="158" t="n">
        <f aca="false">H35*CHOOSE(MIN(MAX(H16,1),3),Assumption!$E$178,Assumption!$E$179,Assumption!$E$180)</f>
        <v>0</v>
      </c>
      <c r="I53" s="158" t="n">
        <f aca="false">I35*CHOOSE(MIN(MAX(I16,1),3),Assumption!$E$178,Assumption!$E$179,Assumption!$E$180)</f>
        <v>0</v>
      </c>
      <c r="J53" s="158" t="n">
        <f aca="false">J35*CHOOSE(MIN(MAX(J16,1),3),Assumption!$E$178,Assumption!$E$179,Assumption!$E$180)</f>
        <v>0</v>
      </c>
      <c r="K53" s="158" t="n">
        <f aca="false">K35*CHOOSE(MIN(MAX(K16,1),3),Assumption!$E$178,Assumption!$E$179,Assumption!$E$180)</f>
        <v>0</v>
      </c>
      <c r="L53" s="158" t="n">
        <f aca="false">L35*CHOOSE(MIN(MAX(L16,1),3),Assumption!$E$178,Assumption!$E$179,Assumption!$E$180)</f>
        <v>0</v>
      </c>
      <c r="M53" s="158" t="n">
        <f aca="false">M35*CHOOSE(MIN(MAX(M16,1),3),Assumption!$E$178,Assumption!$E$179,Assumption!$E$180)</f>
        <v>0</v>
      </c>
      <c r="N53" s="158" t="n">
        <f aca="false">N35*CHOOSE(MIN(MAX(N16,1),3),Assumption!$E$178,Assumption!$E$179,Assumption!$E$180)</f>
        <v>0</v>
      </c>
      <c r="O53" s="158" t="n">
        <f aca="false">O35*CHOOSE(MIN(MAX(O16,1),3),Assumption!$E$178,Assumption!$E$179,Assumption!$E$180)</f>
        <v>0</v>
      </c>
      <c r="P53" s="158" t="n">
        <f aca="false">P35*CHOOSE(MIN(MAX(P16,1),3),Assumption!$E$178,Assumption!$E$179,Assumption!$E$180)</f>
        <v>0</v>
      </c>
      <c r="Q53" s="158" t="n">
        <f aca="false">Q35*CHOOSE(MIN(MAX(Q16,1),3),Assumption!$E$178,Assumption!$E$179,Assumption!$E$180)</f>
        <v>0</v>
      </c>
      <c r="R53" s="158" t="n">
        <f aca="false">R35*CHOOSE(MIN(MAX(R16,1),3),Assumption!$E$178,Assumption!$E$179,Assumption!$E$180)</f>
        <v>0</v>
      </c>
      <c r="S53" s="158" t="n">
        <f aca="false">S35*CHOOSE(MIN(MAX(S16,1),3),Assumption!$E$178,Assumption!$E$179,Assumption!$E$180)</f>
        <v>0</v>
      </c>
      <c r="T53" s="158" t="n">
        <f aca="false">T35*CHOOSE(MIN(MAX(T16,1),3),Assumption!$E$178,Assumption!$E$179,Assumption!$E$180)</f>
        <v>0</v>
      </c>
      <c r="U53" s="158" t="n">
        <f aca="false">U35*CHOOSE(MIN(MAX(U16,1),3),Assumption!$E$178,Assumption!$E$179,Assumption!$E$180)</f>
        <v>0</v>
      </c>
      <c r="V53" s="158" t="n">
        <f aca="false">V35*CHOOSE(MIN(MAX(V16,1),3),Assumption!$E$178,Assumption!$E$179,Assumption!$E$180)</f>
        <v>0</v>
      </c>
      <c r="W53" s="158" t="n">
        <f aca="false">W35*CHOOSE(MIN(MAX(W16,1),3),Assumption!$E$178,Assumption!$E$179,Assumption!$E$180)</f>
        <v>0</v>
      </c>
      <c r="X53" s="158" t="n">
        <f aca="false">X35*CHOOSE(MIN(MAX(X16,1),3),Assumption!$E$178,Assumption!$E$179,Assumption!$E$180)</f>
        <v>0</v>
      </c>
      <c r="Y53" s="158" t="n">
        <f aca="false">Y35*CHOOSE(MIN(MAX(Y16,1),3),Assumption!$E$178,Assumption!$E$179,Assumption!$E$180)</f>
        <v>0</v>
      </c>
      <c r="Z53" s="158" t="n">
        <f aca="false">Z35*CHOOSE(MIN(MAX(Z16,1),3),Assumption!$E$178,Assumption!$E$179,Assumption!$E$180)</f>
        <v>0</v>
      </c>
      <c r="AA53" s="158" t="n">
        <f aca="false">AA35*CHOOSE(MIN(MAX(AA16,1),3),Assumption!$E$178,Assumption!$E$179,Assumption!$E$180)</f>
        <v>0</v>
      </c>
      <c r="AB53" s="158" t="n">
        <f aca="false">AB35*CHOOSE(MIN(MAX(AB16,1),3),Assumption!$E$178,Assumption!$E$179,Assumption!$E$180)</f>
        <v>0</v>
      </c>
      <c r="AC53" s="158" t="n">
        <f aca="false">AC35*CHOOSE(MIN(MAX(AC16,1),3),Assumption!$E$178,Assumption!$E$179,Assumption!$E$180)</f>
        <v>0</v>
      </c>
      <c r="AD53" s="158" t="n">
        <f aca="false">AD35*CHOOSE(MIN(MAX(AD16,1),3),Assumption!$E$178,Assumption!$E$179,Assumption!$E$180)</f>
        <v>0</v>
      </c>
      <c r="AE53" s="158" t="n">
        <f aca="false">AE35*CHOOSE(MIN(MAX(AE16,1),3),Assumption!$E$178,Assumption!$E$179,Assumption!$E$180)</f>
        <v>0</v>
      </c>
      <c r="AF53" s="158" t="n">
        <f aca="false">AF35*CHOOSE(MIN(MAX(AF16,1),3),Assumption!$E$178,Assumption!$E$179,Assumption!$E$180)</f>
        <v>0</v>
      </c>
      <c r="AG53" s="158" t="n">
        <f aca="false">AG35*CHOOSE(MIN(MAX(AG16,1),3),Assumption!$E$178,Assumption!$E$179,Assumption!$E$180)</f>
        <v>0</v>
      </c>
      <c r="AH53" s="158" t="n">
        <f aca="false">AH35*CHOOSE(MIN(MAX(AH16,1),3),Assumption!$E$178,Assumption!$E$179,Assumption!$E$180)</f>
        <v>0</v>
      </c>
      <c r="AI53" s="158" t="n">
        <f aca="false">AI35*CHOOSE(MIN(MAX(AI16,1),3),Assumption!$E$178,Assumption!$E$179,Assumption!$E$180)</f>
        <v>0</v>
      </c>
      <c r="AJ53" s="158" t="n">
        <f aca="false">AJ35*CHOOSE(MIN(MAX(AJ16,1),3),Assumption!$E$178,Assumption!$E$179,Assumption!$E$180)</f>
        <v>0</v>
      </c>
      <c r="AK53" s="158" t="n">
        <f aca="false">AK35*CHOOSE(MIN(MAX(AK16,1),3),Assumption!$E$178,Assumption!$E$179,Assumption!$E$180)</f>
        <v>0</v>
      </c>
      <c r="AL53" s="158" t="n">
        <f aca="false">AL35*CHOOSE(MIN(MAX(AL16,1),3),Assumption!$E$178,Assumption!$E$179,Assumption!$E$180)</f>
        <v>0</v>
      </c>
      <c r="AM53" s="158" t="n">
        <f aca="false">AM35*CHOOSE(MIN(MAX(AM16,1),3),Assumption!$E$178,Assumption!$E$179,Assumption!$E$180)</f>
        <v>0</v>
      </c>
      <c r="AN53" s="158" t="n">
        <f aca="false">AN35*CHOOSE(MIN(MAX(AN16,1),3),Assumption!$E$178,Assumption!$E$179,Assumption!$E$180)</f>
        <v>0</v>
      </c>
      <c r="AO53" s="158" t="n">
        <f aca="false">AO35*CHOOSE(MIN(MAX(AO16,1),3),Assumption!$E$178,Assumption!$E$179,Assumption!$E$180)</f>
        <v>0</v>
      </c>
      <c r="AP53" s="158" t="n">
        <f aca="false">AP35*CHOOSE(MIN(MAX(AP16,1),3),Assumption!$E$178,Assumption!$E$179,Assumption!$E$180)</f>
        <v>0</v>
      </c>
      <c r="AQ53" s="158" t="n">
        <f aca="false">AQ35*CHOOSE(MIN(MAX(AQ16,1),3),Assumption!$E$178,Assumption!$E$179,Assumption!$E$180)</f>
        <v>0</v>
      </c>
      <c r="AR53" s="158" t="n">
        <f aca="false">AR35*CHOOSE(MIN(MAX(AR16,1),3),Assumption!$E$178,Assumption!$E$179,Assumption!$E$180)</f>
        <v>0</v>
      </c>
      <c r="AS53" s="158" t="n">
        <f aca="false">AS35*CHOOSE(MIN(MAX(AS16,1),3),Assumption!$E$178,Assumption!$E$179,Assumption!$E$180)</f>
        <v>0</v>
      </c>
      <c r="AT53" s="158" t="n">
        <f aca="false">AT35*CHOOSE(MIN(MAX(AT16,1),3),Assumption!$E$178,Assumption!$E$179,Assumption!$E$180)</f>
        <v>0</v>
      </c>
      <c r="AU53" s="158" t="n">
        <f aca="false">AU35*CHOOSE(MIN(MAX(AU16,1),3),Assumption!$E$178,Assumption!$E$179,Assumption!$E$180)</f>
        <v>0</v>
      </c>
      <c r="AV53" s="158" t="n">
        <f aca="false">AV35*CHOOSE(MIN(MAX(AV16,1),3),Assumption!$E$178,Assumption!$E$179,Assumption!$E$180)</f>
        <v>0</v>
      </c>
      <c r="AW53" s="158" t="n">
        <f aca="false">AW35*CHOOSE(MIN(MAX(AW16,1),3),Assumption!$E$178,Assumption!$E$179,Assumption!$E$180)</f>
        <v>0</v>
      </c>
      <c r="AX53" s="158" t="n">
        <f aca="false">AX35*CHOOSE(MIN(MAX(AX16,1),3),Assumption!$E$178,Assumption!$E$179,Assumption!$E$180)</f>
        <v>0</v>
      </c>
      <c r="AY53" s="158" t="n">
        <f aca="false">AY35*CHOOSE(MIN(MAX(AY16,1),3),Assumption!$E$178,Assumption!$E$179,Assumption!$E$180)</f>
        <v>0</v>
      </c>
      <c r="AZ53" s="158" t="n">
        <f aca="false">AZ35*CHOOSE(MIN(MAX(AZ16,1),3),Assumption!$E$178,Assumption!$E$179,Assumption!$E$180)</f>
        <v>0</v>
      </c>
      <c r="BA53" s="158" t="n">
        <f aca="false">BA35*CHOOSE(MIN(MAX(BA16,1),3),Assumption!$E$178,Assumption!$E$179,Assumption!$E$180)</f>
        <v>0</v>
      </c>
      <c r="BB53" s="158" t="n">
        <f aca="false">BB35*CHOOSE(MIN(MAX(BB16,1),3),Assumption!$E$178,Assumption!$E$179,Assumption!$E$180)</f>
        <v>0</v>
      </c>
      <c r="BC53" s="158" t="n">
        <f aca="false">BC35*CHOOSE(MIN(MAX(BC16,1),3),Assumption!$E$178,Assumption!$E$179,Assumption!$E$180)</f>
        <v>0</v>
      </c>
      <c r="BD53" s="158" t="n">
        <f aca="false">BD35*CHOOSE(MIN(MAX(BD16,1),3),Assumption!$E$178,Assumption!$E$179,Assumption!$E$180)</f>
        <v>0</v>
      </c>
      <c r="BE53" s="158" t="n">
        <f aca="false">BE35*CHOOSE(MIN(MAX(BE16,1),3),Assumption!$E$178,Assumption!$E$179,Assumption!$E$180)</f>
        <v>0</v>
      </c>
      <c r="BF53" s="158" t="n">
        <f aca="false">BF35*CHOOSE(MIN(MAX(BF16,1),3),Assumption!$E$178,Assumption!$E$179,Assumption!$E$180)</f>
        <v>0</v>
      </c>
      <c r="BG53" s="158" t="n">
        <f aca="false">BG35*CHOOSE(MIN(MAX(BG16,1),3),Assumption!$E$178,Assumption!$E$179,Assumption!$E$180)</f>
        <v>0</v>
      </c>
      <c r="BH53" s="158" t="n">
        <f aca="false">BH35*CHOOSE(MIN(MAX(BH16,1),3),Assumption!$E$178,Assumption!$E$179,Assumption!$E$180)</f>
        <v>0</v>
      </c>
      <c r="BI53" s="158" t="n">
        <f aca="false">BI35*CHOOSE(MIN(MAX(BI16,1),3),Assumption!$E$178,Assumption!$E$179,Assumption!$E$180)</f>
        <v>0</v>
      </c>
      <c r="BJ53" s="158" t="n">
        <f aca="false">BJ35*CHOOSE(MIN(MAX(BJ16,1),3),Assumption!$E$178,Assumption!$E$179,Assumption!$E$180)</f>
        <v>0</v>
      </c>
      <c r="BK53" s="158" t="n">
        <f aca="false">BK35*CHOOSE(MIN(MAX(BK16,1),3),Assumption!$E$178,Assumption!$E$179,Assumption!$E$180)</f>
        <v>0</v>
      </c>
      <c r="BL53" s="158" t="n">
        <f aca="false">BL35*CHOOSE(MIN(MAX(BL16,1),3),Assumption!$E$178,Assumption!$E$179,Assumption!$E$180)</f>
        <v>0</v>
      </c>
      <c r="BM53" s="158" t="n">
        <f aca="false">BM35*CHOOSE(MIN(MAX(BM16,1),3),Assumption!$E$178,Assumption!$E$179,Assumption!$E$180)</f>
        <v>287.74122</v>
      </c>
      <c r="BN53" s="158" t="n">
        <f aca="false">BN35*CHOOSE(MIN(MAX(BN16,1),3),Assumption!$E$178,Assumption!$E$179,Assumption!$E$180)</f>
        <v>287.74122</v>
      </c>
      <c r="BO53" s="158" t="n">
        <f aca="false">BO35*CHOOSE(MIN(MAX(BO16,1),3),Assumption!$E$178,Assumption!$E$179,Assumption!$E$180)</f>
        <v>287.74122</v>
      </c>
      <c r="BP53" s="158" t="n">
        <f aca="false">BP35*CHOOSE(MIN(MAX(BP16,1),3),Assumption!$E$178,Assumption!$E$179,Assumption!$E$180)</f>
        <v>287.74122</v>
      </c>
      <c r="BQ53" s="158" t="n">
        <f aca="false">BQ35*CHOOSE(MIN(MAX(BQ16,1),3),Assumption!$E$178,Assumption!$E$179,Assumption!$E$180)</f>
        <v>287.74122</v>
      </c>
      <c r="BR53" s="158" t="n">
        <f aca="false">BR35*CHOOSE(MIN(MAX(BR16,1),3),Assumption!$E$178,Assumption!$E$179,Assumption!$E$180)</f>
        <v>287.74122</v>
      </c>
      <c r="BS53" s="158" t="n">
        <f aca="false">BS35*CHOOSE(MIN(MAX(BS16,1),3),Assumption!$E$178,Assumption!$E$179,Assumption!$E$180)</f>
        <v>287.74122</v>
      </c>
      <c r="BT53" s="158" t="n">
        <f aca="false">BT35*CHOOSE(MIN(MAX(BT16,1),3),Assumption!$E$178,Assumption!$E$179,Assumption!$E$180)</f>
        <v>287.74122</v>
      </c>
      <c r="BU53" s="158" t="n">
        <f aca="false">BU35*CHOOSE(MIN(MAX(BU16,1),3),Assumption!$E$178,Assumption!$E$179,Assumption!$E$180)</f>
        <v>287.74122</v>
      </c>
      <c r="BV53" s="158" t="n">
        <f aca="false">BV35*CHOOSE(MIN(MAX(BV16,1),3),Assumption!$E$178,Assumption!$E$179,Assumption!$E$180)</f>
        <v>287.74122</v>
      </c>
      <c r="BW53" s="158" t="n">
        <f aca="false">BW35*CHOOSE(MIN(MAX(BW16,1),3),Assumption!$E$178,Assumption!$E$179,Assumption!$E$180)</f>
        <v>287.74122</v>
      </c>
      <c r="BX53" s="158" t="n">
        <f aca="false">BX35*CHOOSE(MIN(MAX(BX16,1),3),Assumption!$E$178,Assumption!$E$179,Assumption!$E$180)</f>
        <v>287.74122</v>
      </c>
      <c r="BY53" s="158" t="n">
        <f aca="false">BY35*CHOOSE(MIN(MAX(BY16,1),3),Assumption!$E$178,Assumption!$E$179,Assumption!$E$180)</f>
        <v>119.36484125748</v>
      </c>
      <c r="BZ53" s="158" t="n">
        <f aca="false">BZ35*CHOOSE(MIN(MAX(BZ16,1),3),Assumption!$E$178,Assumption!$E$179,Assumption!$E$180)</f>
        <v>119.36484125748</v>
      </c>
      <c r="CA53" s="158" t="n">
        <f aca="false">CA35*CHOOSE(MIN(MAX(CA16,1),3),Assumption!$E$178,Assumption!$E$179,Assumption!$E$180)</f>
        <v>119.36484125748</v>
      </c>
      <c r="CB53" s="158" t="n">
        <f aca="false">CB35*CHOOSE(MIN(MAX(CB16,1),3),Assumption!$E$178,Assumption!$E$179,Assumption!$E$180)</f>
        <v>119.36484125748</v>
      </c>
      <c r="CC53" s="158" t="n">
        <f aca="false">CC35*CHOOSE(MIN(MAX(CC16,1),3),Assumption!$E$178,Assumption!$E$179,Assumption!$E$180)</f>
        <v>119.36484125748</v>
      </c>
      <c r="CD53" s="158" t="n">
        <f aca="false">CD35*CHOOSE(MIN(MAX(CD16,1),3),Assumption!$E$178,Assumption!$E$179,Assumption!$E$180)</f>
        <v>119.36484125748</v>
      </c>
      <c r="CE53" s="158" t="n">
        <f aca="false">CE35*CHOOSE(MIN(MAX(CE16,1),3),Assumption!$E$178,Assumption!$E$179,Assumption!$E$180)</f>
        <v>119.36484125748</v>
      </c>
      <c r="CF53" s="158" t="n">
        <f aca="false">CF35*CHOOSE(MIN(MAX(CF16,1),3),Assumption!$E$178,Assumption!$E$179,Assumption!$E$180)</f>
        <v>119.36484125748</v>
      </c>
      <c r="CG53" s="158" t="n">
        <f aca="false">CG35*CHOOSE(MIN(MAX(CG16,1),3),Assumption!$E$178,Assumption!$E$179,Assumption!$E$180)</f>
        <v>119.36484125748</v>
      </c>
      <c r="CH53" s="158" t="n">
        <f aca="false">CH35*CHOOSE(MIN(MAX(CH16,1),3),Assumption!$E$178,Assumption!$E$179,Assumption!$E$180)</f>
        <v>119.36484125748</v>
      </c>
      <c r="CI53" s="158" t="n">
        <f aca="false">CI35*CHOOSE(MIN(MAX(CI16,1),3),Assumption!$E$178,Assumption!$E$179,Assumption!$E$180)</f>
        <v>119.36484125748</v>
      </c>
      <c r="CJ53" s="158" t="n">
        <f aca="false">CJ35*CHOOSE(MIN(MAX(CJ16,1),3),Assumption!$E$178,Assumption!$E$179,Assumption!$E$180)</f>
        <v>119.36484125748</v>
      </c>
      <c r="CK53" s="158" t="n">
        <f aca="false">CK35*CHOOSE(MIN(MAX(CK16,1),3),Assumption!$E$178,Assumption!$E$179,Assumption!$E$180)</f>
        <v>121.75213808263</v>
      </c>
      <c r="CL53" s="158" t="n">
        <f aca="false">CL35*CHOOSE(MIN(MAX(CL16,1),3),Assumption!$E$178,Assumption!$E$179,Assumption!$E$180)</f>
        <v>121.75213808263</v>
      </c>
      <c r="CM53" s="158" t="n">
        <f aca="false">CM35*CHOOSE(MIN(MAX(CM16,1),3),Assumption!$E$178,Assumption!$E$179,Assumption!$E$180)</f>
        <v>121.75213808263</v>
      </c>
      <c r="CN53" s="158" t="n">
        <f aca="false">CN35*CHOOSE(MIN(MAX(CN16,1),3),Assumption!$E$178,Assumption!$E$179,Assumption!$E$180)</f>
        <v>121.75213808263</v>
      </c>
      <c r="CO53" s="158" t="n">
        <f aca="false">CO35*CHOOSE(MIN(MAX(CO16,1),3),Assumption!$E$178,Assumption!$E$179,Assumption!$E$180)</f>
        <v>121.75213808263</v>
      </c>
      <c r="CP53" s="158" t="n">
        <f aca="false">CP35*CHOOSE(MIN(MAX(CP16,1),3),Assumption!$E$178,Assumption!$E$179,Assumption!$E$180)</f>
        <v>121.75213808263</v>
      </c>
      <c r="CQ53" s="158" t="n">
        <f aca="false">CQ35*CHOOSE(MIN(MAX(CQ16,1),3),Assumption!$E$178,Assumption!$E$179,Assumption!$E$180)</f>
        <v>121.75213808263</v>
      </c>
      <c r="CR53" s="158" t="n">
        <f aca="false">CR35*CHOOSE(MIN(MAX(CR16,1),3),Assumption!$E$178,Assumption!$E$179,Assumption!$E$180)</f>
        <v>121.75213808263</v>
      </c>
      <c r="CS53" s="158" t="n">
        <f aca="false">CS35*CHOOSE(MIN(MAX(CS16,1),3),Assumption!$E$178,Assumption!$E$179,Assumption!$E$180)</f>
        <v>121.75213808263</v>
      </c>
      <c r="CT53" s="158" t="n">
        <f aca="false">CT35*CHOOSE(MIN(MAX(CT16,1),3),Assumption!$E$178,Assumption!$E$179,Assumption!$E$180)</f>
        <v>121.75213808263</v>
      </c>
      <c r="CU53" s="158" t="n">
        <f aca="false">CU35*CHOOSE(MIN(MAX(CU16,1),3),Assumption!$E$178,Assumption!$E$179,Assumption!$E$180)</f>
        <v>121.75213808263</v>
      </c>
      <c r="CV53" s="158" t="n">
        <f aca="false">CV35*CHOOSE(MIN(MAX(CV16,1),3),Assumption!$E$178,Assumption!$E$179,Assumption!$E$180)</f>
        <v>121.75213808263</v>
      </c>
      <c r="CW53" s="158" t="n">
        <f aca="false">CW35*CHOOSE(MIN(MAX(CW16,1),3),Assumption!$E$178,Assumption!$E$179,Assumption!$E$180)</f>
        <v>124.187180844282</v>
      </c>
      <c r="CX53" s="158" t="n">
        <f aca="false">CX35*CHOOSE(MIN(MAX(CX16,1),3),Assumption!$E$178,Assumption!$E$179,Assumption!$E$180)</f>
        <v>124.187180844282</v>
      </c>
      <c r="CY53" s="158" t="n">
        <f aca="false">CY35*CHOOSE(MIN(MAX(CY16,1),3),Assumption!$E$178,Assumption!$E$179,Assumption!$E$180)</f>
        <v>124.187180844282</v>
      </c>
      <c r="CZ53" s="158" t="n">
        <f aca="false">CZ35*CHOOSE(MIN(MAX(CZ16,1),3),Assumption!$E$178,Assumption!$E$179,Assumption!$E$180)</f>
        <v>124.187180844282</v>
      </c>
      <c r="DA53" s="158" t="n">
        <f aca="false">DA35*CHOOSE(MIN(MAX(DA16,1),3),Assumption!$E$178,Assumption!$E$179,Assumption!$E$180)</f>
        <v>124.187180844282</v>
      </c>
      <c r="DB53" s="158" t="n">
        <f aca="false">DB35*CHOOSE(MIN(MAX(DB16,1),3),Assumption!$E$178,Assumption!$E$179,Assumption!$E$180)</f>
        <v>124.187180844282</v>
      </c>
      <c r="DC53" s="158" t="n">
        <f aca="false">DC35*CHOOSE(MIN(MAX(DC16,1),3),Assumption!$E$178,Assumption!$E$179,Assumption!$E$180)</f>
        <v>124.187180844282</v>
      </c>
      <c r="DD53" s="158" t="n">
        <f aca="false">DD35*CHOOSE(MIN(MAX(DD16,1),3),Assumption!$E$178,Assumption!$E$179,Assumption!$E$180)</f>
        <v>124.187180844282</v>
      </c>
      <c r="DE53" s="158" t="n">
        <f aca="false">DE35*CHOOSE(MIN(MAX(DE16,1),3),Assumption!$E$178,Assumption!$E$179,Assumption!$E$180)</f>
        <v>124.187180844282</v>
      </c>
      <c r="DF53" s="158" t="n">
        <f aca="false">DF35*CHOOSE(MIN(MAX(DF16,1),3),Assumption!$E$178,Assumption!$E$179,Assumption!$E$180)</f>
        <v>124.187180844282</v>
      </c>
      <c r="DG53" s="158" t="n">
        <f aca="false">DG35*CHOOSE(MIN(MAX(DG16,1),3),Assumption!$E$178,Assumption!$E$179,Assumption!$E$180)</f>
        <v>124.187180844282</v>
      </c>
      <c r="DH53" s="158" t="n">
        <f aca="false">DH35*CHOOSE(MIN(MAX(DH16,1),3),Assumption!$E$178,Assumption!$E$179,Assumption!$E$180)</f>
        <v>124.187180844282</v>
      </c>
      <c r="DI53" s="158" t="n">
        <f aca="false">DI35*CHOOSE(MIN(MAX(DI16,1),3),Assumption!$E$178,Assumption!$E$179,Assumption!$E$180)</f>
        <v>126.670924461168</v>
      </c>
      <c r="DJ53" s="158" t="n">
        <f aca="false">DJ35*CHOOSE(MIN(MAX(DJ16,1),3),Assumption!$E$178,Assumption!$E$179,Assumption!$E$180)</f>
        <v>126.670924461168</v>
      </c>
      <c r="DK53" s="158" t="n">
        <f aca="false">DK35*CHOOSE(MIN(MAX(DK16,1),3),Assumption!$E$178,Assumption!$E$179,Assumption!$E$180)</f>
        <v>126.670924461168</v>
      </c>
      <c r="DL53" s="158" t="n">
        <f aca="false">DL35*CHOOSE(MIN(MAX(DL16,1),3),Assumption!$E$178,Assumption!$E$179,Assumption!$E$180)</f>
        <v>126.670924461168</v>
      </c>
      <c r="DM53" s="158" t="n">
        <f aca="false">DM35*CHOOSE(MIN(MAX(DM16,1),3),Assumption!$E$178,Assumption!$E$179,Assumption!$E$180)</f>
        <v>126.670924461168</v>
      </c>
      <c r="DN53" s="158" t="n">
        <f aca="false">DN35*CHOOSE(MIN(MAX(DN16,1),3),Assumption!$E$178,Assumption!$E$179,Assumption!$E$180)</f>
        <v>126.670924461168</v>
      </c>
      <c r="DO53" s="158" t="n">
        <f aca="false">DO35*CHOOSE(MIN(MAX(DO16,1),3),Assumption!$E$178,Assumption!$E$179,Assumption!$E$180)</f>
        <v>126.670924461168</v>
      </c>
      <c r="DP53" s="158" t="n">
        <f aca="false">DP35*CHOOSE(MIN(MAX(DP16,1),3),Assumption!$E$178,Assumption!$E$179,Assumption!$E$180)</f>
        <v>126.670924461168</v>
      </c>
      <c r="DQ53" s="158" t="n">
        <f aca="false">DQ35*CHOOSE(MIN(MAX(DQ16,1),3),Assumption!$E$178,Assumption!$E$179,Assumption!$E$180)</f>
        <v>126.670924461168</v>
      </c>
      <c r="DR53" s="158" t="n">
        <f aca="false">DR35*CHOOSE(MIN(MAX(DR16,1),3),Assumption!$E$178,Assumption!$E$179,Assumption!$E$180)</f>
        <v>126.670924461168</v>
      </c>
      <c r="DS53" s="158" t="n">
        <f aca="false">DS35*CHOOSE(MIN(MAX(DS16,1),3),Assumption!$E$178,Assumption!$E$179,Assumption!$E$180)</f>
        <v>126.670924461168</v>
      </c>
      <c r="DT53" s="158" t="n">
        <f aca="false">DT35*CHOOSE(MIN(MAX(DT16,1),3),Assumption!$E$178,Assumption!$E$179,Assumption!$E$180)</f>
        <v>126.670924461168</v>
      </c>
      <c r="DU53" s="158" t="n">
        <f aca="false">DU35*CHOOSE(MIN(MAX(DU16,1),3),Assumption!$E$178,Assumption!$E$179,Assumption!$E$180)</f>
        <v>0</v>
      </c>
      <c r="DV53" s="158" t="n">
        <f aca="false">DV35*CHOOSE(MIN(MAX(DV16,1),3),Assumption!$E$178,Assumption!$E$179,Assumption!$E$180)</f>
        <v>0</v>
      </c>
      <c r="DW53" s="158" t="n">
        <f aca="false">DW35*CHOOSE(MIN(MAX(DW16,1),3),Assumption!$E$178,Assumption!$E$179,Assumption!$E$180)</f>
        <v>0</v>
      </c>
      <c r="DX53" s="158" t="n">
        <f aca="false">DX35*CHOOSE(MIN(MAX(DX16,1),3),Assumption!$E$178,Assumption!$E$179,Assumption!$E$180)</f>
        <v>0</v>
      </c>
      <c r="DY53" s="158" t="n">
        <f aca="false">DY35*CHOOSE(MIN(MAX(DY16,1),3),Assumption!$E$178,Assumption!$E$179,Assumption!$E$180)</f>
        <v>0</v>
      </c>
      <c r="DZ53" s="158" t="n">
        <f aca="false">DZ35*CHOOSE(MIN(MAX(DZ16,1),3),Assumption!$E$178,Assumption!$E$179,Assumption!$E$180)</f>
        <v>0</v>
      </c>
      <c r="EA53" s="158" t="n">
        <f aca="false">EA35*CHOOSE(MIN(MAX(EA16,1),3),Assumption!$E$178,Assumption!$E$179,Assumption!$E$180)</f>
        <v>0</v>
      </c>
      <c r="EB53" s="158" t="n">
        <f aca="false">EB35*CHOOSE(MIN(MAX(EB16,1),3),Assumption!$E$178,Assumption!$E$179,Assumption!$E$180)</f>
        <v>0</v>
      </c>
      <c r="EC53" s="158" t="n">
        <f aca="false">EC35*CHOOSE(MIN(MAX(EC16,1),3),Assumption!$E$178,Assumption!$E$179,Assumption!$E$180)</f>
        <v>0</v>
      </c>
      <c r="ED53" s="158" t="n">
        <f aca="false">ED35*CHOOSE(MIN(MAX(ED16,1),3),Assumption!$E$178,Assumption!$E$179,Assumption!$E$180)</f>
        <v>0</v>
      </c>
      <c r="EE53" s="158" t="n">
        <f aca="false">EE35*CHOOSE(MIN(MAX(EE16,1),3),Assumption!$E$178,Assumption!$E$179,Assumption!$E$180)</f>
        <v>0</v>
      </c>
      <c r="EF53" s="158" t="n">
        <f aca="false">EF35*CHOOSE(MIN(MAX(EF16,1),3),Assumption!$E$178,Assumption!$E$179,Assumption!$E$180)</f>
        <v>0</v>
      </c>
    </row>
    <row r="54" customFormat="false" ht="15" hidden="false" customHeight="false" outlineLevel="0" collapsed="false">
      <c r="A54" s="35" t="s">
        <v>519</v>
      </c>
      <c r="B54" s="241" t="s">
        <v>116</v>
      </c>
      <c r="C54" s="242" t="n">
        <f aca="false">SUM(E54:EF54)</f>
        <v>9214.87301272243</v>
      </c>
      <c r="E54" s="158" t="n">
        <f aca="false">(E14=1)*Assumption!$E$181*Assumption!$E$170/1000*(1+Assumption!$E$174)^(MAX(E16,1)-1)</f>
        <v>0</v>
      </c>
      <c r="F54" s="158" t="n">
        <f aca="false">(F14=1)*Assumption!$E$181*Assumption!$E$170/1000*(1+Assumption!$E$174)^(MAX(F16,1)-1)</f>
        <v>0</v>
      </c>
      <c r="G54" s="158" t="n">
        <f aca="false">(G14=1)*Assumption!$E$181*Assumption!$E$170/1000*(1+Assumption!$E$174)^(MAX(G16,1)-1)</f>
        <v>0</v>
      </c>
      <c r="H54" s="158" t="n">
        <f aca="false">(H14=1)*Assumption!$E$181*Assumption!$E$170/1000*(1+Assumption!$E$174)^(MAX(H16,1)-1)</f>
        <v>0</v>
      </c>
      <c r="I54" s="158" t="n">
        <f aca="false">(I14=1)*Assumption!$E$181*Assumption!$E$170/1000*(1+Assumption!$E$174)^(MAX(I16,1)-1)</f>
        <v>0</v>
      </c>
      <c r="J54" s="158" t="n">
        <f aca="false">(J14=1)*Assumption!$E$181*Assumption!$E$170/1000*(1+Assumption!$E$174)^(MAX(J16,1)-1)</f>
        <v>0</v>
      </c>
      <c r="K54" s="158" t="n">
        <f aca="false">(K14=1)*Assumption!$E$181*Assumption!$E$170/1000*(1+Assumption!$E$174)^(MAX(K16,1)-1)</f>
        <v>0</v>
      </c>
      <c r="L54" s="158" t="n">
        <f aca="false">(L14=1)*Assumption!$E$181*Assumption!$E$170/1000*(1+Assumption!$E$174)^(MAX(L16,1)-1)</f>
        <v>0</v>
      </c>
      <c r="M54" s="158" t="n">
        <f aca="false">(M14=1)*Assumption!$E$181*Assumption!$E$170/1000*(1+Assumption!$E$174)^(MAX(M16,1)-1)</f>
        <v>0</v>
      </c>
      <c r="N54" s="158" t="n">
        <f aca="false">(N14=1)*Assumption!$E$181*Assumption!$E$170/1000*(1+Assumption!$E$174)^(MAX(N16,1)-1)</f>
        <v>0</v>
      </c>
      <c r="O54" s="158" t="n">
        <f aca="false">(O14=1)*Assumption!$E$181*Assumption!$E$170/1000*(1+Assumption!$E$174)^(MAX(O16,1)-1)</f>
        <v>0</v>
      </c>
      <c r="P54" s="158" t="n">
        <f aca="false">(P14=1)*Assumption!$E$181*Assumption!$E$170/1000*(1+Assumption!$E$174)^(MAX(P16,1)-1)</f>
        <v>0</v>
      </c>
      <c r="Q54" s="158" t="n">
        <f aca="false">(Q14=1)*Assumption!$E$181*Assumption!$E$170/1000*(1+Assumption!$E$174)^(MAX(Q16,1)-1)</f>
        <v>0</v>
      </c>
      <c r="R54" s="158" t="n">
        <f aca="false">(R14=1)*Assumption!$E$181*Assumption!$E$170/1000*(1+Assumption!$E$174)^(MAX(R16,1)-1)</f>
        <v>0</v>
      </c>
      <c r="S54" s="158" t="n">
        <f aca="false">(S14=1)*Assumption!$E$181*Assumption!$E$170/1000*(1+Assumption!$E$174)^(MAX(S16,1)-1)</f>
        <v>0</v>
      </c>
      <c r="T54" s="158" t="n">
        <f aca="false">(T14=1)*Assumption!$E$181*Assumption!$E$170/1000*(1+Assumption!$E$174)^(MAX(T16,1)-1)</f>
        <v>0</v>
      </c>
      <c r="U54" s="158" t="n">
        <f aca="false">(U14=1)*Assumption!$E$181*Assumption!$E$170/1000*(1+Assumption!$E$174)^(MAX(U16,1)-1)</f>
        <v>0</v>
      </c>
      <c r="V54" s="158" t="n">
        <f aca="false">(V14=1)*Assumption!$E$181*Assumption!$E$170/1000*(1+Assumption!$E$174)^(MAX(V16,1)-1)</f>
        <v>0</v>
      </c>
      <c r="W54" s="158" t="n">
        <f aca="false">(W14=1)*Assumption!$E$181*Assumption!$E$170/1000*(1+Assumption!$E$174)^(MAX(W16,1)-1)</f>
        <v>0</v>
      </c>
      <c r="X54" s="158" t="n">
        <f aca="false">(X14=1)*Assumption!$E$181*Assumption!$E$170/1000*(1+Assumption!$E$174)^(MAX(X16,1)-1)</f>
        <v>0</v>
      </c>
      <c r="Y54" s="158" t="n">
        <f aca="false">(Y14=1)*Assumption!$E$181*Assumption!$E$170/1000*(1+Assumption!$E$174)^(MAX(Y16,1)-1)</f>
        <v>0</v>
      </c>
      <c r="Z54" s="158" t="n">
        <f aca="false">(Z14=1)*Assumption!$E$181*Assumption!$E$170/1000*(1+Assumption!$E$174)^(MAX(Z16,1)-1)</f>
        <v>0</v>
      </c>
      <c r="AA54" s="158" t="n">
        <f aca="false">(AA14=1)*Assumption!$E$181*Assumption!$E$170/1000*(1+Assumption!$E$174)^(MAX(AA16,1)-1)</f>
        <v>0</v>
      </c>
      <c r="AB54" s="158" t="n">
        <f aca="false">(AB14=1)*Assumption!$E$181*Assumption!$E$170/1000*(1+Assumption!$E$174)^(MAX(AB16,1)-1)</f>
        <v>0</v>
      </c>
      <c r="AC54" s="158" t="n">
        <f aca="false">(AC14=1)*Assumption!$E$181*Assumption!$E$170/1000*(1+Assumption!$E$174)^(MAX(AC16,1)-1)</f>
        <v>0</v>
      </c>
      <c r="AD54" s="158" t="n">
        <f aca="false">(AD14=1)*Assumption!$E$181*Assumption!$E$170/1000*(1+Assumption!$E$174)^(MAX(AD16,1)-1)</f>
        <v>0</v>
      </c>
      <c r="AE54" s="158" t="n">
        <f aca="false">(AE14=1)*Assumption!$E$181*Assumption!$E$170/1000*(1+Assumption!$E$174)^(MAX(AE16,1)-1)</f>
        <v>0</v>
      </c>
      <c r="AF54" s="158" t="n">
        <f aca="false">(AF14=1)*Assumption!$E$181*Assumption!$E$170/1000*(1+Assumption!$E$174)^(MAX(AF16,1)-1)</f>
        <v>0</v>
      </c>
      <c r="AG54" s="158" t="n">
        <f aca="false">(AG14=1)*Assumption!$E$181*Assumption!$E$170/1000*(1+Assumption!$E$174)^(MAX(AG16,1)-1)</f>
        <v>0</v>
      </c>
      <c r="AH54" s="158" t="n">
        <f aca="false">(AH14=1)*Assumption!$E$181*Assumption!$E$170/1000*(1+Assumption!$E$174)^(MAX(AH16,1)-1)</f>
        <v>0</v>
      </c>
      <c r="AI54" s="158" t="n">
        <f aca="false">(AI14=1)*Assumption!$E$181*Assumption!$E$170/1000*(1+Assumption!$E$174)^(MAX(AI16,1)-1)</f>
        <v>0</v>
      </c>
      <c r="AJ54" s="158" t="n">
        <f aca="false">(AJ14=1)*Assumption!$E$181*Assumption!$E$170/1000*(1+Assumption!$E$174)^(MAX(AJ16,1)-1)</f>
        <v>0</v>
      </c>
      <c r="AK54" s="158" t="n">
        <f aca="false">(AK14=1)*Assumption!$E$181*Assumption!$E$170/1000*(1+Assumption!$E$174)^(MAX(AK16,1)-1)</f>
        <v>0</v>
      </c>
      <c r="AL54" s="158" t="n">
        <f aca="false">(AL14=1)*Assumption!$E$181*Assumption!$E$170/1000*(1+Assumption!$E$174)^(MAX(AL16,1)-1)</f>
        <v>0</v>
      </c>
      <c r="AM54" s="158" t="n">
        <f aca="false">(AM14=1)*Assumption!$E$181*Assumption!$E$170/1000*(1+Assumption!$E$174)^(MAX(AM16,1)-1)</f>
        <v>0</v>
      </c>
      <c r="AN54" s="158" t="n">
        <f aca="false">(AN14=1)*Assumption!$E$181*Assumption!$E$170/1000*(1+Assumption!$E$174)^(MAX(AN16,1)-1)</f>
        <v>0</v>
      </c>
      <c r="AO54" s="158" t="n">
        <f aca="false">(AO14=1)*Assumption!$E$181*Assumption!$E$170/1000*(1+Assumption!$E$174)^(MAX(AO16,1)-1)</f>
        <v>0</v>
      </c>
      <c r="AP54" s="158" t="n">
        <f aca="false">(AP14=1)*Assumption!$E$181*Assumption!$E$170/1000*(1+Assumption!$E$174)^(MAX(AP16,1)-1)</f>
        <v>0</v>
      </c>
      <c r="AQ54" s="158" t="n">
        <f aca="false">(AQ14=1)*Assumption!$E$181*Assumption!$E$170/1000*(1+Assumption!$E$174)^(MAX(AQ16,1)-1)</f>
        <v>0</v>
      </c>
      <c r="AR54" s="158" t="n">
        <f aca="false">(AR14=1)*Assumption!$E$181*Assumption!$E$170/1000*(1+Assumption!$E$174)^(MAX(AR16,1)-1)</f>
        <v>0</v>
      </c>
      <c r="AS54" s="158" t="n">
        <f aca="false">(AS14=1)*Assumption!$E$181*Assumption!$E$170/1000*(1+Assumption!$E$174)^(MAX(AS16,1)-1)</f>
        <v>0</v>
      </c>
      <c r="AT54" s="158" t="n">
        <f aca="false">(AT14=1)*Assumption!$E$181*Assumption!$E$170/1000*(1+Assumption!$E$174)^(MAX(AT16,1)-1)</f>
        <v>0</v>
      </c>
      <c r="AU54" s="158" t="n">
        <f aca="false">(AU14=1)*Assumption!$E$181*Assumption!$E$170/1000*(1+Assumption!$E$174)^(MAX(AU16,1)-1)</f>
        <v>0</v>
      </c>
      <c r="AV54" s="158" t="n">
        <f aca="false">(AV14=1)*Assumption!$E$181*Assumption!$E$170/1000*(1+Assumption!$E$174)^(MAX(AV16,1)-1)</f>
        <v>0</v>
      </c>
      <c r="AW54" s="158" t="n">
        <f aca="false">(AW14=1)*Assumption!$E$181*Assumption!$E$170/1000*(1+Assumption!$E$174)^(MAX(AW16,1)-1)</f>
        <v>0</v>
      </c>
      <c r="AX54" s="158" t="n">
        <f aca="false">(AX14=1)*Assumption!$E$181*Assumption!$E$170/1000*(1+Assumption!$E$174)^(MAX(AX16,1)-1)</f>
        <v>0</v>
      </c>
      <c r="AY54" s="158" t="n">
        <f aca="false">(AY14=1)*Assumption!$E$181*Assumption!$E$170/1000*(1+Assumption!$E$174)^(MAX(AY16,1)-1)</f>
        <v>0</v>
      </c>
      <c r="AZ54" s="158" t="n">
        <f aca="false">(AZ14=1)*Assumption!$E$181*Assumption!$E$170/1000*(1+Assumption!$E$174)^(MAX(AZ16,1)-1)</f>
        <v>0</v>
      </c>
      <c r="BA54" s="158" t="n">
        <f aca="false">(BA14=1)*Assumption!$E$181*Assumption!$E$170/1000*(1+Assumption!$E$174)^(MAX(BA16,1)-1)</f>
        <v>0</v>
      </c>
      <c r="BB54" s="158" t="n">
        <f aca="false">(BB14=1)*Assumption!$E$181*Assumption!$E$170/1000*(1+Assumption!$E$174)^(MAX(BB16,1)-1)</f>
        <v>0</v>
      </c>
      <c r="BC54" s="158" t="n">
        <f aca="false">(BC14=1)*Assumption!$E$181*Assumption!$E$170/1000*(1+Assumption!$E$174)^(MAX(BC16,1)-1)</f>
        <v>0</v>
      </c>
      <c r="BD54" s="158" t="n">
        <f aca="false">(BD14=1)*Assumption!$E$181*Assumption!$E$170/1000*(1+Assumption!$E$174)^(MAX(BD16,1)-1)</f>
        <v>0</v>
      </c>
      <c r="BE54" s="158" t="n">
        <f aca="false">(BE14=1)*Assumption!$E$181*Assumption!$E$170/1000*(1+Assumption!$E$174)^(MAX(BE16,1)-1)</f>
        <v>0</v>
      </c>
      <c r="BF54" s="158" t="n">
        <f aca="false">(BF14=1)*Assumption!$E$181*Assumption!$E$170/1000*(1+Assumption!$E$174)^(MAX(BF16,1)-1)</f>
        <v>0</v>
      </c>
      <c r="BG54" s="158" t="n">
        <f aca="false">(BG14=1)*Assumption!$E$181*Assumption!$E$170/1000*(1+Assumption!$E$174)^(MAX(BG16,1)-1)</f>
        <v>0</v>
      </c>
      <c r="BH54" s="158" t="n">
        <f aca="false">(BH14=1)*Assumption!$E$181*Assumption!$E$170/1000*(1+Assumption!$E$174)^(MAX(BH16,1)-1)</f>
        <v>0</v>
      </c>
      <c r="BI54" s="158" t="n">
        <f aca="false">(BI14=1)*Assumption!$E$181*Assumption!$E$170/1000*(1+Assumption!$E$174)^(MAX(BI16,1)-1)</f>
        <v>0</v>
      </c>
      <c r="BJ54" s="158" t="n">
        <f aca="false">(BJ14=1)*Assumption!$E$181*Assumption!$E$170/1000*(1+Assumption!$E$174)^(MAX(BJ16,1)-1)</f>
        <v>0</v>
      </c>
      <c r="BK54" s="158" t="n">
        <f aca="false">(BK14=1)*Assumption!$E$181*Assumption!$E$170/1000*(1+Assumption!$E$174)^(MAX(BK16,1)-1)</f>
        <v>0</v>
      </c>
      <c r="BL54" s="158" t="n">
        <f aca="false">(BL14=1)*Assumption!$E$181*Assumption!$E$170/1000*(1+Assumption!$E$174)^(MAX(BL16,1)-1)</f>
        <v>0</v>
      </c>
      <c r="BM54" s="158" t="n">
        <f aca="false">(BM14=1)*Assumption!$E$181*Assumption!$E$170/1000*(1+Assumption!$E$174)^(MAX(BM16,1)-1)</f>
        <v>147.5596</v>
      </c>
      <c r="BN54" s="158" t="n">
        <f aca="false">(BN14=1)*Assumption!$E$181*Assumption!$E$170/1000*(1+Assumption!$E$174)^(MAX(BN16,1)-1)</f>
        <v>147.5596</v>
      </c>
      <c r="BO54" s="158" t="n">
        <f aca="false">(BO14=1)*Assumption!$E$181*Assumption!$E$170/1000*(1+Assumption!$E$174)^(MAX(BO16,1)-1)</f>
        <v>147.5596</v>
      </c>
      <c r="BP54" s="158" t="n">
        <f aca="false">(BP14=1)*Assumption!$E$181*Assumption!$E$170/1000*(1+Assumption!$E$174)^(MAX(BP16,1)-1)</f>
        <v>147.5596</v>
      </c>
      <c r="BQ54" s="158" t="n">
        <f aca="false">(BQ14=1)*Assumption!$E$181*Assumption!$E$170/1000*(1+Assumption!$E$174)^(MAX(BQ16,1)-1)</f>
        <v>147.5596</v>
      </c>
      <c r="BR54" s="158" t="n">
        <f aca="false">(BR14=1)*Assumption!$E$181*Assumption!$E$170/1000*(1+Assumption!$E$174)^(MAX(BR16,1)-1)</f>
        <v>147.5596</v>
      </c>
      <c r="BS54" s="158" t="n">
        <f aca="false">(BS14=1)*Assumption!$E$181*Assumption!$E$170/1000*(1+Assumption!$E$174)^(MAX(BS16,1)-1)</f>
        <v>147.5596</v>
      </c>
      <c r="BT54" s="158" t="n">
        <f aca="false">(BT14=1)*Assumption!$E$181*Assumption!$E$170/1000*(1+Assumption!$E$174)^(MAX(BT16,1)-1)</f>
        <v>147.5596</v>
      </c>
      <c r="BU54" s="158" t="n">
        <f aca="false">(BU14=1)*Assumption!$E$181*Assumption!$E$170/1000*(1+Assumption!$E$174)^(MAX(BU16,1)-1)</f>
        <v>147.5596</v>
      </c>
      <c r="BV54" s="158" t="n">
        <f aca="false">(BV14=1)*Assumption!$E$181*Assumption!$E$170/1000*(1+Assumption!$E$174)^(MAX(BV16,1)-1)</f>
        <v>147.5596</v>
      </c>
      <c r="BW54" s="158" t="n">
        <f aca="false">(BW14=1)*Assumption!$E$181*Assumption!$E$170/1000*(1+Assumption!$E$174)^(MAX(BW16,1)-1)</f>
        <v>147.5596</v>
      </c>
      <c r="BX54" s="158" t="n">
        <f aca="false">(BX14=1)*Assumption!$E$181*Assumption!$E$170/1000*(1+Assumption!$E$174)^(MAX(BX16,1)-1)</f>
        <v>147.5596</v>
      </c>
      <c r="BY54" s="158" t="n">
        <f aca="false">(BY14=1)*Assumption!$E$181*Assumption!$E$170/1000*(1+Assumption!$E$174)^(MAX(BY16,1)-1)</f>
        <v>150.510792</v>
      </c>
      <c r="BZ54" s="158" t="n">
        <f aca="false">(BZ14=1)*Assumption!$E$181*Assumption!$E$170/1000*(1+Assumption!$E$174)^(MAX(BZ16,1)-1)</f>
        <v>150.510792</v>
      </c>
      <c r="CA54" s="158" t="n">
        <f aca="false">(CA14=1)*Assumption!$E$181*Assumption!$E$170/1000*(1+Assumption!$E$174)^(MAX(CA16,1)-1)</f>
        <v>150.510792</v>
      </c>
      <c r="CB54" s="158" t="n">
        <f aca="false">(CB14=1)*Assumption!$E$181*Assumption!$E$170/1000*(1+Assumption!$E$174)^(MAX(CB16,1)-1)</f>
        <v>150.510792</v>
      </c>
      <c r="CC54" s="158" t="n">
        <f aca="false">(CC14=1)*Assumption!$E$181*Assumption!$E$170/1000*(1+Assumption!$E$174)^(MAX(CC16,1)-1)</f>
        <v>150.510792</v>
      </c>
      <c r="CD54" s="158" t="n">
        <f aca="false">(CD14=1)*Assumption!$E$181*Assumption!$E$170/1000*(1+Assumption!$E$174)^(MAX(CD16,1)-1)</f>
        <v>150.510792</v>
      </c>
      <c r="CE54" s="158" t="n">
        <f aca="false">(CE14=1)*Assumption!$E$181*Assumption!$E$170/1000*(1+Assumption!$E$174)^(MAX(CE16,1)-1)</f>
        <v>150.510792</v>
      </c>
      <c r="CF54" s="158" t="n">
        <f aca="false">(CF14=1)*Assumption!$E$181*Assumption!$E$170/1000*(1+Assumption!$E$174)^(MAX(CF16,1)-1)</f>
        <v>150.510792</v>
      </c>
      <c r="CG54" s="158" t="n">
        <f aca="false">(CG14=1)*Assumption!$E$181*Assumption!$E$170/1000*(1+Assumption!$E$174)^(MAX(CG16,1)-1)</f>
        <v>150.510792</v>
      </c>
      <c r="CH54" s="158" t="n">
        <f aca="false">(CH14=1)*Assumption!$E$181*Assumption!$E$170/1000*(1+Assumption!$E$174)^(MAX(CH16,1)-1)</f>
        <v>150.510792</v>
      </c>
      <c r="CI54" s="158" t="n">
        <f aca="false">(CI14=1)*Assumption!$E$181*Assumption!$E$170/1000*(1+Assumption!$E$174)^(MAX(CI16,1)-1)</f>
        <v>150.510792</v>
      </c>
      <c r="CJ54" s="158" t="n">
        <f aca="false">(CJ14=1)*Assumption!$E$181*Assumption!$E$170/1000*(1+Assumption!$E$174)^(MAX(CJ16,1)-1)</f>
        <v>150.510792</v>
      </c>
      <c r="CK54" s="158" t="n">
        <f aca="false">(CK14=1)*Assumption!$E$181*Assumption!$E$170/1000*(1+Assumption!$E$174)^(MAX(CK16,1)-1)</f>
        <v>153.52100784</v>
      </c>
      <c r="CL54" s="158" t="n">
        <f aca="false">(CL14=1)*Assumption!$E$181*Assumption!$E$170/1000*(1+Assumption!$E$174)^(MAX(CL16,1)-1)</f>
        <v>153.52100784</v>
      </c>
      <c r="CM54" s="158" t="n">
        <f aca="false">(CM14=1)*Assumption!$E$181*Assumption!$E$170/1000*(1+Assumption!$E$174)^(MAX(CM16,1)-1)</f>
        <v>153.52100784</v>
      </c>
      <c r="CN54" s="158" t="n">
        <f aca="false">(CN14=1)*Assumption!$E$181*Assumption!$E$170/1000*(1+Assumption!$E$174)^(MAX(CN16,1)-1)</f>
        <v>153.52100784</v>
      </c>
      <c r="CO54" s="158" t="n">
        <f aca="false">(CO14=1)*Assumption!$E$181*Assumption!$E$170/1000*(1+Assumption!$E$174)^(MAX(CO16,1)-1)</f>
        <v>153.52100784</v>
      </c>
      <c r="CP54" s="158" t="n">
        <f aca="false">(CP14=1)*Assumption!$E$181*Assumption!$E$170/1000*(1+Assumption!$E$174)^(MAX(CP16,1)-1)</f>
        <v>153.52100784</v>
      </c>
      <c r="CQ54" s="158" t="n">
        <f aca="false">(CQ14=1)*Assumption!$E$181*Assumption!$E$170/1000*(1+Assumption!$E$174)^(MAX(CQ16,1)-1)</f>
        <v>153.52100784</v>
      </c>
      <c r="CR54" s="158" t="n">
        <f aca="false">(CR14=1)*Assumption!$E$181*Assumption!$E$170/1000*(1+Assumption!$E$174)^(MAX(CR16,1)-1)</f>
        <v>153.52100784</v>
      </c>
      <c r="CS54" s="158" t="n">
        <f aca="false">(CS14=1)*Assumption!$E$181*Assumption!$E$170/1000*(1+Assumption!$E$174)^(MAX(CS16,1)-1)</f>
        <v>153.52100784</v>
      </c>
      <c r="CT54" s="158" t="n">
        <f aca="false">(CT14=1)*Assumption!$E$181*Assumption!$E$170/1000*(1+Assumption!$E$174)^(MAX(CT16,1)-1)</f>
        <v>153.52100784</v>
      </c>
      <c r="CU54" s="158" t="n">
        <f aca="false">(CU14=1)*Assumption!$E$181*Assumption!$E$170/1000*(1+Assumption!$E$174)^(MAX(CU16,1)-1)</f>
        <v>153.52100784</v>
      </c>
      <c r="CV54" s="158" t="n">
        <f aca="false">(CV14=1)*Assumption!$E$181*Assumption!$E$170/1000*(1+Assumption!$E$174)^(MAX(CV16,1)-1)</f>
        <v>153.52100784</v>
      </c>
      <c r="CW54" s="158" t="n">
        <f aca="false">(CW14=1)*Assumption!$E$181*Assumption!$E$170/1000*(1+Assumption!$E$174)^(MAX(CW16,1)-1)</f>
        <v>156.5914279968</v>
      </c>
      <c r="CX54" s="158" t="n">
        <f aca="false">(CX14=1)*Assumption!$E$181*Assumption!$E$170/1000*(1+Assumption!$E$174)^(MAX(CX16,1)-1)</f>
        <v>156.5914279968</v>
      </c>
      <c r="CY54" s="158" t="n">
        <f aca="false">(CY14=1)*Assumption!$E$181*Assumption!$E$170/1000*(1+Assumption!$E$174)^(MAX(CY16,1)-1)</f>
        <v>156.5914279968</v>
      </c>
      <c r="CZ54" s="158" t="n">
        <f aca="false">(CZ14=1)*Assumption!$E$181*Assumption!$E$170/1000*(1+Assumption!$E$174)^(MAX(CZ16,1)-1)</f>
        <v>156.5914279968</v>
      </c>
      <c r="DA54" s="158" t="n">
        <f aca="false">(DA14=1)*Assumption!$E$181*Assumption!$E$170/1000*(1+Assumption!$E$174)^(MAX(DA16,1)-1)</f>
        <v>156.5914279968</v>
      </c>
      <c r="DB54" s="158" t="n">
        <f aca="false">(DB14=1)*Assumption!$E$181*Assumption!$E$170/1000*(1+Assumption!$E$174)^(MAX(DB16,1)-1)</f>
        <v>156.5914279968</v>
      </c>
      <c r="DC54" s="158" t="n">
        <f aca="false">(DC14=1)*Assumption!$E$181*Assumption!$E$170/1000*(1+Assumption!$E$174)^(MAX(DC16,1)-1)</f>
        <v>156.5914279968</v>
      </c>
      <c r="DD54" s="158" t="n">
        <f aca="false">(DD14=1)*Assumption!$E$181*Assumption!$E$170/1000*(1+Assumption!$E$174)^(MAX(DD16,1)-1)</f>
        <v>156.5914279968</v>
      </c>
      <c r="DE54" s="158" t="n">
        <f aca="false">(DE14=1)*Assumption!$E$181*Assumption!$E$170/1000*(1+Assumption!$E$174)^(MAX(DE16,1)-1)</f>
        <v>156.5914279968</v>
      </c>
      <c r="DF54" s="158" t="n">
        <f aca="false">(DF14=1)*Assumption!$E$181*Assumption!$E$170/1000*(1+Assumption!$E$174)^(MAX(DF16,1)-1)</f>
        <v>156.5914279968</v>
      </c>
      <c r="DG54" s="158" t="n">
        <f aca="false">(DG14=1)*Assumption!$E$181*Assumption!$E$170/1000*(1+Assumption!$E$174)^(MAX(DG16,1)-1)</f>
        <v>156.5914279968</v>
      </c>
      <c r="DH54" s="158" t="n">
        <f aca="false">(DH14=1)*Assumption!$E$181*Assumption!$E$170/1000*(1+Assumption!$E$174)^(MAX(DH16,1)-1)</f>
        <v>156.5914279968</v>
      </c>
      <c r="DI54" s="158" t="n">
        <f aca="false">(DI14=1)*Assumption!$E$181*Assumption!$E$170/1000*(1+Assumption!$E$174)^(MAX(DI16,1)-1)</f>
        <v>159.723256556736</v>
      </c>
      <c r="DJ54" s="158" t="n">
        <f aca="false">(DJ14=1)*Assumption!$E$181*Assumption!$E$170/1000*(1+Assumption!$E$174)^(MAX(DJ16,1)-1)</f>
        <v>159.723256556736</v>
      </c>
      <c r="DK54" s="158" t="n">
        <f aca="false">(DK14=1)*Assumption!$E$181*Assumption!$E$170/1000*(1+Assumption!$E$174)^(MAX(DK16,1)-1)</f>
        <v>159.723256556736</v>
      </c>
      <c r="DL54" s="158" t="n">
        <f aca="false">(DL14=1)*Assumption!$E$181*Assumption!$E$170/1000*(1+Assumption!$E$174)^(MAX(DL16,1)-1)</f>
        <v>159.723256556736</v>
      </c>
      <c r="DM54" s="158" t="n">
        <f aca="false">(DM14=1)*Assumption!$E$181*Assumption!$E$170/1000*(1+Assumption!$E$174)^(MAX(DM16,1)-1)</f>
        <v>159.723256556736</v>
      </c>
      <c r="DN54" s="158" t="n">
        <f aca="false">(DN14=1)*Assumption!$E$181*Assumption!$E$170/1000*(1+Assumption!$E$174)^(MAX(DN16,1)-1)</f>
        <v>159.723256556736</v>
      </c>
      <c r="DO54" s="158" t="n">
        <f aca="false">(DO14=1)*Assumption!$E$181*Assumption!$E$170/1000*(1+Assumption!$E$174)^(MAX(DO16,1)-1)</f>
        <v>159.723256556736</v>
      </c>
      <c r="DP54" s="158" t="n">
        <f aca="false">(DP14=1)*Assumption!$E$181*Assumption!$E$170/1000*(1+Assumption!$E$174)^(MAX(DP16,1)-1)</f>
        <v>159.723256556736</v>
      </c>
      <c r="DQ54" s="158" t="n">
        <f aca="false">(DQ14=1)*Assumption!$E$181*Assumption!$E$170/1000*(1+Assumption!$E$174)^(MAX(DQ16,1)-1)</f>
        <v>159.723256556736</v>
      </c>
      <c r="DR54" s="158" t="n">
        <f aca="false">(DR14=1)*Assumption!$E$181*Assumption!$E$170/1000*(1+Assumption!$E$174)^(MAX(DR16,1)-1)</f>
        <v>159.723256556736</v>
      </c>
      <c r="DS54" s="158" t="n">
        <f aca="false">(DS14=1)*Assumption!$E$181*Assumption!$E$170/1000*(1+Assumption!$E$174)^(MAX(DS16,1)-1)</f>
        <v>159.723256556736</v>
      </c>
      <c r="DT54" s="158" t="n">
        <f aca="false">(DT14=1)*Assumption!$E$181*Assumption!$E$170/1000*(1+Assumption!$E$174)^(MAX(DT16,1)-1)</f>
        <v>159.723256556736</v>
      </c>
      <c r="DU54" s="158" t="n">
        <f aca="false">(DU14=1)*Assumption!$E$181*Assumption!$E$170/1000*(1+Assumption!$E$174)^(MAX(DU16,1)-1)</f>
        <v>0</v>
      </c>
      <c r="DV54" s="158" t="n">
        <f aca="false">(DV14=1)*Assumption!$E$181*Assumption!$E$170/1000*(1+Assumption!$E$174)^(MAX(DV16,1)-1)</f>
        <v>0</v>
      </c>
      <c r="DW54" s="158" t="n">
        <f aca="false">(DW14=1)*Assumption!$E$181*Assumption!$E$170/1000*(1+Assumption!$E$174)^(MAX(DW16,1)-1)</f>
        <v>0</v>
      </c>
      <c r="DX54" s="158" t="n">
        <f aca="false">(DX14=1)*Assumption!$E$181*Assumption!$E$170/1000*(1+Assumption!$E$174)^(MAX(DX16,1)-1)</f>
        <v>0</v>
      </c>
      <c r="DY54" s="158" t="n">
        <f aca="false">(DY14=1)*Assumption!$E$181*Assumption!$E$170/1000*(1+Assumption!$E$174)^(MAX(DY16,1)-1)</f>
        <v>0</v>
      </c>
      <c r="DZ54" s="158" t="n">
        <f aca="false">(DZ14=1)*Assumption!$E$181*Assumption!$E$170/1000*(1+Assumption!$E$174)^(MAX(DZ16,1)-1)</f>
        <v>0</v>
      </c>
      <c r="EA54" s="158" t="n">
        <f aca="false">(EA14=1)*Assumption!$E$181*Assumption!$E$170/1000*(1+Assumption!$E$174)^(MAX(EA16,1)-1)</f>
        <v>0</v>
      </c>
      <c r="EB54" s="158" t="n">
        <f aca="false">(EB14=1)*Assumption!$E$181*Assumption!$E$170/1000*(1+Assumption!$E$174)^(MAX(EB16,1)-1)</f>
        <v>0</v>
      </c>
      <c r="EC54" s="158" t="n">
        <f aca="false">(EC14=1)*Assumption!$E$181*Assumption!$E$170/1000*(1+Assumption!$E$174)^(MAX(EC16,1)-1)</f>
        <v>0</v>
      </c>
      <c r="ED54" s="158" t="n">
        <f aca="false">(ED14=1)*Assumption!$E$181*Assumption!$E$170/1000*(1+Assumption!$E$174)^(MAX(ED16,1)-1)</f>
        <v>0</v>
      </c>
      <c r="EE54" s="158" t="n">
        <f aca="false">(EE14=1)*Assumption!$E$181*Assumption!$E$170/1000*(1+Assumption!$E$174)^(MAX(EE16,1)-1)</f>
        <v>0</v>
      </c>
      <c r="EF54" s="158" t="n">
        <f aca="false">(EF14=1)*Assumption!$E$181*Assumption!$E$170/1000*(1+Assumption!$E$174)^(MAX(EF16,1)-1)</f>
        <v>0</v>
      </c>
    </row>
    <row r="55" customFormat="false" ht="15" hidden="false" customHeight="false" outlineLevel="0" collapsed="false">
      <c r="A55" s="35" t="s">
        <v>520</v>
      </c>
      <c r="B55" s="241" t="s">
        <v>116</v>
      </c>
      <c r="C55" s="242" t="n">
        <f aca="false">SUM(E55:EF55)</f>
        <v>0</v>
      </c>
      <c r="E55" s="158" t="n">
        <f aca="false">E36*Assumption!$E$196+E37*Assumption!$E$209+E38*Assumption!$E$222+E39*Assumption!$E$235+E40*Assumption!$E$248</f>
        <v>0</v>
      </c>
      <c r="F55" s="158" t="n">
        <f aca="false">F36*Assumption!$E$196+F37*Assumption!$E$209+F38*Assumption!$E$222+F39*Assumption!$E$235+F40*Assumption!$E$248</f>
        <v>0</v>
      </c>
      <c r="G55" s="158" t="n">
        <f aca="false">G36*Assumption!$E$196+G37*Assumption!$E$209+G38*Assumption!$E$222+G39*Assumption!$E$235+G40*Assumption!$E$248</f>
        <v>0</v>
      </c>
      <c r="H55" s="158" t="n">
        <f aca="false">H36*Assumption!$E$196+H37*Assumption!$E$209+H38*Assumption!$E$222+H39*Assumption!$E$235+H40*Assumption!$E$248</f>
        <v>0</v>
      </c>
      <c r="I55" s="158" t="n">
        <f aca="false">I36*Assumption!$E$196+I37*Assumption!$E$209+I38*Assumption!$E$222+I39*Assumption!$E$235+I40*Assumption!$E$248</f>
        <v>0</v>
      </c>
      <c r="J55" s="158" t="n">
        <f aca="false">J36*Assumption!$E$196+J37*Assumption!$E$209+J38*Assumption!$E$222+J39*Assumption!$E$235+J40*Assumption!$E$248</f>
        <v>0</v>
      </c>
      <c r="K55" s="158" t="n">
        <f aca="false">K36*Assumption!$E$196+K37*Assumption!$E$209+K38*Assumption!$E$222+K39*Assumption!$E$235+K40*Assumption!$E$248</f>
        <v>0</v>
      </c>
      <c r="L55" s="158" t="n">
        <f aca="false">L36*Assumption!$E$196+L37*Assumption!$E$209+L38*Assumption!$E$222+L39*Assumption!$E$235+L40*Assumption!$E$248</f>
        <v>0</v>
      </c>
      <c r="M55" s="158" t="n">
        <f aca="false">M36*Assumption!$E$196+M37*Assumption!$E$209+M38*Assumption!$E$222+M39*Assumption!$E$235+M40*Assumption!$E$248</f>
        <v>0</v>
      </c>
      <c r="N55" s="158" t="n">
        <f aca="false">N36*Assumption!$E$196+N37*Assumption!$E$209+N38*Assumption!$E$222+N39*Assumption!$E$235+N40*Assumption!$E$248</f>
        <v>0</v>
      </c>
      <c r="O55" s="158" t="n">
        <f aca="false">O36*Assumption!$E$196+O37*Assumption!$E$209+O38*Assumption!$E$222+O39*Assumption!$E$235+O40*Assumption!$E$248</f>
        <v>0</v>
      </c>
      <c r="P55" s="158" t="n">
        <f aca="false">P36*Assumption!$E$196+P37*Assumption!$E$209+P38*Assumption!$E$222+P39*Assumption!$E$235+P40*Assumption!$E$248</f>
        <v>0</v>
      </c>
      <c r="Q55" s="158" t="n">
        <f aca="false">Q36*Assumption!$E$196+Q37*Assumption!$E$209+Q38*Assumption!$E$222+Q39*Assumption!$E$235+Q40*Assumption!$E$248</f>
        <v>0</v>
      </c>
      <c r="R55" s="158" t="n">
        <f aca="false">R36*Assumption!$E$196+R37*Assumption!$E$209+R38*Assumption!$E$222+R39*Assumption!$E$235+R40*Assumption!$E$248</f>
        <v>0</v>
      </c>
      <c r="S55" s="158" t="n">
        <f aca="false">S36*Assumption!$E$196+S37*Assumption!$E$209+S38*Assumption!$E$222+S39*Assumption!$E$235+S40*Assumption!$E$248</f>
        <v>0</v>
      </c>
      <c r="T55" s="158" t="n">
        <f aca="false">T36*Assumption!$E$196+T37*Assumption!$E$209+T38*Assumption!$E$222+T39*Assumption!$E$235+T40*Assumption!$E$248</f>
        <v>0</v>
      </c>
      <c r="U55" s="158" t="n">
        <f aca="false">U36*Assumption!$E$196+U37*Assumption!$E$209+U38*Assumption!$E$222+U39*Assumption!$E$235+U40*Assumption!$E$248</f>
        <v>0</v>
      </c>
      <c r="V55" s="158" t="n">
        <f aca="false">V36*Assumption!$E$196+V37*Assumption!$E$209+V38*Assumption!$E$222+V39*Assumption!$E$235+V40*Assumption!$E$248</f>
        <v>0</v>
      </c>
      <c r="W55" s="158" t="n">
        <f aca="false">W36*Assumption!$E$196+W37*Assumption!$E$209+W38*Assumption!$E$222+W39*Assumption!$E$235+W40*Assumption!$E$248</f>
        <v>0</v>
      </c>
      <c r="X55" s="158" t="n">
        <f aca="false">X36*Assumption!$E$196+X37*Assumption!$E$209+X38*Assumption!$E$222+X39*Assumption!$E$235+X40*Assumption!$E$248</f>
        <v>0</v>
      </c>
      <c r="Y55" s="158" t="n">
        <f aca="false">Y36*Assumption!$E$196+Y37*Assumption!$E$209+Y38*Assumption!$E$222+Y39*Assumption!$E$235+Y40*Assumption!$E$248</f>
        <v>0</v>
      </c>
      <c r="Z55" s="158" t="n">
        <f aca="false">Z36*Assumption!$E$196+Z37*Assumption!$E$209+Z38*Assumption!$E$222+Z39*Assumption!$E$235+Z40*Assumption!$E$248</f>
        <v>0</v>
      </c>
      <c r="AA55" s="158" t="n">
        <f aca="false">AA36*Assumption!$E$196+AA37*Assumption!$E$209+AA38*Assumption!$E$222+AA39*Assumption!$E$235+AA40*Assumption!$E$248</f>
        <v>0</v>
      </c>
      <c r="AB55" s="158" t="n">
        <f aca="false">AB36*Assumption!$E$196+AB37*Assumption!$E$209+AB38*Assumption!$E$222+AB39*Assumption!$E$235+AB40*Assumption!$E$248</f>
        <v>0</v>
      </c>
      <c r="AC55" s="158" t="n">
        <f aca="false">AC36*Assumption!$E$196+AC37*Assumption!$E$209+AC38*Assumption!$E$222+AC39*Assumption!$E$235+AC40*Assumption!$E$248</f>
        <v>0</v>
      </c>
      <c r="AD55" s="158" t="n">
        <f aca="false">AD36*Assumption!$E$196+AD37*Assumption!$E$209+AD38*Assumption!$E$222+AD39*Assumption!$E$235+AD40*Assumption!$E$248</f>
        <v>0</v>
      </c>
      <c r="AE55" s="158" t="n">
        <f aca="false">AE36*Assumption!$E$196+AE37*Assumption!$E$209+AE38*Assumption!$E$222+AE39*Assumption!$E$235+AE40*Assumption!$E$248</f>
        <v>0</v>
      </c>
      <c r="AF55" s="158" t="n">
        <f aca="false">AF36*Assumption!$E$196+AF37*Assumption!$E$209+AF38*Assumption!$E$222+AF39*Assumption!$E$235+AF40*Assumption!$E$248</f>
        <v>0</v>
      </c>
      <c r="AG55" s="158" t="n">
        <f aca="false">AG36*Assumption!$E$196+AG37*Assumption!$E$209+AG38*Assumption!$E$222+AG39*Assumption!$E$235+AG40*Assumption!$E$248</f>
        <v>0</v>
      </c>
      <c r="AH55" s="158" t="n">
        <f aca="false">AH36*Assumption!$E$196+AH37*Assumption!$E$209+AH38*Assumption!$E$222+AH39*Assumption!$E$235+AH40*Assumption!$E$248</f>
        <v>0</v>
      </c>
      <c r="AI55" s="158" t="n">
        <f aca="false">AI36*Assumption!$E$196+AI37*Assumption!$E$209+AI38*Assumption!$E$222+AI39*Assumption!$E$235+AI40*Assumption!$E$248</f>
        <v>0</v>
      </c>
      <c r="AJ55" s="158" t="n">
        <f aca="false">AJ36*Assumption!$E$196+AJ37*Assumption!$E$209+AJ38*Assumption!$E$222+AJ39*Assumption!$E$235+AJ40*Assumption!$E$248</f>
        <v>0</v>
      </c>
      <c r="AK55" s="158" t="n">
        <f aca="false">AK36*Assumption!$E$196+AK37*Assumption!$E$209+AK38*Assumption!$E$222+AK39*Assumption!$E$235+AK40*Assumption!$E$248</f>
        <v>0</v>
      </c>
      <c r="AL55" s="158" t="n">
        <f aca="false">AL36*Assumption!$E$196+AL37*Assumption!$E$209+AL38*Assumption!$E$222+AL39*Assumption!$E$235+AL40*Assumption!$E$248</f>
        <v>0</v>
      </c>
      <c r="AM55" s="158" t="n">
        <f aca="false">AM36*Assumption!$E$196+AM37*Assumption!$E$209+AM38*Assumption!$E$222+AM39*Assumption!$E$235+AM40*Assumption!$E$248</f>
        <v>0</v>
      </c>
      <c r="AN55" s="158" t="n">
        <f aca="false">AN36*Assumption!$E$196+AN37*Assumption!$E$209+AN38*Assumption!$E$222+AN39*Assumption!$E$235+AN40*Assumption!$E$248</f>
        <v>0</v>
      </c>
      <c r="AO55" s="158" t="n">
        <f aca="false">AO36*Assumption!$E$196+AO37*Assumption!$E$209+AO38*Assumption!$E$222+AO39*Assumption!$E$235+AO40*Assumption!$E$248</f>
        <v>0</v>
      </c>
      <c r="AP55" s="158" t="n">
        <f aca="false">AP36*Assumption!$E$196+AP37*Assumption!$E$209+AP38*Assumption!$E$222+AP39*Assumption!$E$235+AP40*Assumption!$E$248</f>
        <v>0</v>
      </c>
      <c r="AQ55" s="158" t="n">
        <f aca="false">AQ36*Assumption!$E$196+AQ37*Assumption!$E$209+AQ38*Assumption!$E$222+AQ39*Assumption!$E$235+AQ40*Assumption!$E$248</f>
        <v>0</v>
      </c>
      <c r="AR55" s="158" t="n">
        <f aca="false">AR36*Assumption!$E$196+AR37*Assumption!$E$209+AR38*Assumption!$E$222+AR39*Assumption!$E$235+AR40*Assumption!$E$248</f>
        <v>0</v>
      </c>
      <c r="AS55" s="158" t="n">
        <f aca="false">AS36*Assumption!$E$196+AS37*Assumption!$E$209+AS38*Assumption!$E$222+AS39*Assumption!$E$235+AS40*Assumption!$E$248</f>
        <v>0</v>
      </c>
      <c r="AT55" s="158" t="n">
        <f aca="false">AT36*Assumption!$E$196+AT37*Assumption!$E$209+AT38*Assumption!$E$222+AT39*Assumption!$E$235+AT40*Assumption!$E$248</f>
        <v>0</v>
      </c>
      <c r="AU55" s="158" t="n">
        <f aca="false">AU36*Assumption!$E$196+AU37*Assumption!$E$209+AU38*Assumption!$E$222+AU39*Assumption!$E$235+AU40*Assumption!$E$248</f>
        <v>0</v>
      </c>
      <c r="AV55" s="158" t="n">
        <f aca="false">AV36*Assumption!$E$196+AV37*Assumption!$E$209+AV38*Assumption!$E$222+AV39*Assumption!$E$235+AV40*Assumption!$E$248</f>
        <v>0</v>
      </c>
      <c r="AW55" s="158" t="n">
        <f aca="false">AW36*Assumption!$E$196+AW37*Assumption!$E$209+AW38*Assumption!$E$222+AW39*Assumption!$E$235+AW40*Assumption!$E$248</f>
        <v>0</v>
      </c>
      <c r="AX55" s="158" t="n">
        <f aca="false">AX36*Assumption!$E$196+AX37*Assumption!$E$209+AX38*Assumption!$E$222+AX39*Assumption!$E$235+AX40*Assumption!$E$248</f>
        <v>0</v>
      </c>
      <c r="AY55" s="158" t="n">
        <f aca="false">AY36*Assumption!$E$196+AY37*Assumption!$E$209+AY38*Assumption!$E$222+AY39*Assumption!$E$235+AY40*Assumption!$E$248</f>
        <v>0</v>
      </c>
      <c r="AZ55" s="158" t="n">
        <f aca="false">AZ36*Assumption!$E$196+AZ37*Assumption!$E$209+AZ38*Assumption!$E$222+AZ39*Assumption!$E$235+AZ40*Assumption!$E$248</f>
        <v>0</v>
      </c>
      <c r="BA55" s="158" t="n">
        <f aca="false">BA36*Assumption!$E$196+BA37*Assumption!$E$209+BA38*Assumption!$E$222+BA39*Assumption!$E$235+BA40*Assumption!$E$248</f>
        <v>0</v>
      </c>
      <c r="BB55" s="158" t="n">
        <f aca="false">BB36*Assumption!$E$196+BB37*Assumption!$E$209+BB38*Assumption!$E$222+BB39*Assumption!$E$235+BB40*Assumption!$E$248</f>
        <v>0</v>
      </c>
      <c r="BC55" s="158" t="n">
        <f aca="false">BC36*Assumption!$E$196+BC37*Assumption!$E$209+BC38*Assumption!$E$222+BC39*Assumption!$E$235+BC40*Assumption!$E$248</f>
        <v>0</v>
      </c>
      <c r="BD55" s="158" t="n">
        <f aca="false">BD36*Assumption!$E$196+BD37*Assumption!$E$209+BD38*Assumption!$E$222+BD39*Assumption!$E$235+BD40*Assumption!$E$248</f>
        <v>0</v>
      </c>
      <c r="BE55" s="158" t="n">
        <f aca="false">BE36*Assumption!$E$196+BE37*Assumption!$E$209+BE38*Assumption!$E$222+BE39*Assumption!$E$235+BE40*Assumption!$E$248</f>
        <v>0</v>
      </c>
      <c r="BF55" s="158" t="n">
        <f aca="false">BF36*Assumption!$E$196+BF37*Assumption!$E$209+BF38*Assumption!$E$222+BF39*Assumption!$E$235+BF40*Assumption!$E$248</f>
        <v>0</v>
      </c>
      <c r="BG55" s="158" t="n">
        <f aca="false">BG36*Assumption!$E$196+BG37*Assumption!$E$209+BG38*Assumption!$E$222+BG39*Assumption!$E$235+BG40*Assumption!$E$248</f>
        <v>0</v>
      </c>
      <c r="BH55" s="158" t="n">
        <f aca="false">BH36*Assumption!$E$196+BH37*Assumption!$E$209+BH38*Assumption!$E$222+BH39*Assumption!$E$235+BH40*Assumption!$E$248</f>
        <v>0</v>
      </c>
      <c r="BI55" s="158" t="n">
        <f aca="false">BI36*Assumption!$E$196+BI37*Assumption!$E$209+BI38*Assumption!$E$222+BI39*Assumption!$E$235+BI40*Assumption!$E$248</f>
        <v>0</v>
      </c>
      <c r="BJ55" s="158" t="n">
        <f aca="false">BJ36*Assumption!$E$196+BJ37*Assumption!$E$209+BJ38*Assumption!$E$222+BJ39*Assumption!$E$235+BJ40*Assumption!$E$248</f>
        <v>0</v>
      </c>
      <c r="BK55" s="158" t="n">
        <f aca="false">BK36*Assumption!$E$196+BK37*Assumption!$E$209+BK38*Assumption!$E$222+BK39*Assumption!$E$235+BK40*Assumption!$E$248</f>
        <v>0</v>
      </c>
      <c r="BL55" s="158" t="n">
        <f aca="false">BL36*Assumption!$E$196+BL37*Assumption!$E$209+BL38*Assumption!$E$222+BL39*Assumption!$E$235+BL40*Assumption!$E$248</f>
        <v>0</v>
      </c>
      <c r="BM55" s="158" t="n">
        <f aca="false">BM36*Assumption!$E$196+BM37*Assumption!$E$209+BM38*Assumption!$E$222+BM39*Assumption!$E$235+BM40*Assumption!$E$248</f>
        <v>0</v>
      </c>
      <c r="BN55" s="158" t="n">
        <f aca="false">BN36*Assumption!$E$196+BN37*Assumption!$E$209+BN38*Assumption!$E$222+BN39*Assumption!$E$235+BN40*Assumption!$E$248</f>
        <v>0</v>
      </c>
      <c r="BO55" s="158" t="n">
        <f aca="false">BO36*Assumption!$E$196+BO37*Assumption!$E$209+BO38*Assumption!$E$222+BO39*Assumption!$E$235+BO40*Assumption!$E$248</f>
        <v>0</v>
      </c>
      <c r="BP55" s="158" t="n">
        <f aca="false">BP36*Assumption!$E$196+BP37*Assumption!$E$209+BP38*Assumption!$E$222+BP39*Assumption!$E$235+BP40*Assumption!$E$248</f>
        <v>0</v>
      </c>
      <c r="BQ55" s="158" t="n">
        <f aca="false">BQ36*Assumption!$E$196+BQ37*Assumption!$E$209+BQ38*Assumption!$E$222+BQ39*Assumption!$E$235+BQ40*Assumption!$E$248</f>
        <v>0</v>
      </c>
      <c r="BR55" s="158" t="n">
        <f aca="false">BR36*Assumption!$E$196+BR37*Assumption!$E$209+BR38*Assumption!$E$222+BR39*Assumption!$E$235+BR40*Assumption!$E$248</f>
        <v>0</v>
      </c>
      <c r="BS55" s="158" t="n">
        <f aca="false">BS36*Assumption!$E$196+BS37*Assumption!$E$209+BS38*Assumption!$E$222+BS39*Assumption!$E$235+BS40*Assumption!$E$248</f>
        <v>0</v>
      </c>
      <c r="BT55" s="158" t="n">
        <f aca="false">BT36*Assumption!$E$196+BT37*Assumption!$E$209+BT38*Assumption!$E$222+BT39*Assumption!$E$235+BT40*Assumption!$E$248</f>
        <v>0</v>
      </c>
      <c r="BU55" s="158" t="n">
        <f aca="false">BU36*Assumption!$E$196+BU37*Assumption!$E$209+BU38*Assumption!$E$222+BU39*Assumption!$E$235+BU40*Assumption!$E$248</f>
        <v>0</v>
      </c>
      <c r="BV55" s="158" t="n">
        <f aca="false">BV36*Assumption!$E$196+BV37*Assumption!$E$209+BV38*Assumption!$E$222+BV39*Assumption!$E$235+BV40*Assumption!$E$248</f>
        <v>0</v>
      </c>
      <c r="BW55" s="158" t="n">
        <f aca="false">BW36*Assumption!$E$196+BW37*Assumption!$E$209+BW38*Assumption!$E$222+BW39*Assumption!$E$235+BW40*Assumption!$E$248</f>
        <v>0</v>
      </c>
      <c r="BX55" s="158" t="n">
        <f aca="false">BX36*Assumption!$E$196+BX37*Assumption!$E$209+BX38*Assumption!$E$222+BX39*Assumption!$E$235+BX40*Assumption!$E$248</f>
        <v>0</v>
      </c>
      <c r="BY55" s="158" t="n">
        <f aca="false">BY36*Assumption!$E$196+BY37*Assumption!$E$209+BY38*Assumption!$E$222+BY39*Assumption!$E$235+BY40*Assumption!$E$248</f>
        <v>0</v>
      </c>
      <c r="BZ55" s="158" t="n">
        <f aca="false">BZ36*Assumption!$E$196+BZ37*Assumption!$E$209+BZ38*Assumption!$E$222+BZ39*Assumption!$E$235+BZ40*Assumption!$E$248</f>
        <v>0</v>
      </c>
      <c r="CA55" s="158" t="n">
        <f aca="false">CA36*Assumption!$E$196+CA37*Assumption!$E$209+CA38*Assumption!$E$222+CA39*Assumption!$E$235+CA40*Assumption!$E$248</f>
        <v>0</v>
      </c>
      <c r="CB55" s="158" t="n">
        <f aca="false">CB36*Assumption!$E$196+CB37*Assumption!$E$209+CB38*Assumption!$E$222+CB39*Assumption!$E$235+CB40*Assumption!$E$248</f>
        <v>0</v>
      </c>
      <c r="CC55" s="158" t="n">
        <f aca="false">CC36*Assumption!$E$196+CC37*Assumption!$E$209+CC38*Assumption!$E$222+CC39*Assumption!$E$235+CC40*Assumption!$E$248</f>
        <v>0</v>
      </c>
      <c r="CD55" s="158" t="n">
        <f aca="false">CD36*Assumption!$E$196+CD37*Assumption!$E$209+CD38*Assumption!$E$222+CD39*Assumption!$E$235+CD40*Assumption!$E$248</f>
        <v>0</v>
      </c>
      <c r="CE55" s="158" t="n">
        <f aca="false">CE36*Assumption!$E$196+CE37*Assumption!$E$209+CE38*Assumption!$E$222+CE39*Assumption!$E$235+CE40*Assumption!$E$248</f>
        <v>0</v>
      </c>
      <c r="CF55" s="158" t="n">
        <f aca="false">CF36*Assumption!$E$196+CF37*Assumption!$E$209+CF38*Assumption!$E$222+CF39*Assumption!$E$235+CF40*Assumption!$E$248</f>
        <v>0</v>
      </c>
      <c r="CG55" s="158" t="n">
        <f aca="false">CG36*Assumption!$E$196+CG37*Assumption!$E$209+CG38*Assumption!$E$222+CG39*Assumption!$E$235+CG40*Assumption!$E$248</f>
        <v>0</v>
      </c>
      <c r="CH55" s="158" t="n">
        <f aca="false">CH36*Assumption!$E$196+CH37*Assumption!$E$209+CH38*Assumption!$E$222+CH39*Assumption!$E$235+CH40*Assumption!$E$248</f>
        <v>0</v>
      </c>
      <c r="CI55" s="158" t="n">
        <f aca="false">CI36*Assumption!$E$196+CI37*Assumption!$E$209+CI38*Assumption!$E$222+CI39*Assumption!$E$235+CI40*Assumption!$E$248</f>
        <v>0</v>
      </c>
      <c r="CJ55" s="158" t="n">
        <f aca="false">CJ36*Assumption!$E$196+CJ37*Assumption!$E$209+CJ38*Assumption!$E$222+CJ39*Assumption!$E$235+CJ40*Assumption!$E$248</f>
        <v>0</v>
      </c>
      <c r="CK55" s="158" t="n">
        <f aca="false">CK36*Assumption!$E$196+CK37*Assumption!$E$209+CK38*Assumption!$E$222+CK39*Assumption!$E$235+CK40*Assumption!$E$248</f>
        <v>0</v>
      </c>
      <c r="CL55" s="158" t="n">
        <f aca="false">CL36*Assumption!$E$196+CL37*Assumption!$E$209+CL38*Assumption!$E$222+CL39*Assumption!$E$235+CL40*Assumption!$E$248</f>
        <v>0</v>
      </c>
      <c r="CM55" s="158" t="n">
        <f aca="false">CM36*Assumption!$E$196+CM37*Assumption!$E$209+CM38*Assumption!$E$222+CM39*Assumption!$E$235+CM40*Assumption!$E$248</f>
        <v>0</v>
      </c>
      <c r="CN55" s="158" t="n">
        <f aca="false">CN36*Assumption!$E$196+CN37*Assumption!$E$209+CN38*Assumption!$E$222+CN39*Assumption!$E$235+CN40*Assumption!$E$248</f>
        <v>0</v>
      </c>
      <c r="CO55" s="158" t="n">
        <f aca="false">CO36*Assumption!$E$196+CO37*Assumption!$E$209+CO38*Assumption!$E$222+CO39*Assumption!$E$235+CO40*Assumption!$E$248</f>
        <v>0</v>
      </c>
      <c r="CP55" s="158" t="n">
        <f aca="false">CP36*Assumption!$E$196+CP37*Assumption!$E$209+CP38*Assumption!$E$222+CP39*Assumption!$E$235+CP40*Assumption!$E$248</f>
        <v>0</v>
      </c>
      <c r="CQ55" s="158" t="n">
        <f aca="false">CQ36*Assumption!$E$196+CQ37*Assumption!$E$209+CQ38*Assumption!$E$222+CQ39*Assumption!$E$235+CQ40*Assumption!$E$248</f>
        <v>0</v>
      </c>
      <c r="CR55" s="158" t="n">
        <f aca="false">CR36*Assumption!$E$196+CR37*Assumption!$E$209+CR38*Assumption!$E$222+CR39*Assumption!$E$235+CR40*Assumption!$E$248</f>
        <v>0</v>
      </c>
      <c r="CS55" s="158" t="n">
        <f aca="false">CS36*Assumption!$E$196+CS37*Assumption!$E$209+CS38*Assumption!$E$222+CS39*Assumption!$E$235+CS40*Assumption!$E$248</f>
        <v>0</v>
      </c>
      <c r="CT55" s="158" t="n">
        <f aca="false">CT36*Assumption!$E$196+CT37*Assumption!$E$209+CT38*Assumption!$E$222+CT39*Assumption!$E$235+CT40*Assumption!$E$248</f>
        <v>0</v>
      </c>
      <c r="CU55" s="158" t="n">
        <f aca="false">CU36*Assumption!$E$196+CU37*Assumption!$E$209+CU38*Assumption!$E$222+CU39*Assumption!$E$235+CU40*Assumption!$E$248</f>
        <v>0</v>
      </c>
      <c r="CV55" s="158" t="n">
        <f aca="false">CV36*Assumption!$E$196+CV37*Assumption!$E$209+CV38*Assumption!$E$222+CV39*Assumption!$E$235+CV40*Assumption!$E$248</f>
        <v>0</v>
      </c>
      <c r="CW55" s="158" t="n">
        <f aca="false">CW36*Assumption!$E$196+CW37*Assumption!$E$209+CW38*Assumption!$E$222+CW39*Assumption!$E$235+CW40*Assumption!$E$248</f>
        <v>0</v>
      </c>
      <c r="CX55" s="158" t="n">
        <f aca="false">CX36*Assumption!$E$196+CX37*Assumption!$E$209+CX38*Assumption!$E$222+CX39*Assumption!$E$235+CX40*Assumption!$E$248</f>
        <v>0</v>
      </c>
      <c r="CY55" s="158" t="n">
        <f aca="false">CY36*Assumption!$E$196+CY37*Assumption!$E$209+CY38*Assumption!$E$222+CY39*Assumption!$E$235+CY40*Assumption!$E$248</f>
        <v>0</v>
      </c>
      <c r="CZ55" s="158" t="n">
        <f aca="false">CZ36*Assumption!$E$196+CZ37*Assumption!$E$209+CZ38*Assumption!$E$222+CZ39*Assumption!$E$235+CZ40*Assumption!$E$248</f>
        <v>0</v>
      </c>
      <c r="DA55" s="158" t="n">
        <f aca="false">DA36*Assumption!$E$196+DA37*Assumption!$E$209+DA38*Assumption!$E$222+DA39*Assumption!$E$235+DA40*Assumption!$E$248</f>
        <v>0</v>
      </c>
      <c r="DB55" s="158" t="n">
        <f aca="false">DB36*Assumption!$E$196+DB37*Assumption!$E$209+DB38*Assumption!$E$222+DB39*Assumption!$E$235+DB40*Assumption!$E$248</f>
        <v>0</v>
      </c>
      <c r="DC55" s="158" t="n">
        <f aca="false">DC36*Assumption!$E$196+DC37*Assumption!$E$209+DC38*Assumption!$E$222+DC39*Assumption!$E$235+DC40*Assumption!$E$248</f>
        <v>0</v>
      </c>
      <c r="DD55" s="158" t="n">
        <f aca="false">DD36*Assumption!$E$196+DD37*Assumption!$E$209+DD38*Assumption!$E$222+DD39*Assumption!$E$235+DD40*Assumption!$E$248</f>
        <v>0</v>
      </c>
      <c r="DE55" s="158" t="n">
        <f aca="false">DE36*Assumption!$E$196+DE37*Assumption!$E$209+DE38*Assumption!$E$222+DE39*Assumption!$E$235+DE40*Assumption!$E$248</f>
        <v>0</v>
      </c>
      <c r="DF55" s="158" t="n">
        <f aca="false">DF36*Assumption!$E$196+DF37*Assumption!$E$209+DF38*Assumption!$E$222+DF39*Assumption!$E$235+DF40*Assumption!$E$248</f>
        <v>0</v>
      </c>
      <c r="DG55" s="158" t="n">
        <f aca="false">DG36*Assumption!$E$196+DG37*Assumption!$E$209+DG38*Assumption!$E$222+DG39*Assumption!$E$235+DG40*Assumption!$E$248</f>
        <v>0</v>
      </c>
      <c r="DH55" s="158" t="n">
        <f aca="false">DH36*Assumption!$E$196+DH37*Assumption!$E$209+DH38*Assumption!$E$222+DH39*Assumption!$E$235+DH40*Assumption!$E$248</f>
        <v>0</v>
      </c>
      <c r="DI55" s="158" t="n">
        <f aca="false">DI36*Assumption!$E$196+DI37*Assumption!$E$209+DI38*Assumption!$E$222+DI39*Assumption!$E$235+DI40*Assumption!$E$248</f>
        <v>0</v>
      </c>
      <c r="DJ55" s="158" t="n">
        <f aca="false">DJ36*Assumption!$E$196+DJ37*Assumption!$E$209+DJ38*Assumption!$E$222+DJ39*Assumption!$E$235+DJ40*Assumption!$E$248</f>
        <v>0</v>
      </c>
      <c r="DK55" s="158" t="n">
        <f aca="false">DK36*Assumption!$E$196+DK37*Assumption!$E$209+DK38*Assumption!$E$222+DK39*Assumption!$E$235+DK40*Assumption!$E$248</f>
        <v>0</v>
      </c>
      <c r="DL55" s="158" t="n">
        <f aca="false">DL36*Assumption!$E$196+DL37*Assumption!$E$209+DL38*Assumption!$E$222+DL39*Assumption!$E$235+DL40*Assumption!$E$248</f>
        <v>0</v>
      </c>
      <c r="DM55" s="158" t="n">
        <f aca="false">DM36*Assumption!$E$196+DM37*Assumption!$E$209+DM38*Assumption!$E$222+DM39*Assumption!$E$235+DM40*Assumption!$E$248</f>
        <v>0</v>
      </c>
      <c r="DN55" s="158" t="n">
        <f aca="false">DN36*Assumption!$E$196+DN37*Assumption!$E$209+DN38*Assumption!$E$222+DN39*Assumption!$E$235+DN40*Assumption!$E$248</f>
        <v>0</v>
      </c>
      <c r="DO55" s="158" t="n">
        <f aca="false">DO36*Assumption!$E$196+DO37*Assumption!$E$209+DO38*Assumption!$E$222+DO39*Assumption!$E$235+DO40*Assumption!$E$248</f>
        <v>0</v>
      </c>
      <c r="DP55" s="158" t="n">
        <f aca="false">DP36*Assumption!$E$196+DP37*Assumption!$E$209+DP38*Assumption!$E$222+DP39*Assumption!$E$235+DP40*Assumption!$E$248</f>
        <v>0</v>
      </c>
      <c r="DQ55" s="158" t="n">
        <f aca="false">DQ36*Assumption!$E$196+DQ37*Assumption!$E$209+DQ38*Assumption!$E$222+DQ39*Assumption!$E$235+DQ40*Assumption!$E$248</f>
        <v>0</v>
      </c>
      <c r="DR55" s="158" t="n">
        <f aca="false">DR36*Assumption!$E$196+DR37*Assumption!$E$209+DR38*Assumption!$E$222+DR39*Assumption!$E$235+DR40*Assumption!$E$248</f>
        <v>0</v>
      </c>
      <c r="DS55" s="158" t="n">
        <f aca="false">DS36*Assumption!$E$196+DS37*Assumption!$E$209+DS38*Assumption!$E$222+DS39*Assumption!$E$235+DS40*Assumption!$E$248</f>
        <v>0</v>
      </c>
      <c r="DT55" s="158" t="n">
        <f aca="false">DT36*Assumption!$E$196+DT37*Assumption!$E$209+DT38*Assumption!$E$222+DT39*Assumption!$E$235+DT40*Assumption!$E$248</f>
        <v>0</v>
      </c>
      <c r="DU55" s="158" t="n">
        <f aca="false">DU36*Assumption!$E$196+DU37*Assumption!$E$209+DU38*Assumption!$E$222+DU39*Assumption!$E$235+DU40*Assumption!$E$248</f>
        <v>0</v>
      </c>
      <c r="DV55" s="158" t="n">
        <f aca="false">DV36*Assumption!$E$196+DV37*Assumption!$E$209+DV38*Assumption!$E$222+DV39*Assumption!$E$235+DV40*Assumption!$E$248</f>
        <v>0</v>
      </c>
      <c r="DW55" s="158" t="n">
        <f aca="false">DW36*Assumption!$E$196+DW37*Assumption!$E$209+DW38*Assumption!$E$222+DW39*Assumption!$E$235+DW40*Assumption!$E$248</f>
        <v>0</v>
      </c>
      <c r="DX55" s="158" t="n">
        <f aca="false">DX36*Assumption!$E$196+DX37*Assumption!$E$209+DX38*Assumption!$E$222+DX39*Assumption!$E$235+DX40*Assumption!$E$248</f>
        <v>0</v>
      </c>
      <c r="DY55" s="158" t="n">
        <f aca="false">DY36*Assumption!$E$196+DY37*Assumption!$E$209+DY38*Assumption!$E$222+DY39*Assumption!$E$235+DY40*Assumption!$E$248</f>
        <v>0</v>
      </c>
      <c r="DZ55" s="158" t="n">
        <f aca="false">DZ36*Assumption!$E$196+DZ37*Assumption!$E$209+DZ38*Assumption!$E$222+DZ39*Assumption!$E$235+DZ40*Assumption!$E$248</f>
        <v>0</v>
      </c>
      <c r="EA55" s="158" t="n">
        <f aca="false">EA36*Assumption!$E$196+EA37*Assumption!$E$209+EA38*Assumption!$E$222+EA39*Assumption!$E$235+EA40*Assumption!$E$248</f>
        <v>0</v>
      </c>
      <c r="EB55" s="158" t="n">
        <f aca="false">EB36*Assumption!$E$196+EB37*Assumption!$E$209+EB38*Assumption!$E$222+EB39*Assumption!$E$235+EB40*Assumption!$E$248</f>
        <v>0</v>
      </c>
      <c r="EC55" s="158" t="n">
        <f aca="false">EC36*Assumption!$E$196+EC37*Assumption!$E$209+EC38*Assumption!$E$222+EC39*Assumption!$E$235+EC40*Assumption!$E$248</f>
        <v>0</v>
      </c>
      <c r="ED55" s="158" t="n">
        <f aca="false">ED36*Assumption!$E$196+ED37*Assumption!$E$209+ED38*Assumption!$E$222+ED39*Assumption!$E$235+ED40*Assumption!$E$248</f>
        <v>0</v>
      </c>
      <c r="EE55" s="158" t="n">
        <f aca="false">EE36*Assumption!$E$196+EE37*Assumption!$E$209+EE38*Assumption!$E$222+EE39*Assumption!$E$235+EE40*Assumption!$E$248</f>
        <v>0</v>
      </c>
      <c r="EF55" s="158" t="n">
        <f aca="false">EF36*Assumption!$E$196+EF37*Assumption!$E$209+EF38*Assumption!$E$222+EF39*Assumption!$E$235+EF40*Assumption!$E$248</f>
        <v>0</v>
      </c>
    </row>
    <row r="56" customFormat="false" ht="15" hidden="false" customHeight="false" outlineLevel="0" collapsed="false">
      <c r="A56" s="243" t="s">
        <v>521</v>
      </c>
      <c r="B56" s="244" t="s">
        <v>116</v>
      </c>
      <c r="C56" s="245" t="n">
        <f aca="false">SUM(E56:EF56)</f>
        <v>706913.035153105</v>
      </c>
      <c r="D56" s="13"/>
      <c r="E56" s="246" t="n">
        <f aca="false">SUM(E44:E55)</f>
        <v>0</v>
      </c>
      <c r="F56" s="246" t="n">
        <f aca="false">SUM(F44:F55)</f>
        <v>0</v>
      </c>
      <c r="G56" s="246" t="n">
        <f aca="false">SUM(G44:G55)</f>
        <v>0</v>
      </c>
      <c r="H56" s="246" t="n">
        <f aca="false">SUM(H44:H55)</f>
        <v>0</v>
      </c>
      <c r="I56" s="246" t="n">
        <f aca="false">SUM(I44:I55)</f>
        <v>0</v>
      </c>
      <c r="J56" s="246" t="n">
        <f aca="false">SUM(J44:J55)</f>
        <v>0</v>
      </c>
      <c r="K56" s="246" t="n">
        <f aca="false">SUM(K44:K55)</f>
        <v>0</v>
      </c>
      <c r="L56" s="246" t="n">
        <f aca="false">SUM(L44:L55)</f>
        <v>0</v>
      </c>
      <c r="M56" s="246" t="n">
        <f aca="false">SUM(M44:M55)</f>
        <v>0</v>
      </c>
      <c r="N56" s="246" t="n">
        <f aca="false">SUM(N44:N55)</f>
        <v>0</v>
      </c>
      <c r="O56" s="246" t="n">
        <f aca="false">SUM(O44:O55)</f>
        <v>0</v>
      </c>
      <c r="P56" s="246" t="n">
        <f aca="false">SUM(P44:P55)</f>
        <v>0</v>
      </c>
      <c r="Q56" s="246" t="n">
        <f aca="false">SUM(Q44:Q55)</f>
        <v>0</v>
      </c>
      <c r="R56" s="246" t="n">
        <f aca="false">SUM(R44:R55)</f>
        <v>0</v>
      </c>
      <c r="S56" s="246" t="n">
        <f aca="false">SUM(S44:S55)</f>
        <v>0</v>
      </c>
      <c r="T56" s="246" t="n">
        <f aca="false">SUM(T44:T55)</f>
        <v>0</v>
      </c>
      <c r="U56" s="246" t="n">
        <f aca="false">SUM(U44:U55)</f>
        <v>0</v>
      </c>
      <c r="V56" s="246" t="n">
        <f aca="false">SUM(V44:V55)</f>
        <v>0</v>
      </c>
      <c r="W56" s="246" t="n">
        <f aca="false">SUM(W44:W55)</f>
        <v>0</v>
      </c>
      <c r="X56" s="246" t="n">
        <f aca="false">SUM(X44:X55)</f>
        <v>0</v>
      </c>
      <c r="Y56" s="246" t="n">
        <f aca="false">SUM(Y44:Y55)</f>
        <v>0</v>
      </c>
      <c r="Z56" s="246" t="n">
        <f aca="false">SUM(Z44:Z55)</f>
        <v>0</v>
      </c>
      <c r="AA56" s="246" t="n">
        <f aca="false">SUM(AA44:AA55)</f>
        <v>0</v>
      </c>
      <c r="AB56" s="246" t="n">
        <f aca="false">SUM(AB44:AB55)</f>
        <v>0</v>
      </c>
      <c r="AC56" s="246" t="n">
        <f aca="false">SUM(AC44:AC55)</f>
        <v>0</v>
      </c>
      <c r="AD56" s="246" t="n">
        <f aca="false">SUM(AD44:AD55)</f>
        <v>0</v>
      </c>
      <c r="AE56" s="246" t="n">
        <f aca="false">SUM(AE44:AE55)</f>
        <v>0</v>
      </c>
      <c r="AF56" s="246" t="n">
        <f aca="false">SUM(AF44:AF55)</f>
        <v>0</v>
      </c>
      <c r="AG56" s="246" t="n">
        <f aca="false">SUM(AG44:AG55)</f>
        <v>0</v>
      </c>
      <c r="AH56" s="246" t="n">
        <f aca="false">SUM(AH44:AH55)</f>
        <v>0</v>
      </c>
      <c r="AI56" s="246" t="n">
        <f aca="false">SUM(AI44:AI55)</f>
        <v>0</v>
      </c>
      <c r="AJ56" s="246" t="n">
        <f aca="false">SUM(AJ44:AJ55)</f>
        <v>0</v>
      </c>
      <c r="AK56" s="246" t="n">
        <f aca="false">SUM(AK44:AK55)</f>
        <v>0</v>
      </c>
      <c r="AL56" s="246" t="n">
        <f aca="false">SUM(AL44:AL55)</f>
        <v>0</v>
      </c>
      <c r="AM56" s="246" t="n">
        <f aca="false">SUM(AM44:AM55)</f>
        <v>0</v>
      </c>
      <c r="AN56" s="246" t="n">
        <f aca="false">SUM(AN44:AN55)</f>
        <v>0</v>
      </c>
      <c r="AO56" s="246" t="n">
        <f aca="false">SUM(AO44:AO55)</f>
        <v>0</v>
      </c>
      <c r="AP56" s="246" t="n">
        <f aca="false">SUM(AP44:AP55)</f>
        <v>0</v>
      </c>
      <c r="AQ56" s="246" t="n">
        <f aca="false">SUM(AQ44:AQ55)</f>
        <v>0</v>
      </c>
      <c r="AR56" s="246" t="n">
        <f aca="false">SUM(AR44:AR55)</f>
        <v>0</v>
      </c>
      <c r="AS56" s="246" t="n">
        <f aca="false">SUM(AS44:AS55)</f>
        <v>0</v>
      </c>
      <c r="AT56" s="246" t="n">
        <f aca="false">SUM(AT44:AT55)</f>
        <v>0</v>
      </c>
      <c r="AU56" s="246" t="n">
        <f aca="false">SUM(AU44:AU55)</f>
        <v>0</v>
      </c>
      <c r="AV56" s="246" t="n">
        <f aca="false">SUM(AV44:AV55)</f>
        <v>0</v>
      </c>
      <c r="AW56" s="246" t="n">
        <f aca="false">SUM(AW44:AW55)</f>
        <v>0</v>
      </c>
      <c r="AX56" s="246" t="n">
        <f aca="false">SUM(AX44:AX55)</f>
        <v>0</v>
      </c>
      <c r="AY56" s="246" t="n">
        <f aca="false">SUM(AY44:AY55)</f>
        <v>0</v>
      </c>
      <c r="AZ56" s="246" t="n">
        <f aca="false">SUM(AZ44:AZ55)</f>
        <v>0</v>
      </c>
      <c r="BA56" s="246" t="n">
        <f aca="false">SUM(BA44:BA55)</f>
        <v>0</v>
      </c>
      <c r="BB56" s="246" t="n">
        <f aca="false">SUM(BB44:BB55)</f>
        <v>0</v>
      </c>
      <c r="BC56" s="246" t="n">
        <f aca="false">SUM(BC44:BC55)</f>
        <v>0</v>
      </c>
      <c r="BD56" s="246" t="n">
        <f aca="false">SUM(BD44:BD55)</f>
        <v>0</v>
      </c>
      <c r="BE56" s="246" t="n">
        <f aca="false">SUM(BE44:BE55)</f>
        <v>0</v>
      </c>
      <c r="BF56" s="246" t="n">
        <f aca="false">SUM(BF44:BF55)</f>
        <v>0</v>
      </c>
      <c r="BG56" s="246" t="n">
        <f aca="false">SUM(BG44:BG55)</f>
        <v>0</v>
      </c>
      <c r="BH56" s="246" t="n">
        <f aca="false">SUM(BH44:BH55)</f>
        <v>0</v>
      </c>
      <c r="BI56" s="246" t="n">
        <f aca="false">SUM(BI44:BI55)</f>
        <v>0</v>
      </c>
      <c r="BJ56" s="246" t="n">
        <f aca="false">SUM(BJ44:BJ55)</f>
        <v>0</v>
      </c>
      <c r="BK56" s="246" t="n">
        <f aca="false">SUM(BK44:BK55)</f>
        <v>0</v>
      </c>
      <c r="BL56" s="246" t="n">
        <f aca="false">SUM(BL44:BL55)</f>
        <v>0</v>
      </c>
      <c r="BM56" s="246" t="n">
        <f aca="false">SUM(BM44:BM55)</f>
        <v>10312.7418860081</v>
      </c>
      <c r="BN56" s="246" t="n">
        <f aca="false">SUM(BN44:BN55)</f>
        <v>10032.0959161368</v>
      </c>
      <c r="BO56" s="246" t="n">
        <f aca="false">SUM(BO44:BO55)</f>
        <v>10312.7418860081</v>
      </c>
      <c r="BP56" s="246" t="n">
        <f aca="false">SUM(BP44:BP55)</f>
        <v>10032.0959161368</v>
      </c>
      <c r="BQ56" s="246" t="n">
        <f aca="false">SUM(BQ44:BQ55)</f>
        <v>10312.7418860081</v>
      </c>
      <c r="BR56" s="246" t="n">
        <f aca="false">SUM(BR44:BR55)</f>
        <v>10312.7418860081</v>
      </c>
      <c r="BS56" s="246" t="n">
        <f aca="false">SUM(BS44:BS55)</f>
        <v>10032.0959161368</v>
      </c>
      <c r="BT56" s="246" t="n">
        <f aca="false">SUM(BT44:BT55)</f>
        <v>10312.7418860081</v>
      </c>
      <c r="BU56" s="246" t="n">
        <f aca="false">SUM(BU44:BU55)</f>
        <v>10032.0959161368</v>
      </c>
      <c r="BV56" s="246" t="n">
        <f aca="false">SUM(BV44:BV55)</f>
        <v>10312.7418860081</v>
      </c>
      <c r="BW56" s="246" t="n">
        <f aca="false">SUM(BW44:BW55)</f>
        <v>10312.7418860081</v>
      </c>
      <c r="BX56" s="246" t="n">
        <f aca="false">SUM(BX44:BX55)</f>
        <v>9751.44994626561</v>
      </c>
      <c r="BY56" s="246" t="n">
        <f aca="false">SUM(BY44:BY55)</f>
        <v>12010.3413032516</v>
      </c>
      <c r="BZ56" s="246" t="n">
        <f aca="false">SUM(BZ44:BZ55)</f>
        <v>11680.0425848647</v>
      </c>
      <c r="CA56" s="246" t="n">
        <f aca="false">SUM(CA44:CA55)</f>
        <v>12010.3413032516</v>
      </c>
      <c r="CB56" s="246" t="n">
        <f aca="false">SUM(CB44:CB55)</f>
        <v>11680.0425848647</v>
      </c>
      <c r="CC56" s="246" t="n">
        <f aca="false">SUM(CC44:CC55)</f>
        <v>12010.3413032516</v>
      </c>
      <c r="CD56" s="246" t="n">
        <f aca="false">SUM(CD44:CD55)</f>
        <v>12010.3413032516</v>
      </c>
      <c r="CE56" s="246" t="n">
        <f aca="false">SUM(CE44:CE55)</f>
        <v>11680.0425848647</v>
      </c>
      <c r="CF56" s="246" t="n">
        <f aca="false">SUM(CF44:CF55)</f>
        <v>12010.3413032516</v>
      </c>
      <c r="CG56" s="246" t="n">
        <f aca="false">SUM(CG44:CG55)</f>
        <v>11680.0425848647</v>
      </c>
      <c r="CH56" s="246" t="n">
        <f aca="false">SUM(CH44:CH55)</f>
        <v>12010.3413032516</v>
      </c>
      <c r="CI56" s="246" t="n">
        <f aca="false">SUM(CI44:CI55)</f>
        <v>12010.3413032516</v>
      </c>
      <c r="CJ56" s="246" t="n">
        <f aca="false">SUM(CJ44:CJ55)</f>
        <v>11019.4451480909</v>
      </c>
      <c r="CK56" s="246" t="n">
        <f aca="false">SUM(CK44:CK55)</f>
        <v>12250.5481293166</v>
      </c>
      <c r="CL56" s="246" t="n">
        <f aca="false">SUM(CL44:CL55)</f>
        <v>11913.643436562</v>
      </c>
      <c r="CM56" s="246" t="n">
        <f aca="false">SUM(CM44:CM55)</f>
        <v>12250.5481293166</v>
      </c>
      <c r="CN56" s="246" t="n">
        <f aca="false">SUM(CN44:CN55)</f>
        <v>11913.643436562</v>
      </c>
      <c r="CO56" s="246" t="n">
        <f aca="false">SUM(CO44:CO55)</f>
        <v>12250.5481293166</v>
      </c>
      <c r="CP56" s="246" t="n">
        <f aca="false">SUM(CP44:CP55)</f>
        <v>12250.5481293166</v>
      </c>
      <c r="CQ56" s="246" t="n">
        <f aca="false">SUM(CQ44:CQ55)</f>
        <v>11913.643436562</v>
      </c>
      <c r="CR56" s="246" t="n">
        <f aca="false">SUM(CR44:CR55)</f>
        <v>12250.5481293166</v>
      </c>
      <c r="CS56" s="246" t="n">
        <f aca="false">SUM(CS44:CS55)</f>
        <v>11913.643436562</v>
      </c>
      <c r="CT56" s="246" t="n">
        <f aca="false">SUM(CT44:CT55)</f>
        <v>12250.5481293166</v>
      </c>
      <c r="CU56" s="246" t="n">
        <f aca="false">SUM(CU44:CU55)</f>
        <v>12250.5481293166</v>
      </c>
      <c r="CV56" s="246" t="n">
        <f aca="false">SUM(CV44:CV55)</f>
        <v>11239.8340510527</v>
      </c>
      <c r="CW56" s="246" t="n">
        <f aca="false">SUM(CW44:CW55)</f>
        <v>12495.559091903</v>
      </c>
      <c r="CX56" s="246" t="n">
        <f aca="false">SUM(CX44:CX55)</f>
        <v>12151.9163052932</v>
      </c>
      <c r="CY56" s="246" t="n">
        <f aca="false">SUM(CY44:CY55)</f>
        <v>12495.559091903</v>
      </c>
      <c r="CZ56" s="246" t="n">
        <f aca="false">SUM(CZ44:CZ55)</f>
        <v>12151.9163052932</v>
      </c>
      <c r="DA56" s="246" t="n">
        <f aca="false">SUM(DA44:DA55)</f>
        <v>12495.559091903</v>
      </c>
      <c r="DB56" s="246" t="n">
        <f aca="false">SUM(DB44:DB55)</f>
        <v>12495.559091903</v>
      </c>
      <c r="DC56" s="246" t="n">
        <f aca="false">SUM(DC44:DC55)</f>
        <v>12151.9163052932</v>
      </c>
      <c r="DD56" s="246" t="n">
        <f aca="false">SUM(DD44:DD55)</f>
        <v>12495.559091903</v>
      </c>
      <c r="DE56" s="246" t="n">
        <f aca="false">SUM(DE44:DE55)</f>
        <v>12151.9163052932</v>
      </c>
      <c r="DF56" s="246" t="n">
        <f aca="false">SUM(DF44:DF55)</f>
        <v>12495.559091903</v>
      </c>
      <c r="DG56" s="246" t="n">
        <f aca="false">SUM(DG44:DG55)</f>
        <v>12495.559091903</v>
      </c>
      <c r="DH56" s="246" t="n">
        <f aca="false">SUM(DH44:DH55)</f>
        <v>11464.6307320737</v>
      </c>
      <c r="DI56" s="246" t="n">
        <f aca="false">SUM(DI44:DI55)</f>
        <v>12745.470273741</v>
      </c>
      <c r="DJ56" s="246" t="n">
        <f aca="false">SUM(DJ44:DJ55)</f>
        <v>12394.9546313991</v>
      </c>
      <c r="DK56" s="246" t="n">
        <f aca="false">SUM(DK44:DK55)</f>
        <v>12745.470273741</v>
      </c>
      <c r="DL56" s="246" t="n">
        <f aca="false">SUM(DL44:DL55)</f>
        <v>12394.9546313991</v>
      </c>
      <c r="DM56" s="246" t="n">
        <f aca="false">SUM(DM44:DM55)</f>
        <v>12745.470273741</v>
      </c>
      <c r="DN56" s="246" t="n">
        <f aca="false">SUM(DN44:DN55)</f>
        <v>12745.470273741</v>
      </c>
      <c r="DO56" s="246" t="n">
        <f aca="false">SUM(DO44:DO55)</f>
        <v>12394.9546313991</v>
      </c>
      <c r="DP56" s="246" t="n">
        <f aca="false">SUM(DP44:DP55)</f>
        <v>12745.470273741</v>
      </c>
      <c r="DQ56" s="246" t="n">
        <f aca="false">SUM(DQ44:DQ55)</f>
        <v>12394.9546313991</v>
      </c>
      <c r="DR56" s="246" t="n">
        <f aca="false">SUM(DR44:DR55)</f>
        <v>12745.470273741</v>
      </c>
      <c r="DS56" s="246" t="n">
        <f aca="false">SUM(DS44:DS55)</f>
        <v>12745.470273741</v>
      </c>
      <c r="DT56" s="246" t="n">
        <f aca="false">SUM(DT44:DT55)</f>
        <v>12044.4389890572</v>
      </c>
      <c r="DU56" s="246" t="n">
        <f aca="false">SUM(DU44:DU55)</f>
        <v>0</v>
      </c>
      <c r="DV56" s="246" t="n">
        <f aca="false">SUM(DV44:DV55)</f>
        <v>0</v>
      </c>
      <c r="DW56" s="246" t="n">
        <f aca="false">SUM(DW44:DW55)</f>
        <v>0</v>
      </c>
      <c r="DX56" s="246" t="n">
        <f aca="false">SUM(DX44:DX55)</f>
        <v>0</v>
      </c>
      <c r="DY56" s="246" t="n">
        <f aca="false">SUM(DY44:DY55)</f>
        <v>0</v>
      </c>
      <c r="DZ56" s="246" t="n">
        <f aca="false">SUM(DZ44:DZ55)</f>
        <v>0</v>
      </c>
      <c r="EA56" s="246" t="n">
        <f aca="false">SUM(EA44:EA55)</f>
        <v>0</v>
      </c>
      <c r="EB56" s="246" t="n">
        <f aca="false">SUM(EB44:EB55)</f>
        <v>0</v>
      </c>
      <c r="EC56" s="246" t="n">
        <f aca="false">SUM(EC44:EC55)</f>
        <v>0</v>
      </c>
      <c r="ED56" s="246" t="n">
        <f aca="false">SUM(ED44:ED55)</f>
        <v>0</v>
      </c>
      <c r="EE56" s="246" t="n">
        <f aca="false">SUM(EE44:EE55)</f>
        <v>0</v>
      </c>
      <c r="EF56" s="246" t="n">
        <f aca="false">SUM(EF44:EF55)</f>
        <v>0</v>
      </c>
    </row>
    <row r="58" customFormat="false" ht="15" hidden="false" customHeight="false" outlineLevel="0" collapsed="false">
      <c r="A58" s="176" t="s">
        <v>522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86"/>
      <c r="DA58" s="86"/>
      <c r="DB58" s="86"/>
      <c r="DC58" s="86"/>
      <c r="DD58" s="86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6"/>
      <c r="DT58" s="86"/>
      <c r="DU58" s="86"/>
      <c r="DV58" s="86"/>
      <c r="DW58" s="86"/>
      <c r="DX58" s="86"/>
      <c r="DY58" s="86"/>
      <c r="DZ58" s="86"/>
      <c r="EA58" s="86"/>
      <c r="EB58" s="86"/>
      <c r="EC58" s="86"/>
      <c r="ED58" s="86"/>
      <c r="EE58" s="86"/>
      <c r="EF58" s="86"/>
    </row>
    <row r="59" customFormat="false" ht="15" hidden="false" customHeight="false" outlineLevel="0" collapsed="false">
      <c r="A59" s="112" t="s">
        <v>523</v>
      </c>
      <c r="B59" s="241" t="s">
        <v>116</v>
      </c>
      <c r="C59" s="242" t="n">
        <f aca="false">SUM(E59:EF59)</f>
        <v>32621.51164802</v>
      </c>
      <c r="E59" s="158" t="n">
        <f aca="false">E21+E22+E23-E44</f>
        <v>0</v>
      </c>
      <c r="F59" s="158" t="n">
        <f aca="false">F21+F22+F23-F44</f>
        <v>0</v>
      </c>
      <c r="G59" s="158" t="n">
        <f aca="false">G21+G22+G23-G44</f>
        <v>0</v>
      </c>
      <c r="H59" s="158" t="n">
        <f aca="false">H21+H22+H23-H44</f>
        <v>0</v>
      </c>
      <c r="I59" s="158" t="n">
        <f aca="false">I21+I22+I23-I44</f>
        <v>0</v>
      </c>
      <c r="J59" s="158" t="n">
        <f aca="false">J21+J22+J23-J44</f>
        <v>0</v>
      </c>
      <c r="K59" s="158" t="n">
        <f aca="false">K21+K22+K23-K44</f>
        <v>0</v>
      </c>
      <c r="L59" s="158" t="n">
        <f aca="false">L21+L22+L23-L44</f>
        <v>0</v>
      </c>
      <c r="M59" s="158" t="n">
        <f aca="false">M21+M22+M23-M44</f>
        <v>0</v>
      </c>
      <c r="N59" s="158" t="n">
        <f aca="false">N21+N22+N23-N44</f>
        <v>0</v>
      </c>
      <c r="O59" s="158" t="n">
        <f aca="false">O21+O22+O23-O44</f>
        <v>0</v>
      </c>
      <c r="P59" s="158" t="n">
        <f aca="false">P21+P22+P23-P44</f>
        <v>0</v>
      </c>
      <c r="Q59" s="158" t="n">
        <f aca="false">Q21+Q22+Q23-Q44</f>
        <v>0</v>
      </c>
      <c r="R59" s="158" t="n">
        <f aca="false">R21+R22+R23-R44</f>
        <v>0</v>
      </c>
      <c r="S59" s="158" t="n">
        <f aca="false">S21+S22+S23-S44</f>
        <v>0</v>
      </c>
      <c r="T59" s="158" t="n">
        <f aca="false">T21+T22+T23-T44</f>
        <v>0</v>
      </c>
      <c r="U59" s="158" t="n">
        <f aca="false">U21+U22+U23-U44</f>
        <v>0</v>
      </c>
      <c r="V59" s="158" t="n">
        <f aca="false">V21+V22+V23-V44</f>
        <v>0</v>
      </c>
      <c r="W59" s="158" t="n">
        <f aca="false">W21+W22+W23-W44</f>
        <v>0</v>
      </c>
      <c r="X59" s="158" t="n">
        <f aca="false">X21+X22+X23-X44</f>
        <v>0</v>
      </c>
      <c r="Y59" s="158" t="n">
        <f aca="false">Y21+Y22+Y23-Y44</f>
        <v>0</v>
      </c>
      <c r="Z59" s="158" t="n">
        <f aca="false">Z21+Z22+Z23-Z44</f>
        <v>0</v>
      </c>
      <c r="AA59" s="158" t="n">
        <f aca="false">AA21+AA22+AA23-AA44</f>
        <v>0</v>
      </c>
      <c r="AB59" s="158" t="n">
        <f aca="false">AB21+AB22+AB23-AB44</f>
        <v>0</v>
      </c>
      <c r="AC59" s="158" t="n">
        <f aca="false">AC21+AC22+AC23-AC44</f>
        <v>0</v>
      </c>
      <c r="AD59" s="158" t="n">
        <f aca="false">AD21+AD22+AD23-AD44</f>
        <v>0</v>
      </c>
      <c r="AE59" s="158" t="n">
        <f aca="false">AE21+AE22+AE23-AE44</f>
        <v>0</v>
      </c>
      <c r="AF59" s="158" t="n">
        <f aca="false">AF21+AF22+AF23-AF44</f>
        <v>0</v>
      </c>
      <c r="AG59" s="158" t="n">
        <f aca="false">AG21+AG22+AG23-AG44</f>
        <v>0</v>
      </c>
      <c r="AH59" s="158" t="n">
        <f aca="false">AH21+AH22+AH23-AH44</f>
        <v>0</v>
      </c>
      <c r="AI59" s="158" t="n">
        <f aca="false">AI21+AI22+AI23-AI44</f>
        <v>0</v>
      </c>
      <c r="AJ59" s="158" t="n">
        <f aca="false">AJ21+AJ22+AJ23-AJ44</f>
        <v>0</v>
      </c>
      <c r="AK59" s="158" t="n">
        <f aca="false">AK21+AK22+AK23-AK44</f>
        <v>0</v>
      </c>
      <c r="AL59" s="158" t="n">
        <f aca="false">AL21+AL22+AL23-AL44</f>
        <v>0</v>
      </c>
      <c r="AM59" s="158" t="n">
        <f aca="false">AM21+AM22+AM23-AM44</f>
        <v>0</v>
      </c>
      <c r="AN59" s="158" t="n">
        <f aca="false">AN21+AN22+AN23-AN44</f>
        <v>0</v>
      </c>
      <c r="AO59" s="158" t="n">
        <f aca="false">AO21+AO22+AO23-AO44</f>
        <v>0</v>
      </c>
      <c r="AP59" s="158" t="n">
        <f aca="false">AP21+AP22+AP23-AP44</f>
        <v>0</v>
      </c>
      <c r="AQ59" s="158" t="n">
        <f aca="false">AQ21+AQ22+AQ23-AQ44</f>
        <v>0</v>
      </c>
      <c r="AR59" s="158" t="n">
        <f aca="false">AR21+AR22+AR23-AR44</f>
        <v>0</v>
      </c>
      <c r="AS59" s="158" t="n">
        <f aca="false">AS21+AS22+AS23-AS44</f>
        <v>0</v>
      </c>
      <c r="AT59" s="158" t="n">
        <f aca="false">AT21+AT22+AT23-AT44</f>
        <v>0</v>
      </c>
      <c r="AU59" s="158" t="n">
        <f aca="false">AU21+AU22+AU23-AU44</f>
        <v>0</v>
      </c>
      <c r="AV59" s="158" t="n">
        <f aca="false">AV21+AV22+AV23-AV44</f>
        <v>0</v>
      </c>
      <c r="AW59" s="158" t="n">
        <f aca="false">AW21+AW22+AW23-AW44</f>
        <v>0</v>
      </c>
      <c r="AX59" s="158" t="n">
        <f aca="false">AX21+AX22+AX23-AX44</f>
        <v>0</v>
      </c>
      <c r="AY59" s="158" t="n">
        <f aca="false">AY21+AY22+AY23-AY44</f>
        <v>0</v>
      </c>
      <c r="AZ59" s="158" t="n">
        <f aca="false">AZ21+AZ22+AZ23-AZ44</f>
        <v>0</v>
      </c>
      <c r="BA59" s="158" t="n">
        <f aca="false">BA21+BA22+BA23-BA44</f>
        <v>0</v>
      </c>
      <c r="BB59" s="158" t="n">
        <f aca="false">BB21+BB22+BB23-BB44</f>
        <v>0</v>
      </c>
      <c r="BC59" s="158" t="n">
        <f aca="false">BC21+BC22+BC23-BC44</f>
        <v>0</v>
      </c>
      <c r="BD59" s="158" t="n">
        <f aca="false">BD21+BD22+BD23-BD44</f>
        <v>0</v>
      </c>
      <c r="BE59" s="158" t="n">
        <f aca="false">BE21+BE22+BE23-BE44</f>
        <v>0</v>
      </c>
      <c r="BF59" s="158" t="n">
        <f aca="false">BF21+BF22+BF23-BF44</f>
        <v>0</v>
      </c>
      <c r="BG59" s="158" t="n">
        <f aca="false">BG21+BG22+BG23-BG44</f>
        <v>0</v>
      </c>
      <c r="BH59" s="158" t="n">
        <f aca="false">BH21+BH22+BH23-BH44</f>
        <v>0</v>
      </c>
      <c r="BI59" s="158" t="n">
        <f aca="false">BI21+BI22+BI23-BI44</f>
        <v>0</v>
      </c>
      <c r="BJ59" s="158" t="n">
        <f aca="false">BJ21+BJ22+BJ23-BJ44</f>
        <v>0</v>
      </c>
      <c r="BK59" s="158" t="n">
        <f aca="false">BK21+BK22+BK23-BK44</f>
        <v>0</v>
      </c>
      <c r="BL59" s="158" t="n">
        <f aca="false">BL21+BL22+BL23-BL44</f>
        <v>0</v>
      </c>
      <c r="BM59" s="158" t="n">
        <f aca="false">BM21+BM22+BM23-BM44</f>
        <v>459.1644</v>
      </c>
      <c r="BN59" s="158" t="n">
        <f aca="false">BN21+BN22+BN23-BN44</f>
        <v>459.1644</v>
      </c>
      <c r="BO59" s="158" t="n">
        <f aca="false">BO21+BO22+BO23-BO44</f>
        <v>459.1644</v>
      </c>
      <c r="BP59" s="158" t="n">
        <f aca="false">BP21+BP22+BP23-BP44</f>
        <v>459.1644</v>
      </c>
      <c r="BQ59" s="158" t="n">
        <f aca="false">BQ21+BQ22+BQ23-BQ44</f>
        <v>459.1644</v>
      </c>
      <c r="BR59" s="158" t="n">
        <f aca="false">BR21+BR22+BR23-BR44</f>
        <v>459.1644</v>
      </c>
      <c r="BS59" s="158" t="n">
        <f aca="false">BS21+BS22+BS23-BS44</f>
        <v>459.1644</v>
      </c>
      <c r="BT59" s="158" t="n">
        <f aca="false">BT21+BT22+BT23-BT44</f>
        <v>459.1644</v>
      </c>
      <c r="BU59" s="158" t="n">
        <f aca="false">BU21+BU22+BU23-BU44</f>
        <v>459.1644</v>
      </c>
      <c r="BV59" s="158" t="n">
        <f aca="false">BV21+BV22+BV23-BV44</f>
        <v>459.1644</v>
      </c>
      <c r="BW59" s="158" t="n">
        <f aca="false">BW21+BW22+BW23-BW44</f>
        <v>459.1644</v>
      </c>
      <c r="BX59" s="158" t="n">
        <f aca="false">BX21+BX22+BX23-BX44</f>
        <v>459.1644</v>
      </c>
      <c r="BY59" s="158" t="n">
        <f aca="false">BY21+BY22+BY23-BY44</f>
        <v>548.158608</v>
      </c>
      <c r="BZ59" s="158" t="n">
        <f aca="false">BZ21+BZ22+BZ23-BZ44</f>
        <v>548.158608</v>
      </c>
      <c r="CA59" s="158" t="n">
        <f aca="false">CA21+CA22+CA23-CA44</f>
        <v>548.158608</v>
      </c>
      <c r="CB59" s="158" t="n">
        <f aca="false">CB21+CB22+CB23-CB44</f>
        <v>548.158608</v>
      </c>
      <c r="CC59" s="158" t="n">
        <f aca="false">CC21+CC22+CC23-CC44</f>
        <v>548.158608</v>
      </c>
      <c r="CD59" s="158" t="n">
        <f aca="false">CD21+CD22+CD23-CD44</f>
        <v>548.158608</v>
      </c>
      <c r="CE59" s="158" t="n">
        <f aca="false">CE21+CE22+CE23-CE44</f>
        <v>548.158608</v>
      </c>
      <c r="CF59" s="158" t="n">
        <f aca="false">CF21+CF22+CF23-CF44</f>
        <v>548.158608</v>
      </c>
      <c r="CG59" s="158" t="n">
        <f aca="false">CG21+CG22+CG23-CG44</f>
        <v>548.158608</v>
      </c>
      <c r="CH59" s="158" t="n">
        <f aca="false">CH21+CH22+CH23-CH44</f>
        <v>548.158608</v>
      </c>
      <c r="CI59" s="158" t="n">
        <f aca="false">CI21+CI22+CI23-CI44</f>
        <v>548.158608</v>
      </c>
      <c r="CJ59" s="158" t="n">
        <f aca="false">CJ21+CJ22+CJ23-CJ44</f>
        <v>548.158608</v>
      </c>
      <c r="CK59" s="158" t="n">
        <f aca="false">CK21+CK22+CK23-CK44</f>
        <v>559.12178016</v>
      </c>
      <c r="CL59" s="158" t="n">
        <f aca="false">CL21+CL22+CL23-CL44</f>
        <v>559.12178016</v>
      </c>
      <c r="CM59" s="158" t="n">
        <f aca="false">CM21+CM22+CM23-CM44</f>
        <v>559.12178016</v>
      </c>
      <c r="CN59" s="158" t="n">
        <f aca="false">CN21+CN22+CN23-CN44</f>
        <v>559.12178016</v>
      </c>
      <c r="CO59" s="158" t="n">
        <f aca="false">CO21+CO22+CO23-CO44</f>
        <v>559.12178016</v>
      </c>
      <c r="CP59" s="158" t="n">
        <f aca="false">CP21+CP22+CP23-CP44</f>
        <v>559.12178016</v>
      </c>
      <c r="CQ59" s="158" t="n">
        <f aca="false">CQ21+CQ22+CQ23-CQ44</f>
        <v>559.12178016</v>
      </c>
      <c r="CR59" s="158" t="n">
        <f aca="false">CR21+CR22+CR23-CR44</f>
        <v>559.12178016</v>
      </c>
      <c r="CS59" s="158" t="n">
        <f aca="false">CS21+CS22+CS23-CS44</f>
        <v>559.12178016</v>
      </c>
      <c r="CT59" s="158" t="n">
        <f aca="false">CT21+CT22+CT23-CT44</f>
        <v>559.12178016</v>
      </c>
      <c r="CU59" s="158" t="n">
        <f aca="false">CU21+CU22+CU23-CU44</f>
        <v>559.12178016</v>
      </c>
      <c r="CV59" s="158" t="n">
        <f aca="false">CV21+CV22+CV23-CV44</f>
        <v>559.12178016</v>
      </c>
      <c r="CW59" s="158" t="n">
        <f aca="false">CW21+CW22+CW23-CW44</f>
        <v>570.3042157632</v>
      </c>
      <c r="CX59" s="158" t="n">
        <f aca="false">CX21+CX22+CX23-CX44</f>
        <v>570.3042157632</v>
      </c>
      <c r="CY59" s="158" t="n">
        <f aca="false">CY21+CY22+CY23-CY44</f>
        <v>570.3042157632</v>
      </c>
      <c r="CZ59" s="158" t="n">
        <f aca="false">CZ21+CZ22+CZ23-CZ44</f>
        <v>570.3042157632</v>
      </c>
      <c r="DA59" s="158" t="n">
        <f aca="false">DA21+DA22+DA23-DA44</f>
        <v>570.3042157632</v>
      </c>
      <c r="DB59" s="158" t="n">
        <f aca="false">DB21+DB22+DB23-DB44</f>
        <v>570.3042157632</v>
      </c>
      <c r="DC59" s="158" t="n">
        <f aca="false">DC21+DC22+DC23-DC44</f>
        <v>570.3042157632</v>
      </c>
      <c r="DD59" s="158" t="n">
        <f aca="false">DD21+DD22+DD23-DD44</f>
        <v>570.3042157632</v>
      </c>
      <c r="DE59" s="158" t="n">
        <f aca="false">DE21+DE22+DE23-DE44</f>
        <v>570.3042157632</v>
      </c>
      <c r="DF59" s="158" t="n">
        <f aca="false">DF21+DF22+DF23-DF44</f>
        <v>570.3042157632</v>
      </c>
      <c r="DG59" s="158" t="n">
        <f aca="false">DG21+DG22+DG23-DG44</f>
        <v>570.3042157632</v>
      </c>
      <c r="DH59" s="158" t="n">
        <f aca="false">DH21+DH22+DH23-DH44</f>
        <v>570.3042157632</v>
      </c>
      <c r="DI59" s="158" t="n">
        <f aca="false">DI21+DI22+DI23-DI44</f>
        <v>581.710300078464</v>
      </c>
      <c r="DJ59" s="158" t="n">
        <f aca="false">DJ21+DJ22+DJ23-DJ44</f>
        <v>581.710300078464</v>
      </c>
      <c r="DK59" s="158" t="n">
        <f aca="false">DK21+DK22+DK23-DK44</f>
        <v>581.710300078464</v>
      </c>
      <c r="DL59" s="158" t="n">
        <f aca="false">DL21+DL22+DL23-DL44</f>
        <v>581.710300078464</v>
      </c>
      <c r="DM59" s="158" t="n">
        <f aca="false">DM21+DM22+DM23-DM44</f>
        <v>581.710300078464</v>
      </c>
      <c r="DN59" s="158" t="n">
        <f aca="false">DN21+DN22+DN23-DN44</f>
        <v>581.710300078464</v>
      </c>
      <c r="DO59" s="158" t="n">
        <f aca="false">DO21+DO22+DO23-DO44</f>
        <v>581.710300078464</v>
      </c>
      <c r="DP59" s="158" t="n">
        <f aca="false">DP21+DP22+DP23-DP44</f>
        <v>581.710300078464</v>
      </c>
      <c r="DQ59" s="158" t="n">
        <f aca="false">DQ21+DQ22+DQ23-DQ44</f>
        <v>581.710300078464</v>
      </c>
      <c r="DR59" s="158" t="n">
        <f aca="false">DR21+DR22+DR23-DR44</f>
        <v>581.710300078464</v>
      </c>
      <c r="DS59" s="158" t="n">
        <f aca="false">DS21+DS22+DS23-DS44</f>
        <v>581.710300078464</v>
      </c>
      <c r="DT59" s="158" t="n">
        <f aca="false">DT21+DT22+DT23-DT44</f>
        <v>581.710300078464</v>
      </c>
      <c r="DU59" s="158" t="n">
        <f aca="false">DU21+DU22+DU23-DU44</f>
        <v>0</v>
      </c>
      <c r="DV59" s="158" t="n">
        <f aca="false">DV21+DV22+DV23-DV44</f>
        <v>0</v>
      </c>
      <c r="DW59" s="158" t="n">
        <f aca="false">DW21+DW22+DW23-DW44</f>
        <v>0</v>
      </c>
      <c r="DX59" s="158" t="n">
        <f aca="false">DX21+DX22+DX23-DX44</f>
        <v>0</v>
      </c>
      <c r="DY59" s="158" t="n">
        <f aca="false">DY21+DY22+DY23-DY44</f>
        <v>0</v>
      </c>
      <c r="DZ59" s="158" t="n">
        <f aca="false">DZ21+DZ22+DZ23-DZ44</f>
        <v>0</v>
      </c>
      <c r="EA59" s="158" t="n">
        <f aca="false">EA21+EA22+EA23-EA44</f>
        <v>0</v>
      </c>
      <c r="EB59" s="158" t="n">
        <f aca="false">EB21+EB22+EB23-EB44</f>
        <v>0</v>
      </c>
      <c r="EC59" s="158" t="n">
        <f aca="false">EC21+EC22+EC23-EC44</f>
        <v>0</v>
      </c>
      <c r="ED59" s="158" t="n">
        <f aca="false">ED21+ED22+ED23-ED44</f>
        <v>0</v>
      </c>
      <c r="EE59" s="158" t="n">
        <f aca="false">EE21+EE22+EE23-EE44</f>
        <v>0</v>
      </c>
      <c r="EF59" s="158" t="n">
        <f aca="false">EF21+EF22+EF23-EF44</f>
        <v>0</v>
      </c>
    </row>
    <row r="60" customFormat="false" ht="15" hidden="false" customHeight="false" outlineLevel="0" collapsed="false">
      <c r="A60" s="112" t="s">
        <v>524</v>
      </c>
      <c r="B60" s="241" t="s">
        <v>116</v>
      </c>
      <c r="C60" s="242" t="n">
        <f aca="false">SUM(E60:EF60)</f>
        <v>42839.1665090576</v>
      </c>
      <c r="E60" s="158" t="n">
        <f aca="false">E24+E25+E26-E45-E46</f>
        <v>0</v>
      </c>
      <c r="F60" s="158" t="n">
        <f aca="false">F24+F25+F26-F45-F46</f>
        <v>0</v>
      </c>
      <c r="G60" s="158" t="n">
        <f aca="false">G24+G25+G26-G45-G46</f>
        <v>0</v>
      </c>
      <c r="H60" s="158" t="n">
        <f aca="false">H24+H25+H26-H45-H46</f>
        <v>0</v>
      </c>
      <c r="I60" s="158" t="n">
        <f aca="false">I24+I25+I26-I45-I46</f>
        <v>0</v>
      </c>
      <c r="J60" s="158" t="n">
        <f aca="false">J24+J25+J26-J45-J46</f>
        <v>0</v>
      </c>
      <c r="K60" s="158" t="n">
        <f aca="false">K24+K25+K26-K45-K46</f>
        <v>0</v>
      </c>
      <c r="L60" s="158" t="n">
        <f aca="false">L24+L25+L26-L45-L46</f>
        <v>0</v>
      </c>
      <c r="M60" s="158" t="n">
        <f aca="false">M24+M25+M26-M45-M46</f>
        <v>0</v>
      </c>
      <c r="N60" s="158" t="n">
        <f aca="false">N24+N25+N26-N45-N46</f>
        <v>0</v>
      </c>
      <c r="O60" s="158" t="n">
        <f aca="false">O24+O25+O26-O45-O46</f>
        <v>0</v>
      </c>
      <c r="P60" s="158" t="n">
        <f aca="false">P24+P25+P26-P45-P46</f>
        <v>0</v>
      </c>
      <c r="Q60" s="158" t="n">
        <f aca="false">Q24+Q25+Q26-Q45-Q46</f>
        <v>0</v>
      </c>
      <c r="R60" s="158" t="n">
        <f aca="false">R24+R25+R26-R45-R46</f>
        <v>0</v>
      </c>
      <c r="S60" s="158" t="n">
        <f aca="false">S24+S25+S26-S45-S46</f>
        <v>0</v>
      </c>
      <c r="T60" s="158" t="n">
        <f aca="false">T24+T25+T26-T45-T46</f>
        <v>0</v>
      </c>
      <c r="U60" s="158" t="n">
        <f aca="false">U24+U25+U26-U45-U46</f>
        <v>0</v>
      </c>
      <c r="V60" s="158" t="n">
        <f aca="false">V24+V25+V26-V45-V46</f>
        <v>0</v>
      </c>
      <c r="W60" s="158" t="n">
        <f aca="false">W24+W25+W26-W45-W46</f>
        <v>0</v>
      </c>
      <c r="X60" s="158" t="n">
        <f aca="false">X24+X25+X26-X45-X46</f>
        <v>0</v>
      </c>
      <c r="Y60" s="158" t="n">
        <f aca="false">Y24+Y25+Y26-Y45-Y46</f>
        <v>0</v>
      </c>
      <c r="Z60" s="158" t="n">
        <f aca="false">Z24+Z25+Z26-Z45-Z46</f>
        <v>0</v>
      </c>
      <c r="AA60" s="158" t="n">
        <f aca="false">AA24+AA25+AA26-AA45-AA46</f>
        <v>0</v>
      </c>
      <c r="AB60" s="158" t="n">
        <f aca="false">AB24+AB25+AB26-AB45-AB46</f>
        <v>0</v>
      </c>
      <c r="AC60" s="158" t="n">
        <f aca="false">AC24+AC25+AC26-AC45-AC46</f>
        <v>0</v>
      </c>
      <c r="AD60" s="158" t="n">
        <f aca="false">AD24+AD25+AD26-AD45-AD46</f>
        <v>0</v>
      </c>
      <c r="AE60" s="158" t="n">
        <f aca="false">AE24+AE25+AE26-AE45-AE46</f>
        <v>0</v>
      </c>
      <c r="AF60" s="158" t="n">
        <f aca="false">AF24+AF25+AF26-AF45-AF46</f>
        <v>0</v>
      </c>
      <c r="AG60" s="158" t="n">
        <f aca="false">AG24+AG25+AG26-AG45-AG46</f>
        <v>0</v>
      </c>
      <c r="AH60" s="158" t="n">
        <f aca="false">AH24+AH25+AH26-AH45-AH46</f>
        <v>0</v>
      </c>
      <c r="AI60" s="158" t="n">
        <f aca="false">AI24+AI25+AI26-AI45-AI46</f>
        <v>0</v>
      </c>
      <c r="AJ60" s="158" t="n">
        <f aca="false">AJ24+AJ25+AJ26-AJ45-AJ46</f>
        <v>0</v>
      </c>
      <c r="AK60" s="158" t="n">
        <f aca="false">AK24+AK25+AK26-AK45-AK46</f>
        <v>0</v>
      </c>
      <c r="AL60" s="158" t="n">
        <f aca="false">AL24+AL25+AL26-AL45-AL46</f>
        <v>0</v>
      </c>
      <c r="AM60" s="158" t="n">
        <f aca="false">AM24+AM25+AM26-AM45-AM46</f>
        <v>0</v>
      </c>
      <c r="AN60" s="158" t="n">
        <f aca="false">AN24+AN25+AN26-AN45-AN46</f>
        <v>0</v>
      </c>
      <c r="AO60" s="158" t="n">
        <f aca="false">AO24+AO25+AO26-AO45-AO46</f>
        <v>0</v>
      </c>
      <c r="AP60" s="158" t="n">
        <f aca="false">AP24+AP25+AP26-AP45-AP46</f>
        <v>0</v>
      </c>
      <c r="AQ60" s="158" t="n">
        <f aca="false">AQ24+AQ25+AQ26-AQ45-AQ46</f>
        <v>0</v>
      </c>
      <c r="AR60" s="158" t="n">
        <f aca="false">AR24+AR25+AR26-AR45-AR46</f>
        <v>0</v>
      </c>
      <c r="AS60" s="158" t="n">
        <f aca="false">AS24+AS25+AS26-AS45-AS46</f>
        <v>0</v>
      </c>
      <c r="AT60" s="158" t="n">
        <f aca="false">AT24+AT25+AT26-AT45-AT46</f>
        <v>0</v>
      </c>
      <c r="AU60" s="158" t="n">
        <f aca="false">AU24+AU25+AU26-AU45-AU46</f>
        <v>0</v>
      </c>
      <c r="AV60" s="158" t="n">
        <f aca="false">AV24+AV25+AV26-AV45-AV46</f>
        <v>0</v>
      </c>
      <c r="AW60" s="158" t="n">
        <f aca="false">AW24+AW25+AW26-AW45-AW46</f>
        <v>0</v>
      </c>
      <c r="AX60" s="158" t="n">
        <f aca="false">AX24+AX25+AX26-AX45-AX46</f>
        <v>0</v>
      </c>
      <c r="AY60" s="158" t="n">
        <f aca="false">AY24+AY25+AY26-AY45-AY46</f>
        <v>0</v>
      </c>
      <c r="AZ60" s="158" t="n">
        <f aca="false">AZ24+AZ25+AZ26-AZ45-AZ46</f>
        <v>0</v>
      </c>
      <c r="BA60" s="158" t="n">
        <f aca="false">BA24+BA25+BA26-BA45-BA46</f>
        <v>0</v>
      </c>
      <c r="BB60" s="158" t="n">
        <f aca="false">BB24+BB25+BB26-BB45-BB46</f>
        <v>0</v>
      </c>
      <c r="BC60" s="158" t="n">
        <f aca="false">BC24+BC25+BC26-BC45-BC46</f>
        <v>0</v>
      </c>
      <c r="BD60" s="158" t="n">
        <f aca="false">BD24+BD25+BD26-BD45-BD46</f>
        <v>0</v>
      </c>
      <c r="BE60" s="158" t="n">
        <f aca="false">BE24+BE25+BE26-BE45-BE46</f>
        <v>0</v>
      </c>
      <c r="BF60" s="158" t="n">
        <f aca="false">BF24+BF25+BF26-BF45-BF46</f>
        <v>0</v>
      </c>
      <c r="BG60" s="158" t="n">
        <f aca="false">BG24+BG25+BG26-BG45-BG46</f>
        <v>0</v>
      </c>
      <c r="BH60" s="158" t="n">
        <f aca="false">BH24+BH25+BH26-BH45-BH46</f>
        <v>0</v>
      </c>
      <c r="BI60" s="158" t="n">
        <f aca="false">BI24+BI25+BI26-BI45-BI46</f>
        <v>0</v>
      </c>
      <c r="BJ60" s="158" t="n">
        <f aca="false">BJ24+BJ25+BJ26-BJ45-BJ46</f>
        <v>0</v>
      </c>
      <c r="BK60" s="158" t="n">
        <f aca="false">BK24+BK25+BK26-BK45-BK46</f>
        <v>0</v>
      </c>
      <c r="BL60" s="158" t="n">
        <f aca="false">BL24+BL25+BL26-BL45-BL46</f>
        <v>0</v>
      </c>
      <c r="BM60" s="158" t="n">
        <f aca="false">BM24+BM25+BM26-BM45-BM46</f>
        <v>621.206963795132</v>
      </c>
      <c r="BN60" s="158" t="n">
        <f aca="false">BN24+BN25+BN26-BN45-BN46</f>
        <v>601.16802947916</v>
      </c>
      <c r="BO60" s="158" t="n">
        <f aca="false">BO24+BO25+BO26-BO45-BO46</f>
        <v>621.206963795132</v>
      </c>
      <c r="BP60" s="158" t="n">
        <f aca="false">BP24+BP25+BP26-BP45-BP46</f>
        <v>601.16802947916</v>
      </c>
      <c r="BQ60" s="158" t="n">
        <f aca="false">BQ24+BQ25+BQ26-BQ45-BQ46</f>
        <v>621.206963795132</v>
      </c>
      <c r="BR60" s="158" t="n">
        <f aca="false">BR24+BR25+BR26-BR45-BR46</f>
        <v>621.206963795132</v>
      </c>
      <c r="BS60" s="158" t="n">
        <f aca="false">BS24+BS25+BS26-BS45-BS46</f>
        <v>601.16802947916</v>
      </c>
      <c r="BT60" s="158" t="n">
        <f aca="false">BT24+BT25+BT26-BT45-BT46</f>
        <v>621.206963795132</v>
      </c>
      <c r="BU60" s="158" t="n">
        <f aca="false">BU24+BU25+BU26-BU45-BU46</f>
        <v>601.16802947916</v>
      </c>
      <c r="BV60" s="158" t="n">
        <f aca="false">BV24+BV25+BV26-BV45-BV46</f>
        <v>621.206963795132</v>
      </c>
      <c r="BW60" s="158" t="n">
        <f aca="false">BW24+BW25+BW26-BW45-BW46</f>
        <v>621.206963795132</v>
      </c>
      <c r="BX60" s="158" t="n">
        <f aca="false">BX24+BX25+BX26-BX45-BX46</f>
        <v>581.129095163188</v>
      </c>
      <c r="BY60" s="158" t="n">
        <f aca="false">BY24+BY25+BY26-BY45-BY46</f>
        <v>731.112811235809</v>
      </c>
      <c r="BZ60" s="158" t="n">
        <f aca="false">BZ24+BZ25+BZ26-BZ45-BZ46</f>
        <v>707.528527002396</v>
      </c>
      <c r="CA60" s="158" t="n">
        <f aca="false">CA24+CA25+CA26-CA45-CA46</f>
        <v>731.112811235809</v>
      </c>
      <c r="CB60" s="158" t="n">
        <f aca="false">CB24+CB25+CB26-CB45-CB46</f>
        <v>707.528527002396</v>
      </c>
      <c r="CC60" s="158" t="n">
        <f aca="false">CC24+CC25+CC26-CC45-CC46</f>
        <v>731.112811235809</v>
      </c>
      <c r="CD60" s="158" t="n">
        <f aca="false">CD24+CD25+CD26-CD45-CD46</f>
        <v>731.112811235809</v>
      </c>
      <c r="CE60" s="158" t="n">
        <f aca="false">CE24+CE25+CE26-CE45-CE46</f>
        <v>707.528527002396</v>
      </c>
      <c r="CF60" s="158" t="n">
        <f aca="false">CF24+CF25+CF26-CF45-CF46</f>
        <v>731.112811235809</v>
      </c>
      <c r="CG60" s="158" t="n">
        <f aca="false">CG24+CG25+CG26-CG45-CG46</f>
        <v>707.528527002396</v>
      </c>
      <c r="CH60" s="158" t="n">
        <f aca="false">CH24+CH25+CH26-CH45-CH46</f>
        <v>731.112811235809</v>
      </c>
      <c r="CI60" s="158" t="n">
        <f aca="false">CI24+CI25+CI26-CI45-CI46</f>
        <v>731.112811235809</v>
      </c>
      <c r="CJ60" s="158" t="n">
        <f aca="false">CJ24+CJ25+CJ26-CJ45-CJ46</f>
        <v>660.359958535569</v>
      </c>
      <c r="CK60" s="158" t="n">
        <f aca="false">CK24+CK25+CK26-CK45-CK46</f>
        <v>745.735067460525</v>
      </c>
      <c r="CL60" s="158" t="n">
        <f aca="false">CL24+CL25+CL26-CL45-CL46</f>
        <v>721.679097542444</v>
      </c>
      <c r="CM60" s="158" t="n">
        <f aca="false">CM24+CM25+CM26-CM45-CM46</f>
        <v>745.735067460525</v>
      </c>
      <c r="CN60" s="158" t="n">
        <f aca="false">CN24+CN25+CN26-CN45-CN46</f>
        <v>721.679097542444</v>
      </c>
      <c r="CO60" s="158" t="n">
        <f aca="false">CO24+CO25+CO26-CO45-CO46</f>
        <v>745.735067460525</v>
      </c>
      <c r="CP60" s="158" t="n">
        <f aca="false">CP24+CP25+CP26-CP45-CP46</f>
        <v>745.735067460525</v>
      </c>
      <c r="CQ60" s="158" t="n">
        <f aca="false">CQ24+CQ25+CQ26-CQ45-CQ46</f>
        <v>721.679097542444</v>
      </c>
      <c r="CR60" s="158" t="n">
        <f aca="false">CR24+CR25+CR26-CR45-CR46</f>
        <v>745.735067460525</v>
      </c>
      <c r="CS60" s="158" t="n">
        <f aca="false">CS24+CS25+CS26-CS45-CS46</f>
        <v>721.679097542444</v>
      </c>
      <c r="CT60" s="158" t="n">
        <f aca="false">CT24+CT25+CT26-CT45-CT46</f>
        <v>745.735067460525</v>
      </c>
      <c r="CU60" s="158" t="n">
        <f aca="false">CU24+CU25+CU26-CU45-CU46</f>
        <v>745.735067460525</v>
      </c>
      <c r="CV60" s="158" t="n">
        <f aca="false">CV24+CV25+CV26-CV45-CV46</f>
        <v>673.567157706281</v>
      </c>
      <c r="CW60" s="158" t="n">
        <f aca="false">CW24+CW25+CW26-CW45-CW46</f>
        <v>760.649768809736</v>
      </c>
      <c r="CX60" s="158" t="n">
        <f aca="false">CX24+CX25+CX26-CX45-CX46</f>
        <v>736.112679493293</v>
      </c>
      <c r="CY60" s="158" t="n">
        <f aca="false">CY24+CY25+CY26-CY45-CY46</f>
        <v>760.649768809736</v>
      </c>
      <c r="CZ60" s="158" t="n">
        <f aca="false">CZ24+CZ25+CZ26-CZ45-CZ46</f>
        <v>736.112679493293</v>
      </c>
      <c r="DA60" s="158" t="n">
        <f aca="false">DA24+DA25+DA26-DA45-DA46</f>
        <v>760.649768809736</v>
      </c>
      <c r="DB60" s="158" t="n">
        <f aca="false">DB24+DB25+DB26-DB45-DB46</f>
        <v>760.649768809736</v>
      </c>
      <c r="DC60" s="158" t="n">
        <f aca="false">DC24+DC25+DC26-DC45-DC46</f>
        <v>736.112679493293</v>
      </c>
      <c r="DD60" s="158" t="n">
        <f aca="false">DD24+DD25+DD26-DD45-DD46</f>
        <v>760.649768809736</v>
      </c>
      <c r="DE60" s="158" t="n">
        <f aca="false">DE24+DE25+DE26-DE45-DE46</f>
        <v>736.112679493293</v>
      </c>
      <c r="DF60" s="158" t="n">
        <f aca="false">DF24+DF25+DF26-DF45-DF46</f>
        <v>760.649768809736</v>
      </c>
      <c r="DG60" s="158" t="n">
        <f aca="false">DG24+DG25+DG26-DG45-DG46</f>
        <v>760.649768809736</v>
      </c>
      <c r="DH60" s="158" t="n">
        <f aca="false">DH24+DH25+DH26-DH45-DH46</f>
        <v>687.038500860407</v>
      </c>
      <c r="DI60" s="158" t="n">
        <f aca="false">DI24+DI25+DI26-DI45-DI46</f>
        <v>775.86276418593</v>
      </c>
      <c r="DJ60" s="158" t="n">
        <f aca="false">DJ24+DJ25+DJ26-DJ45-DJ46</f>
        <v>750.834933083159</v>
      </c>
      <c r="DK60" s="158" t="n">
        <f aca="false">DK24+DK25+DK26-DK45-DK46</f>
        <v>775.86276418593</v>
      </c>
      <c r="DL60" s="158" t="n">
        <f aca="false">DL24+DL25+DL26-DL45-DL46</f>
        <v>750.834933083159</v>
      </c>
      <c r="DM60" s="158" t="n">
        <f aca="false">DM24+DM25+DM26-DM45-DM46</f>
        <v>775.86276418593</v>
      </c>
      <c r="DN60" s="158" t="n">
        <f aca="false">DN24+DN25+DN26-DN45-DN46</f>
        <v>775.86276418593</v>
      </c>
      <c r="DO60" s="158" t="n">
        <f aca="false">DO24+DO25+DO26-DO45-DO46</f>
        <v>750.834933083159</v>
      </c>
      <c r="DP60" s="158" t="n">
        <f aca="false">DP24+DP25+DP26-DP45-DP46</f>
        <v>775.86276418593</v>
      </c>
      <c r="DQ60" s="158" t="n">
        <f aca="false">DQ24+DQ25+DQ26-DQ45-DQ46</f>
        <v>750.834933083159</v>
      </c>
      <c r="DR60" s="158" t="n">
        <f aca="false">DR24+DR25+DR26-DR45-DR46</f>
        <v>775.86276418593</v>
      </c>
      <c r="DS60" s="158" t="n">
        <f aca="false">DS24+DS25+DS26-DS45-DS46</f>
        <v>775.86276418593</v>
      </c>
      <c r="DT60" s="158" t="n">
        <f aca="false">DT24+DT25+DT26-DT45-DT46</f>
        <v>725.807101980386</v>
      </c>
      <c r="DU60" s="158" t="n">
        <f aca="false">DU24+DU25+DU26-DU45-DU46</f>
        <v>0</v>
      </c>
      <c r="DV60" s="158" t="n">
        <f aca="false">DV24+DV25+DV26-DV45-DV46</f>
        <v>0</v>
      </c>
      <c r="DW60" s="158" t="n">
        <f aca="false">DW24+DW25+DW26-DW45-DW46</f>
        <v>0</v>
      </c>
      <c r="DX60" s="158" t="n">
        <f aca="false">DX24+DX25+DX26-DX45-DX46</f>
        <v>0</v>
      </c>
      <c r="DY60" s="158" t="n">
        <f aca="false">DY24+DY25+DY26-DY45-DY46</f>
        <v>0</v>
      </c>
      <c r="DZ60" s="158" t="n">
        <f aca="false">DZ24+DZ25+DZ26-DZ45-DZ46</f>
        <v>0</v>
      </c>
      <c r="EA60" s="158" t="n">
        <f aca="false">EA24+EA25+EA26-EA45-EA46</f>
        <v>0</v>
      </c>
      <c r="EB60" s="158" t="n">
        <f aca="false">EB24+EB25+EB26-EB45-EB46</f>
        <v>0</v>
      </c>
      <c r="EC60" s="158" t="n">
        <f aca="false">EC24+EC25+EC26-EC45-EC46</f>
        <v>0</v>
      </c>
      <c r="ED60" s="158" t="n">
        <f aca="false">ED24+ED25+ED26-ED45-ED46</f>
        <v>0</v>
      </c>
      <c r="EE60" s="158" t="n">
        <f aca="false">EE24+EE25+EE26-EE45-EE46</f>
        <v>0</v>
      </c>
      <c r="EF60" s="158" t="n">
        <f aca="false">EF24+EF25+EF26-EF45-EF46</f>
        <v>0</v>
      </c>
    </row>
    <row r="61" customFormat="false" ht="15" hidden="false" customHeight="false" outlineLevel="0" collapsed="false">
      <c r="A61" s="112" t="s">
        <v>525</v>
      </c>
      <c r="B61" s="241" t="s">
        <v>116</v>
      </c>
      <c r="C61" s="242" t="n">
        <f aca="false">SUM(E61:EF61)</f>
        <v>132976.804478938</v>
      </c>
      <c r="E61" s="158" t="n">
        <f aca="false">SUM(E27:E34)-SUM(E47:E52)</f>
        <v>0</v>
      </c>
      <c r="F61" s="158" t="n">
        <f aca="false">SUM(F27:F34)-SUM(F47:F52)</f>
        <v>0</v>
      </c>
      <c r="G61" s="158" t="n">
        <f aca="false">SUM(G27:G34)-SUM(G47:G52)</f>
        <v>0</v>
      </c>
      <c r="H61" s="158" t="n">
        <f aca="false">SUM(H27:H34)-SUM(H47:H52)</f>
        <v>0</v>
      </c>
      <c r="I61" s="158" t="n">
        <f aca="false">SUM(I27:I34)-SUM(I47:I52)</f>
        <v>0</v>
      </c>
      <c r="J61" s="158" t="n">
        <f aca="false">SUM(J27:J34)-SUM(J47:J52)</f>
        <v>0</v>
      </c>
      <c r="K61" s="158" t="n">
        <f aca="false">SUM(K27:K34)-SUM(K47:K52)</f>
        <v>0</v>
      </c>
      <c r="L61" s="158" t="n">
        <f aca="false">SUM(L27:L34)-SUM(L47:L52)</f>
        <v>0</v>
      </c>
      <c r="M61" s="158" t="n">
        <f aca="false">SUM(M27:M34)-SUM(M47:M52)</f>
        <v>0</v>
      </c>
      <c r="N61" s="158" t="n">
        <f aca="false">SUM(N27:N34)-SUM(N47:N52)</f>
        <v>0</v>
      </c>
      <c r="O61" s="158" t="n">
        <f aca="false">SUM(O27:O34)-SUM(O47:O52)</f>
        <v>0</v>
      </c>
      <c r="P61" s="158" t="n">
        <f aca="false">SUM(P27:P34)-SUM(P47:P52)</f>
        <v>0</v>
      </c>
      <c r="Q61" s="158" t="n">
        <f aca="false">SUM(Q27:Q34)-SUM(Q47:Q52)</f>
        <v>0</v>
      </c>
      <c r="R61" s="158" t="n">
        <f aca="false">SUM(R27:R34)-SUM(R47:R52)</f>
        <v>0</v>
      </c>
      <c r="S61" s="158" t="n">
        <f aca="false">SUM(S27:S34)-SUM(S47:S52)</f>
        <v>0</v>
      </c>
      <c r="T61" s="158" t="n">
        <f aca="false">SUM(T27:T34)-SUM(T47:T52)</f>
        <v>0</v>
      </c>
      <c r="U61" s="158" t="n">
        <f aca="false">SUM(U27:U34)-SUM(U47:U52)</f>
        <v>0</v>
      </c>
      <c r="V61" s="158" t="n">
        <f aca="false">SUM(V27:V34)-SUM(V47:V52)</f>
        <v>0</v>
      </c>
      <c r="W61" s="158" t="n">
        <f aca="false">SUM(W27:W34)-SUM(W47:W52)</f>
        <v>0</v>
      </c>
      <c r="X61" s="158" t="n">
        <f aca="false">SUM(X27:X34)-SUM(X47:X52)</f>
        <v>0</v>
      </c>
      <c r="Y61" s="158" t="n">
        <f aca="false">SUM(Y27:Y34)-SUM(Y47:Y52)</f>
        <v>0</v>
      </c>
      <c r="Z61" s="158" t="n">
        <f aca="false">SUM(Z27:Z34)-SUM(Z47:Z52)</f>
        <v>0</v>
      </c>
      <c r="AA61" s="158" t="n">
        <f aca="false">SUM(AA27:AA34)-SUM(AA47:AA52)</f>
        <v>0</v>
      </c>
      <c r="AB61" s="158" t="n">
        <f aca="false">SUM(AB27:AB34)-SUM(AB47:AB52)</f>
        <v>0</v>
      </c>
      <c r="AC61" s="158" t="n">
        <f aca="false">SUM(AC27:AC34)-SUM(AC47:AC52)</f>
        <v>0</v>
      </c>
      <c r="AD61" s="158" t="n">
        <f aca="false">SUM(AD27:AD34)-SUM(AD47:AD52)</f>
        <v>0</v>
      </c>
      <c r="AE61" s="158" t="n">
        <f aca="false">SUM(AE27:AE34)-SUM(AE47:AE52)</f>
        <v>0</v>
      </c>
      <c r="AF61" s="158" t="n">
        <f aca="false">SUM(AF27:AF34)-SUM(AF47:AF52)</f>
        <v>0</v>
      </c>
      <c r="AG61" s="158" t="n">
        <f aca="false">SUM(AG27:AG34)-SUM(AG47:AG52)</f>
        <v>0</v>
      </c>
      <c r="AH61" s="158" t="n">
        <f aca="false">SUM(AH27:AH34)-SUM(AH47:AH52)</f>
        <v>0</v>
      </c>
      <c r="AI61" s="158" t="n">
        <f aca="false">SUM(AI27:AI34)-SUM(AI47:AI52)</f>
        <v>0</v>
      </c>
      <c r="AJ61" s="158" t="n">
        <f aca="false">SUM(AJ27:AJ34)-SUM(AJ47:AJ52)</f>
        <v>0</v>
      </c>
      <c r="AK61" s="158" t="n">
        <f aca="false">SUM(AK27:AK34)-SUM(AK47:AK52)</f>
        <v>0</v>
      </c>
      <c r="AL61" s="158" t="n">
        <f aca="false">SUM(AL27:AL34)-SUM(AL47:AL52)</f>
        <v>0</v>
      </c>
      <c r="AM61" s="158" t="n">
        <f aca="false">SUM(AM27:AM34)-SUM(AM47:AM52)</f>
        <v>0</v>
      </c>
      <c r="AN61" s="158" t="n">
        <f aca="false">SUM(AN27:AN34)-SUM(AN47:AN52)</f>
        <v>0</v>
      </c>
      <c r="AO61" s="158" t="n">
        <f aca="false">SUM(AO27:AO34)-SUM(AO47:AO52)</f>
        <v>0</v>
      </c>
      <c r="AP61" s="158" t="n">
        <f aca="false">SUM(AP27:AP34)-SUM(AP47:AP52)</f>
        <v>0</v>
      </c>
      <c r="AQ61" s="158" t="n">
        <f aca="false">SUM(AQ27:AQ34)-SUM(AQ47:AQ52)</f>
        <v>0</v>
      </c>
      <c r="AR61" s="158" t="n">
        <f aca="false">SUM(AR27:AR34)-SUM(AR47:AR52)</f>
        <v>0</v>
      </c>
      <c r="AS61" s="158" t="n">
        <f aca="false">SUM(AS27:AS34)-SUM(AS47:AS52)</f>
        <v>0</v>
      </c>
      <c r="AT61" s="158" t="n">
        <f aca="false">SUM(AT27:AT34)-SUM(AT47:AT52)</f>
        <v>0</v>
      </c>
      <c r="AU61" s="158" t="n">
        <f aca="false">SUM(AU27:AU34)-SUM(AU47:AU52)</f>
        <v>0</v>
      </c>
      <c r="AV61" s="158" t="n">
        <f aca="false">SUM(AV27:AV34)-SUM(AV47:AV52)</f>
        <v>0</v>
      </c>
      <c r="AW61" s="158" t="n">
        <f aca="false">SUM(AW27:AW34)-SUM(AW47:AW52)</f>
        <v>0</v>
      </c>
      <c r="AX61" s="158" t="n">
        <f aca="false">SUM(AX27:AX34)-SUM(AX47:AX52)</f>
        <v>0</v>
      </c>
      <c r="AY61" s="158" t="n">
        <f aca="false">SUM(AY27:AY34)-SUM(AY47:AY52)</f>
        <v>0</v>
      </c>
      <c r="AZ61" s="158" t="n">
        <f aca="false">SUM(AZ27:AZ34)-SUM(AZ47:AZ52)</f>
        <v>0</v>
      </c>
      <c r="BA61" s="158" t="n">
        <f aca="false">SUM(BA27:BA34)-SUM(BA47:BA52)</f>
        <v>0</v>
      </c>
      <c r="BB61" s="158" t="n">
        <f aca="false">SUM(BB27:BB34)-SUM(BB47:BB52)</f>
        <v>0</v>
      </c>
      <c r="BC61" s="158" t="n">
        <f aca="false">SUM(BC27:BC34)-SUM(BC47:BC52)</f>
        <v>0</v>
      </c>
      <c r="BD61" s="158" t="n">
        <f aca="false">SUM(BD27:BD34)-SUM(BD47:BD52)</f>
        <v>0</v>
      </c>
      <c r="BE61" s="158" t="n">
        <f aca="false">SUM(BE27:BE34)-SUM(BE47:BE52)</f>
        <v>0</v>
      </c>
      <c r="BF61" s="158" t="n">
        <f aca="false">SUM(BF27:BF34)-SUM(BF47:BF52)</f>
        <v>0</v>
      </c>
      <c r="BG61" s="158" t="n">
        <f aca="false">SUM(BG27:BG34)-SUM(BG47:BG52)</f>
        <v>0</v>
      </c>
      <c r="BH61" s="158" t="n">
        <f aca="false">SUM(BH27:BH34)-SUM(BH47:BH52)</f>
        <v>0</v>
      </c>
      <c r="BI61" s="158" t="n">
        <f aca="false">SUM(BI27:BI34)-SUM(BI47:BI52)</f>
        <v>0</v>
      </c>
      <c r="BJ61" s="158" t="n">
        <f aca="false">SUM(BJ27:BJ34)-SUM(BJ47:BJ52)</f>
        <v>0</v>
      </c>
      <c r="BK61" s="158" t="n">
        <f aca="false">SUM(BK27:BK34)-SUM(BK47:BK52)</f>
        <v>0</v>
      </c>
      <c r="BL61" s="158" t="n">
        <f aca="false">SUM(BL27:BL34)-SUM(BL47:BL52)</f>
        <v>0</v>
      </c>
      <c r="BM61" s="158" t="n">
        <f aca="false">SUM(BM27:BM34)-SUM(BM47:BM52)</f>
        <v>1928.284878</v>
      </c>
      <c r="BN61" s="158" t="n">
        <f aca="false">SUM(BN27:BN34)-SUM(BN47:BN52)</f>
        <v>1866.08214</v>
      </c>
      <c r="BO61" s="158" t="n">
        <f aca="false">SUM(BO27:BO34)-SUM(BO47:BO52)</f>
        <v>1928.284878</v>
      </c>
      <c r="BP61" s="158" t="n">
        <f aca="false">SUM(BP27:BP34)-SUM(BP47:BP52)</f>
        <v>1866.08214</v>
      </c>
      <c r="BQ61" s="158" t="n">
        <f aca="false">SUM(BQ27:BQ34)-SUM(BQ47:BQ52)</f>
        <v>1928.284878</v>
      </c>
      <c r="BR61" s="158" t="n">
        <f aca="false">SUM(BR27:BR34)-SUM(BR47:BR52)</f>
        <v>1928.284878</v>
      </c>
      <c r="BS61" s="158" t="n">
        <f aca="false">SUM(BS27:BS34)-SUM(BS47:BS52)</f>
        <v>1866.08214</v>
      </c>
      <c r="BT61" s="158" t="n">
        <f aca="false">SUM(BT27:BT34)-SUM(BT47:BT52)</f>
        <v>1928.284878</v>
      </c>
      <c r="BU61" s="158" t="n">
        <f aca="false">SUM(BU27:BU34)-SUM(BU47:BU52)</f>
        <v>1866.08214</v>
      </c>
      <c r="BV61" s="158" t="n">
        <f aca="false">SUM(BV27:BV34)-SUM(BV47:BV52)</f>
        <v>1928.284878</v>
      </c>
      <c r="BW61" s="158" t="n">
        <f aca="false">SUM(BW27:BW34)-SUM(BW47:BW52)</f>
        <v>1928.284878</v>
      </c>
      <c r="BX61" s="158" t="n">
        <f aca="false">SUM(BX27:BX34)-SUM(BX47:BX52)</f>
        <v>1803.879402</v>
      </c>
      <c r="BY61" s="158" t="n">
        <f aca="false">SUM(BY27:BY34)-SUM(BY47:BY52)</f>
        <v>2269.4429718</v>
      </c>
      <c r="BZ61" s="158" t="n">
        <f aca="false">SUM(BZ27:BZ34)-SUM(BZ47:BZ52)</f>
        <v>2196.235134</v>
      </c>
      <c r="CA61" s="158" t="n">
        <f aca="false">SUM(CA27:CA34)-SUM(CA47:CA52)</f>
        <v>2269.4429718</v>
      </c>
      <c r="CB61" s="158" t="n">
        <f aca="false">SUM(CB27:CB34)-SUM(CB47:CB52)</f>
        <v>2196.235134</v>
      </c>
      <c r="CC61" s="158" t="n">
        <f aca="false">SUM(CC27:CC34)-SUM(CC47:CC52)</f>
        <v>2269.4429718</v>
      </c>
      <c r="CD61" s="158" t="n">
        <f aca="false">SUM(CD27:CD34)-SUM(CD47:CD52)</f>
        <v>2269.4429718</v>
      </c>
      <c r="CE61" s="158" t="n">
        <f aca="false">SUM(CE27:CE34)-SUM(CE47:CE52)</f>
        <v>2196.235134</v>
      </c>
      <c r="CF61" s="158" t="n">
        <f aca="false">SUM(CF27:CF34)-SUM(CF47:CF52)</f>
        <v>2269.4429718</v>
      </c>
      <c r="CG61" s="158" t="n">
        <f aca="false">SUM(CG27:CG34)-SUM(CG47:CG52)</f>
        <v>2196.235134</v>
      </c>
      <c r="CH61" s="158" t="n">
        <f aca="false">SUM(CH27:CH34)-SUM(CH47:CH52)</f>
        <v>2269.4429718</v>
      </c>
      <c r="CI61" s="158" t="n">
        <f aca="false">SUM(CI27:CI34)-SUM(CI47:CI52)</f>
        <v>2269.4429718</v>
      </c>
      <c r="CJ61" s="158" t="n">
        <f aca="false">SUM(CJ27:CJ34)-SUM(CJ47:CJ52)</f>
        <v>2049.8194584</v>
      </c>
      <c r="CK61" s="158" t="n">
        <f aca="false">SUM(CK27:CK34)-SUM(CK47:CK52)</f>
        <v>2314.831831236</v>
      </c>
      <c r="CL61" s="158" t="n">
        <f aca="false">SUM(CL27:CL34)-SUM(CL47:CL52)</f>
        <v>2240.15983668</v>
      </c>
      <c r="CM61" s="158" t="n">
        <f aca="false">SUM(CM27:CM34)-SUM(CM47:CM52)</f>
        <v>2314.831831236</v>
      </c>
      <c r="CN61" s="158" t="n">
        <f aca="false">SUM(CN27:CN34)-SUM(CN47:CN52)</f>
        <v>2240.15983668</v>
      </c>
      <c r="CO61" s="158" t="n">
        <f aca="false">SUM(CO27:CO34)-SUM(CO47:CO52)</f>
        <v>2314.831831236</v>
      </c>
      <c r="CP61" s="158" t="n">
        <f aca="false">SUM(CP27:CP34)-SUM(CP47:CP52)</f>
        <v>2314.831831236</v>
      </c>
      <c r="CQ61" s="158" t="n">
        <f aca="false">SUM(CQ27:CQ34)-SUM(CQ47:CQ52)</f>
        <v>2240.15983668</v>
      </c>
      <c r="CR61" s="158" t="n">
        <f aca="false">SUM(CR27:CR34)-SUM(CR47:CR52)</f>
        <v>2314.831831236</v>
      </c>
      <c r="CS61" s="158" t="n">
        <f aca="false">SUM(CS27:CS34)-SUM(CS47:CS52)</f>
        <v>2240.15983668</v>
      </c>
      <c r="CT61" s="158" t="n">
        <f aca="false">SUM(CT27:CT34)-SUM(CT47:CT52)</f>
        <v>2314.831831236</v>
      </c>
      <c r="CU61" s="158" t="n">
        <f aca="false">SUM(CU27:CU34)-SUM(CU47:CU52)</f>
        <v>2314.831831236</v>
      </c>
      <c r="CV61" s="158" t="n">
        <f aca="false">SUM(CV27:CV34)-SUM(CV47:CV52)</f>
        <v>2090.815847568</v>
      </c>
      <c r="CW61" s="158" t="n">
        <f aca="false">SUM(CW27:CW34)-SUM(CW47:CW52)</f>
        <v>2361.12846786072</v>
      </c>
      <c r="CX61" s="158" t="n">
        <f aca="false">SUM(CX27:CX34)-SUM(CX47:CX52)</f>
        <v>2284.9630334136</v>
      </c>
      <c r="CY61" s="158" t="n">
        <f aca="false">SUM(CY27:CY34)-SUM(CY47:CY52)</f>
        <v>2361.12846786072</v>
      </c>
      <c r="CZ61" s="158" t="n">
        <f aca="false">SUM(CZ27:CZ34)-SUM(CZ47:CZ52)</f>
        <v>2284.9630334136</v>
      </c>
      <c r="DA61" s="158" t="n">
        <f aca="false">SUM(DA27:DA34)-SUM(DA47:DA52)</f>
        <v>2361.12846786072</v>
      </c>
      <c r="DB61" s="158" t="n">
        <f aca="false">SUM(DB27:DB34)-SUM(DB47:DB52)</f>
        <v>2361.12846786072</v>
      </c>
      <c r="DC61" s="158" t="n">
        <f aca="false">SUM(DC27:DC34)-SUM(DC47:DC52)</f>
        <v>2284.9630334136</v>
      </c>
      <c r="DD61" s="158" t="n">
        <f aca="false">SUM(DD27:DD34)-SUM(DD47:DD52)</f>
        <v>2361.12846786072</v>
      </c>
      <c r="DE61" s="158" t="n">
        <f aca="false">SUM(DE27:DE34)-SUM(DE47:DE52)</f>
        <v>2284.9630334136</v>
      </c>
      <c r="DF61" s="158" t="n">
        <f aca="false">SUM(DF27:DF34)-SUM(DF47:DF52)</f>
        <v>2361.12846786072</v>
      </c>
      <c r="DG61" s="158" t="n">
        <f aca="false">SUM(DG27:DG34)-SUM(DG47:DG52)</f>
        <v>2361.12846786072</v>
      </c>
      <c r="DH61" s="158" t="n">
        <f aca="false">SUM(DH27:DH34)-SUM(DH47:DH52)</f>
        <v>2132.63216451936</v>
      </c>
      <c r="DI61" s="158" t="n">
        <f aca="false">SUM(DI27:DI34)-SUM(DI47:DI52)</f>
        <v>2408.35103721794</v>
      </c>
      <c r="DJ61" s="158" t="n">
        <f aca="false">SUM(DJ27:DJ34)-SUM(DJ47:DJ52)</f>
        <v>2330.66229408187</v>
      </c>
      <c r="DK61" s="158" t="n">
        <f aca="false">SUM(DK27:DK34)-SUM(DK47:DK52)</f>
        <v>2408.35103721794</v>
      </c>
      <c r="DL61" s="158" t="n">
        <f aca="false">SUM(DL27:DL34)-SUM(DL47:DL52)</f>
        <v>2330.66229408187</v>
      </c>
      <c r="DM61" s="158" t="n">
        <f aca="false">SUM(DM27:DM34)-SUM(DM47:DM52)</f>
        <v>2408.35103721794</v>
      </c>
      <c r="DN61" s="158" t="n">
        <f aca="false">SUM(DN27:DN34)-SUM(DN47:DN52)</f>
        <v>2408.35103721794</v>
      </c>
      <c r="DO61" s="158" t="n">
        <f aca="false">SUM(DO27:DO34)-SUM(DO47:DO52)</f>
        <v>2330.66229408187</v>
      </c>
      <c r="DP61" s="158" t="n">
        <f aca="false">SUM(DP27:DP34)-SUM(DP47:DP52)</f>
        <v>2408.35103721794</v>
      </c>
      <c r="DQ61" s="158" t="n">
        <f aca="false">SUM(DQ27:DQ34)-SUM(DQ47:DQ52)</f>
        <v>2330.66229408187</v>
      </c>
      <c r="DR61" s="158" t="n">
        <f aca="false">SUM(DR27:DR34)-SUM(DR47:DR52)</f>
        <v>2408.35103721794</v>
      </c>
      <c r="DS61" s="158" t="n">
        <f aca="false">SUM(DS27:DS34)-SUM(DS47:DS52)</f>
        <v>2408.35103721794</v>
      </c>
      <c r="DT61" s="158" t="n">
        <f aca="false">SUM(DT27:DT34)-SUM(DT47:DT52)</f>
        <v>2252.97355094581</v>
      </c>
      <c r="DU61" s="158" t="n">
        <f aca="false">SUM(DU27:DU34)-SUM(DU47:DU52)</f>
        <v>0</v>
      </c>
      <c r="DV61" s="158" t="n">
        <f aca="false">SUM(DV27:DV34)-SUM(DV47:DV52)</f>
        <v>0</v>
      </c>
      <c r="DW61" s="158" t="n">
        <f aca="false">SUM(DW27:DW34)-SUM(DW47:DW52)</f>
        <v>0</v>
      </c>
      <c r="DX61" s="158" t="n">
        <f aca="false">SUM(DX27:DX34)-SUM(DX47:DX52)</f>
        <v>0</v>
      </c>
      <c r="DY61" s="158" t="n">
        <f aca="false">SUM(DY27:DY34)-SUM(DY47:DY52)</f>
        <v>0</v>
      </c>
      <c r="DZ61" s="158" t="n">
        <f aca="false">SUM(DZ27:DZ34)-SUM(DZ47:DZ52)</f>
        <v>0</v>
      </c>
      <c r="EA61" s="158" t="n">
        <f aca="false">SUM(EA27:EA34)-SUM(EA47:EA52)</f>
        <v>0</v>
      </c>
      <c r="EB61" s="158" t="n">
        <f aca="false">SUM(EB27:EB34)-SUM(EB47:EB52)</f>
        <v>0</v>
      </c>
      <c r="EC61" s="158" t="n">
        <f aca="false">SUM(EC27:EC34)-SUM(EC47:EC52)</f>
        <v>0</v>
      </c>
      <c r="ED61" s="158" t="n">
        <f aca="false">SUM(ED27:ED34)-SUM(ED47:ED52)</f>
        <v>0</v>
      </c>
      <c r="EE61" s="158" t="n">
        <f aca="false">SUM(EE27:EE34)-SUM(EE47:EE52)</f>
        <v>0</v>
      </c>
      <c r="EF61" s="158" t="n">
        <f aca="false">SUM(EF27:EF34)-SUM(EF47:EF52)</f>
        <v>0</v>
      </c>
    </row>
    <row r="62" customFormat="false" ht="15" hidden="false" customHeight="false" outlineLevel="0" collapsed="false">
      <c r="A62" s="112" t="s">
        <v>526</v>
      </c>
      <c r="B62" s="241" t="s">
        <v>116</v>
      </c>
      <c r="C62" s="242" t="n">
        <f aca="false">SUM(E62:EF62)</f>
        <v>66369.0377920937</v>
      </c>
      <c r="E62" s="158" t="n">
        <f aca="false">E35-E53-E54</f>
        <v>0</v>
      </c>
      <c r="F62" s="158" t="n">
        <f aca="false">F35-F53-F54</f>
        <v>0</v>
      </c>
      <c r="G62" s="158" t="n">
        <f aca="false">G35-G53-G54</f>
        <v>0</v>
      </c>
      <c r="H62" s="158" t="n">
        <f aca="false">H35-H53-H54</f>
        <v>0</v>
      </c>
      <c r="I62" s="158" t="n">
        <f aca="false">I35-I53-I54</f>
        <v>0</v>
      </c>
      <c r="J62" s="158" t="n">
        <f aca="false">J35-J53-J54</f>
        <v>0</v>
      </c>
      <c r="K62" s="158" t="n">
        <f aca="false">K35-K53-K54</f>
        <v>0</v>
      </c>
      <c r="L62" s="158" t="n">
        <f aca="false">L35-L53-L54</f>
        <v>0</v>
      </c>
      <c r="M62" s="158" t="n">
        <f aca="false">M35-M53-M54</f>
        <v>0</v>
      </c>
      <c r="N62" s="158" t="n">
        <f aca="false">N35-N53-N54</f>
        <v>0</v>
      </c>
      <c r="O62" s="158" t="n">
        <f aca="false">O35-O53-O54</f>
        <v>0</v>
      </c>
      <c r="P62" s="158" t="n">
        <f aca="false">P35-P53-P54</f>
        <v>0</v>
      </c>
      <c r="Q62" s="158" t="n">
        <f aca="false">Q35-Q53-Q54</f>
        <v>0</v>
      </c>
      <c r="R62" s="158" t="n">
        <f aca="false">R35-R53-R54</f>
        <v>0</v>
      </c>
      <c r="S62" s="158" t="n">
        <f aca="false">S35-S53-S54</f>
        <v>0</v>
      </c>
      <c r="T62" s="158" t="n">
        <f aca="false">T35-T53-T54</f>
        <v>0</v>
      </c>
      <c r="U62" s="158" t="n">
        <f aca="false">U35-U53-U54</f>
        <v>0</v>
      </c>
      <c r="V62" s="158" t="n">
        <f aca="false">V35-V53-V54</f>
        <v>0</v>
      </c>
      <c r="W62" s="158" t="n">
        <f aca="false">W35-W53-W54</f>
        <v>0</v>
      </c>
      <c r="X62" s="158" t="n">
        <f aca="false">X35-X53-X54</f>
        <v>0</v>
      </c>
      <c r="Y62" s="158" t="n">
        <f aca="false">Y35-Y53-Y54</f>
        <v>0</v>
      </c>
      <c r="Z62" s="158" t="n">
        <f aca="false">Z35-Z53-Z54</f>
        <v>0</v>
      </c>
      <c r="AA62" s="158" t="n">
        <f aca="false">AA35-AA53-AA54</f>
        <v>0</v>
      </c>
      <c r="AB62" s="158" t="n">
        <f aca="false">AB35-AB53-AB54</f>
        <v>0</v>
      </c>
      <c r="AC62" s="158" t="n">
        <f aca="false">AC35-AC53-AC54</f>
        <v>0</v>
      </c>
      <c r="AD62" s="158" t="n">
        <f aca="false">AD35-AD53-AD54</f>
        <v>0</v>
      </c>
      <c r="AE62" s="158" t="n">
        <f aca="false">AE35-AE53-AE54</f>
        <v>0</v>
      </c>
      <c r="AF62" s="158" t="n">
        <f aca="false">AF35-AF53-AF54</f>
        <v>0</v>
      </c>
      <c r="AG62" s="158" t="n">
        <f aca="false">AG35-AG53-AG54</f>
        <v>0</v>
      </c>
      <c r="AH62" s="158" t="n">
        <f aca="false">AH35-AH53-AH54</f>
        <v>0</v>
      </c>
      <c r="AI62" s="158" t="n">
        <f aca="false">AI35-AI53-AI54</f>
        <v>0</v>
      </c>
      <c r="AJ62" s="158" t="n">
        <f aca="false">AJ35-AJ53-AJ54</f>
        <v>0</v>
      </c>
      <c r="AK62" s="158" t="n">
        <f aca="false">AK35-AK53-AK54</f>
        <v>0</v>
      </c>
      <c r="AL62" s="158" t="n">
        <f aca="false">AL35-AL53-AL54</f>
        <v>0</v>
      </c>
      <c r="AM62" s="158" t="n">
        <f aca="false">AM35-AM53-AM54</f>
        <v>0</v>
      </c>
      <c r="AN62" s="158" t="n">
        <f aca="false">AN35-AN53-AN54</f>
        <v>0</v>
      </c>
      <c r="AO62" s="158" t="n">
        <f aca="false">AO35-AO53-AO54</f>
        <v>0</v>
      </c>
      <c r="AP62" s="158" t="n">
        <f aca="false">AP35-AP53-AP54</f>
        <v>0</v>
      </c>
      <c r="AQ62" s="158" t="n">
        <f aca="false">AQ35-AQ53-AQ54</f>
        <v>0</v>
      </c>
      <c r="AR62" s="158" t="n">
        <f aca="false">AR35-AR53-AR54</f>
        <v>0</v>
      </c>
      <c r="AS62" s="158" t="n">
        <f aca="false">AS35-AS53-AS54</f>
        <v>0</v>
      </c>
      <c r="AT62" s="158" t="n">
        <f aca="false">AT35-AT53-AT54</f>
        <v>0</v>
      </c>
      <c r="AU62" s="158" t="n">
        <f aca="false">AU35-AU53-AU54</f>
        <v>0</v>
      </c>
      <c r="AV62" s="158" t="n">
        <f aca="false">AV35-AV53-AV54</f>
        <v>0</v>
      </c>
      <c r="AW62" s="158" t="n">
        <f aca="false">AW35-AW53-AW54</f>
        <v>0</v>
      </c>
      <c r="AX62" s="158" t="n">
        <f aca="false">AX35-AX53-AX54</f>
        <v>0</v>
      </c>
      <c r="AY62" s="158" t="n">
        <f aca="false">AY35-AY53-AY54</f>
        <v>0</v>
      </c>
      <c r="AZ62" s="158" t="n">
        <f aca="false">AZ35-AZ53-AZ54</f>
        <v>0</v>
      </c>
      <c r="BA62" s="158" t="n">
        <f aca="false">BA35-BA53-BA54</f>
        <v>0</v>
      </c>
      <c r="BB62" s="158" t="n">
        <f aca="false">BB35-BB53-BB54</f>
        <v>0</v>
      </c>
      <c r="BC62" s="158" t="n">
        <f aca="false">BC35-BC53-BC54</f>
        <v>0</v>
      </c>
      <c r="BD62" s="158" t="n">
        <f aca="false">BD35-BD53-BD54</f>
        <v>0</v>
      </c>
      <c r="BE62" s="158" t="n">
        <f aca="false">BE35-BE53-BE54</f>
        <v>0</v>
      </c>
      <c r="BF62" s="158" t="n">
        <f aca="false">BF35-BF53-BF54</f>
        <v>0</v>
      </c>
      <c r="BG62" s="158" t="n">
        <f aca="false">BG35-BG53-BG54</f>
        <v>0</v>
      </c>
      <c r="BH62" s="158" t="n">
        <f aca="false">BH35-BH53-BH54</f>
        <v>0</v>
      </c>
      <c r="BI62" s="158" t="n">
        <f aca="false">BI35-BI53-BI54</f>
        <v>0</v>
      </c>
      <c r="BJ62" s="158" t="n">
        <f aca="false">BJ35-BJ53-BJ54</f>
        <v>0</v>
      </c>
      <c r="BK62" s="158" t="n">
        <f aca="false">BK35-BK53-BK54</f>
        <v>0</v>
      </c>
      <c r="BL62" s="158" t="n">
        <f aca="false">BL35-BL53-BL54</f>
        <v>0</v>
      </c>
      <c r="BM62" s="158" t="n">
        <f aca="false">BM35-BM53-BM54</f>
        <v>715.66406</v>
      </c>
      <c r="BN62" s="158" t="n">
        <f aca="false">BN35-BN53-BN54</f>
        <v>715.66406</v>
      </c>
      <c r="BO62" s="158" t="n">
        <f aca="false">BO35-BO53-BO54</f>
        <v>715.66406</v>
      </c>
      <c r="BP62" s="158" t="n">
        <f aca="false">BP35-BP53-BP54</f>
        <v>715.66406</v>
      </c>
      <c r="BQ62" s="158" t="n">
        <f aca="false">BQ35-BQ53-BQ54</f>
        <v>715.66406</v>
      </c>
      <c r="BR62" s="158" t="n">
        <f aca="false">BR35-BR53-BR54</f>
        <v>715.66406</v>
      </c>
      <c r="BS62" s="158" t="n">
        <f aca="false">BS35-BS53-BS54</f>
        <v>715.66406</v>
      </c>
      <c r="BT62" s="158" t="n">
        <f aca="false">BT35-BT53-BT54</f>
        <v>715.66406</v>
      </c>
      <c r="BU62" s="158" t="n">
        <f aca="false">BU35-BU53-BU54</f>
        <v>715.66406</v>
      </c>
      <c r="BV62" s="158" t="n">
        <f aca="false">BV35-BV53-BV54</f>
        <v>715.66406</v>
      </c>
      <c r="BW62" s="158" t="n">
        <f aca="false">BW35-BW53-BW54</f>
        <v>715.66406</v>
      </c>
      <c r="BX62" s="158" t="n">
        <f aca="false">BX35-BX53-BX54</f>
        <v>715.66406</v>
      </c>
      <c r="BY62" s="158" t="n">
        <f aca="false">BY35-BY53-BY54</f>
        <v>1168.25498430252</v>
      </c>
      <c r="BZ62" s="158" t="n">
        <f aca="false">BZ35-BZ53-BZ54</f>
        <v>1168.25498430252</v>
      </c>
      <c r="CA62" s="158" t="n">
        <f aca="false">CA35-CA53-CA54</f>
        <v>1168.25498430252</v>
      </c>
      <c r="CB62" s="158" t="n">
        <f aca="false">CB35-CB53-CB54</f>
        <v>1168.25498430252</v>
      </c>
      <c r="CC62" s="158" t="n">
        <f aca="false">CC35-CC53-CC54</f>
        <v>1168.25498430252</v>
      </c>
      <c r="CD62" s="158" t="n">
        <f aca="false">CD35-CD53-CD54</f>
        <v>1168.25498430252</v>
      </c>
      <c r="CE62" s="158" t="n">
        <f aca="false">CE35-CE53-CE54</f>
        <v>1168.25498430252</v>
      </c>
      <c r="CF62" s="158" t="n">
        <f aca="false">CF35-CF53-CF54</f>
        <v>1168.25498430252</v>
      </c>
      <c r="CG62" s="158" t="n">
        <f aca="false">CG35-CG53-CG54</f>
        <v>1168.25498430252</v>
      </c>
      <c r="CH62" s="158" t="n">
        <f aca="false">CH35-CH53-CH54</f>
        <v>1168.25498430252</v>
      </c>
      <c r="CI62" s="158" t="n">
        <f aca="false">CI35-CI53-CI54</f>
        <v>1168.25498430252</v>
      </c>
      <c r="CJ62" s="158" t="n">
        <f aca="false">CJ35-CJ53-CJ54</f>
        <v>1168.25498430252</v>
      </c>
      <c r="CK62" s="158" t="n">
        <f aca="false">CK35-CK53-CK54</f>
        <v>1191.62008398857</v>
      </c>
      <c r="CL62" s="158" t="n">
        <f aca="false">CL35-CL53-CL54</f>
        <v>1191.62008398857</v>
      </c>
      <c r="CM62" s="158" t="n">
        <f aca="false">CM35-CM53-CM54</f>
        <v>1191.62008398857</v>
      </c>
      <c r="CN62" s="158" t="n">
        <f aca="false">CN35-CN53-CN54</f>
        <v>1191.62008398857</v>
      </c>
      <c r="CO62" s="158" t="n">
        <f aca="false">CO35-CO53-CO54</f>
        <v>1191.62008398857</v>
      </c>
      <c r="CP62" s="158" t="n">
        <f aca="false">CP35-CP53-CP54</f>
        <v>1191.62008398857</v>
      </c>
      <c r="CQ62" s="158" t="n">
        <f aca="false">CQ35-CQ53-CQ54</f>
        <v>1191.62008398857</v>
      </c>
      <c r="CR62" s="158" t="n">
        <f aca="false">CR35-CR53-CR54</f>
        <v>1191.62008398857</v>
      </c>
      <c r="CS62" s="158" t="n">
        <f aca="false">CS35-CS53-CS54</f>
        <v>1191.62008398857</v>
      </c>
      <c r="CT62" s="158" t="n">
        <f aca="false">CT35-CT53-CT54</f>
        <v>1191.62008398857</v>
      </c>
      <c r="CU62" s="158" t="n">
        <f aca="false">CU35-CU53-CU54</f>
        <v>1191.62008398857</v>
      </c>
      <c r="CV62" s="158" t="n">
        <f aca="false">CV35-CV53-CV54</f>
        <v>1191.62008398857</v>
      </c>
      <c r="CW62" s="158" t="n">
        <f aca="false">CW35-CW53-CW54</f>
        <v>1215.45248566834</v>
      </c>
      <c r="CX62" s="158" t="n">
        <f aca="false">CX35-CX53-CX54</f>
        <v>1215.45248566834</v>
      </c>
      <c r="CY62" s="158" t="n">
        <f aca="false">CY35-CY53-CY54</f>
        <v>1215.45248566834</v>
      </c>
      <c r="CZ62" s="158" t="n">
        <f aca="false">CZ35-CZ53-CZ54</f>
        <v>1215.45248566834</v>
      </c>
      <c r="DA62" s="158" t="n">
        <f aca="false">DA35-DA53-DA54</f>
        <v>1215.45248566834</v>
      </c>
      <c r="DB62" s="158" t="n">
        <f aca="false">DB35-DB53-DB54</f>
        <v>1215.45248566834</v>
      </c>
      <c r="DC62" s="158" t="n">
        <f aca="false">DC35-DC53-DC54</f>
        <v>1215.45248566834</v>
      </c>
      <c r="DD62" s="158" t="n">
        <f aca="false">DD35-DD53-DD54</f>
        <v>1215.45248566834</v>
      </c>
      <c r="DE62" s="158" t="n">
        <f aca="false">DE35-DE53-DE54</f>
        <v>1215.45248566834</v>
      </c>
      <c r="DF62" s="158" t="n">
        <f aca="false">DF35-DF53-DF54</f>
        <v>1215.45248566834</v>
      </c>
      <c r="DG62" s="158" t="n">
        <f aca="false">DG35-DG53-DG54</f>
        <v>1215.45248566834</v>
      </c>
      <c r="DH62" s="158" t="n">
        <f aca="false">DH35-DH53-DH54</f>
        <v>1215.45248566834</v>
      </c>
      <c r="DI62" s="158" t="n">
        <f aca="false">DI35-DI53-DI54</f>
        <v>1239.76153538171</v>
      </c>
      <c r="DJ62" s="158" t="n">
        <f aca="false">DJ35-DJ53-DJ54</f>
        <v>1239.76153538171</v>
      </c>
      <c r="DK62" s="158" t="n">
        <f aca="false">DK35-DK53-DK54</f>
        <v>1239.76153538171</v>
      </c>
      <c r="DL62" s="158" t="n">
        <f aca="false">DL35-DL53-DL54</f>
        <v>1239.76153538171</v>
      </c>
      <c r="DM62" s="158" t="n">
        <f aca="false">DM35-DM53-DM54</f>
        <v>1239.76153538171</v>
      </c>
      <c r="DN62" s="158" t="n">
        <f aca="false">DN35-DN53-DN54</f>
        <v>1239.76153538171</v>
      </c>
      <c r="DO62" s="158" t="n">
        <f aca="false">DO35-DO53-DO54</f>
        <v>1239.76153538171</v>
      </c>
      <c r="DP62" s="158" t="n">
        <f aca="false">DP35-DP53-DP54</f>
        <v>1239.76153538171</v>
      </c>
      <c r="DQ62" s="158" t="n">
        <f aca="false">DQ35-DQ53-DQ54</f>
        <v>1239.76153538171</v>
      </c>
      <c r="DR62" s="158" t="n">
        <f aca="false">DR35-DR53-DR54</f>
        <v>1239.76153538171</v>
      </c>
      <c r="DS62" s="158" t="n">
        <f aca="false">DS35-DS53-DS54</f>
        <v>1239.76153538171</v>
      </c>
      <c r="DT62" s="158" t="n">
        <f aca="false">DT35-DT53-DT54</f>
        <v>1239.76153538171</v>
      </c>
      <c r="DU62" s="158" t="n">
        <f aca="false">DU35-DU53-DU54</f>
        <v>0</v>
      </c>
      <c r="DV62" s="158" t="n">
        <f aca="false">DV35-DV53-DV54</f>
        <v>0</v>
      </c>
      <c r="DW62" s="158" t="n">
        <f aca="false">DW35-DW53-DW54</f>
        <v>0</v>
      </c>
      <c r="DX62" s="158" t="n">
        <f aca="false">DX35-DX53-DX54</f>
        <v>0</v>
      </c>
      <c r="DY62" s="158" t="n">
        <f aca="false">DY35-DY53-DY54</f>
        <v>0</v>
      </c>
      <c r="DZ62" s="158" t="n">
        <f aca="false">DZ35-DZ53-DZ54</f>
        <v>0</v>
      </c>
      <c r="EA62" s="158" t="n">
        <f aca="false">EA35-EA53-EA54</f>
        <v>0</v>
      </c>
      <c r="EB62" s="158" t="n">
        <f aca="false">EB35-EB53-EB54</f>
        <v>0</v>
      </c>
      <c r="EC62" s="158" t="n">
        <f aca="false">EC35-EC53-EC54</f>
        <v>0</v>
      </c>
      <c r="ED62" s="158" t="n">
        <f aca="false">ED35-ED53-ED54</f>
        <v>0</v>
      </c>
      <c r="EE62" s="158" t="n">
        <f aca="false">EE35-EE53-EE54</f>
        <v>0</v>
      </c>
      <c r="EF62" s="158" t="n">
        <f aca="false">EF35-EF53-EF54</f>
        <v>0</v>
      </c>
    </row>
    <row r="63" customFormat="false" ht="15" hidden="false" customHeight="false" outlineLevel="0" collapsed="false">
      <c r="A63" s="112" t="s">
        <v>527</v>
      </c>
      <c r="B63" s="241" t="s">
        <v>116</v>
      </c>
      <c r="C63" s="242" t="n">
        <f aca="false">SUM(E63:EF63)</f>
        <v>41146.7570639016</v>
      </c>
      <c r="E63" s="158" t="n">
        <f aca="false">SUM(E36:E40)-E55</f>
        <v>0</v>
      </c>
      <c r="F63" s="158" t="n">
        <f aca="false">SUM(F36:F40)-F55</f>
        <v>0</v>
      </c>
      <c r="G63" s="158" t="n">
        <f aca="false">SUM(G36:G40)-G55</f>
        <v>0</v>
      </c>
      <c r="H63" s="158" t="n">
        <f aca="false">SUM(H36:H40)-H55</f>
        <v>0</v>
      </c>
      <c r="I63" s="158" t="n">
        <f aca="false">SUM(I36:I40)-I55</f>
        <v>0</v>
      </c>
      <c r="J63" s="158" t="n">
        <f aca="false">SUM(J36:J40)-J55</f>
        <v>0</v>
      </c>
      <c r="K63" s="158" t="n">
        <f aca="false">SUM(K36:K40)-K55</f>
        <v>0</v>
      </c>
      <c r="L63" s="158" t="n">
        <f aca="false">SUM(L36:L40)-L55</f>
        <v>0</v>
      </c>
      <c r="M63" s="158" t="n">
        <f aca="false">SUM(M36:M40)-M55</f>
        <v>0</v>
      </c>
      <c r="N63" s="158" t="n">
        <f aca="false">SUM(N36:N40)-N55</f>
        <v>0</v>
      </c>
      <c r="O63" s="158" t="n">
        <f aca="false">SUM(O36:O40)-O55</f>
        <v>0</v>
      </c>
      <c r="P63" s="158" t="n">
        <f aca="false">SUM(P36:P40)-P55</f>
        <v>0</v>
      </c>
      <c r="Q63" s="158" t="n">
        <f aca="false">SUM(Q36:Q40)-Q55</f>
        <v>0</v>
      </c>
      <c r="R63" s="158" t="n">
        <f aca="false">SUM(R36:R40)-R55</f>
        <v>0</v>
      </c>
      <c r="S63" s="158" t="n">
        <f aca="false">SUM(S36:S40)-S55</f>
        <v>0</v>
      </c>
      <c r="T63" s="158" t="n">
        <f aca="false">SUM(T36:T40)-T55</f>
        <v>0</v>
      </c>
      <c r="U63" s="158" t="n">
        <f aca="false">SUM(U36:U40)-U55</f>
        <v>0</v>
      </c>
      <c r="V63" s="158" t="n">
        <f aca="false">SUM(V36:V40)-V55</f>
        <v>0</v>
      </c>
      <c r="W63" s="158" t="n">
        <f aca="false">SUM(W36:W40)-W55</f>
        <v>0</v>
      </c>
      <c r="X63" s="158" t="n">
        <f aca="false">SUM(X36:X40)-X55</f>
        <v>0</v>
      </c>
      <c r="Y63" s="158" t="n">
        <f aca="false">SUM(Y36:Y40)-Y55</f>
        <v>0</v>
      </c>
      <c r="Z63" s="158" t="n">
        <f aca="false">SUM(Z36:Z40)-Z55</f>
        <v>0</v>
      </c>
      <c r="AA63" s="158" t="n">
        <f aca="false">SUM(AA36:AA40)-AA55</f>
        <v>0</v>
      </c>
      <c r="AB63" s="158" t="n">
        <f aca="false">SUM(AB36:AB40)-AB55</f>
        <v>0</v>
      </c>
      <c r="AC63" s="158" t="n">
        <f aca="false">SUM(AC36:AC40)-AC55</f>
        <v>0</v>
      </c>
      <c r="AD63" s="158" t="n">
        <f aca="false">SUM(AD36:AD40)-AD55</f>
        <v>0</v>
      </c>
      <c r="AE63" s="158" t="n">
        <f aca="false">SUM(AE36:AE40)-AE55</f>
        <v>0</v>
      </c>
      <c r="AF63" s="158" t="n">
        <f aca="false">SUM(AF36:AF40)-AF55</f>
        <v>0</v>
      </c>
      <c r="AG63" s="158" t="n">
        <f aca="false">SUM(AG36:AG40)-AG55</f>
        <v>0</v>
      </c>
      <c r="AH63" s="158" t="n">
        <f aca="false">SUM(AH36:AH40)-AH55</f>
        <v>0</v>
      </c>
      <c r="AI63" s="158" t="n">
        <f aca="false">SUM(AI36:AI40)-AI55</f>
        <v>0</v>
      </c>
      <c r="AJ63" s="158" t="n">
        <f aca="false">SUM(AJ36:AJ40)-AJ55</f>
        <v>0</v>
      </c>
      <c r="AK63" s="158" t="n">
        <f aca="false">SUM(AK36:AK40)-AK55</f>
        <v>0</v>
      </c>
      <c r="AL63" s="158" t="n">
        <f aca="false">SUM(AL36:AL40)-AL55</f>
        <v>0</v>
      </c>
      <c r="AM63" s="158" t="n">
        <f aca="false">SUM(AM36:AM40)-AM55</f>
        <v>0</v>
      </c>
      <c r="AN63" s="158" t="n">
        <f aca="false">SUM(AN36:AN40)-AN55</f>
        <v>0</v>
      </c>
      <c r="AO63" s="158" t="n">
        <f aca="false">SUM(AO36:AO40)-AO55</f>
        <v>0</v>
      </c>
      <c r="AP63" s="158" t="n">
        <f aca="false">SUM(AP36:AP40)-AP55</f>
        <v>0</v>
      </c>
      <c r="AQ63" s="158" t="n">
        <f aca="false">SUM(AQ36:AQ40)-AQ55</f>
        <v>0</v>
      </c>
      <c r="AR63" s="158" t="n">
        <f aca="false">SUM(AR36:AR40)-AR55</f>
        <v>0</v>
      </c>
      <c r="AS63" s="158" t="n">
        <f aca="false">SUM(AS36:AS40)-AS55</f>
        <v>0</v>
      </c>
      <c r="AT63" s="158" t="n">
        <f aca="false">SUM(AT36:AT40)-AT55</f>
        <v>0</v>
      </c>
      <c r="AU63" s="158" t="n">
        <f aca="false">SUM(AU36:AU40)-AU55</f>
        <v>0</v>
      </c>
      <c r="AV63" s="158" t="n">
        <f aca="false">SUM(AV36:AV40)-AV55</f>
        <v>0</v>
      </c>
      <c r="AW63" s="158" t="n">
        <f aca="false">SUM(AW36:AW40)-AW55</f>
        <v>0</v>
      </c>
      <c r="AX63" s="158" t="n">
        <f aca="false">SUM(AX36:AX40)-AX55</f>
        <v>0</v>
      </c>
      <c r="AY63" s="158" t="n">
        <f aca="false">SUM(AY36:AY40)-AY55</f>
        <v>0</v>
      </c>
      <c r="AZ63" s="158" t="n">
        <f aca="false">SUM(AZ36:AZ40)-AZ55</f>
        <v>0</v>
      </c>
      <c r="BA63" s="158" t="n">
        <f aca="false">SUM(BA36:BA40)-BA55</f>
        <v>0</v>
      </c>
      <c r="BB63" s="158" t="n">
        <f aca="false">SUM(BB36:BB40)-BB55</f>
        <v>0</v>
      </c>
      <c r="BC63" s="158" t="n">
        <f aca="false">SUM(BC36:BC40)-BC55</f>
        <v>0</v>
      </c>
      <c r="BD63" s="158" t="n">
        <f aca="false">SUM(BD36:BD40)-BD55</f>
        <v>0</v>
      </c>
      <c r="BE63" s="158" t="n">
        <f aca="false">SUM(BE36:BE40)-BE55</f>
        <v>0</v>
      </c>
      <c r="BF63" s="158" t="n">
        <f aca="false">SUM(BF36:BF40)-BF55</f>
        <v>0</v>
      </c>
      <c r="BG63" s="158" t="n">
        <f aca="false">SUM(BG36:BG40)-BG55</f>
        <v>0</v>
      </c>
      <c r="BH63" s="158" t="n">
        <f aca="false">SUM(BH36:BH40)-BH55</f>
        <v>0</v>
      </c>
      <c r="BI63" s="158" t="n">
        <f aca="false">SUM(BI36:BI40)-BI55</f>
        <v>0</v>
      </c>
      <c r="BJ63" s="158" t="n">
        <f aca="false">SUM(BJ36:BJ40)-BJ55</f>
        <v>0</v>
      </c>
      <c r="BK63" s="158" t="n">
        <f aca="false">SUM(BK36:BK40)-BK55</f>
        <v>0</v>
      </c>
      <c r="BL63" s="158" t="n">
        <f aca="false">SUM(BL36:BL40)-BL55</f>
        <v>0</v>
      </c>
      <c r="BM63" s="158" t="n">
        <f aca="false">SUM(BM36:BM40)-BM55</f>
        <v>658.89123</v>
      </c>
      <c r="BN63" s="158" t="n">
        <f aca="false">SUM(BN36:BN40)-BN55</f>
        <v>658.89123</v>
      </c>
      <c r="BO63" s="158" t="n">
        <f aca="false">SUM(BO36:BO40)-BO55</f>
        <v>658.89123</v>
      </c>
      <c r="BP63" s="158" t="n">
        <f aca="false">SUM(BP36:BP40)-BP55</f>
        <v>658.89123</v>
      </c>
      <c r="BQ63" s="158" t="n">
        <f aca="false">SUM(BQ36:BQ40)-BQ55</f>
        <v>658.89123</v>
      </c>
      <c r="BR63" s="158" t="n">
        <f aca="false">SUM(BR36:BR40)-BR55</f>
        <v>658.89123</v>
      </c>
      <c r="BS63" s="158" t="n">
        <f aca="false">SUM(BS36:BS40)-BS55</f>
        <v>658.89123</v>
      </c>
      <c r="BT63" s="158" t="n">
        <f aca="false">SUM(BT36:BT40)-BT55</f>
        <v>658.89123</v>
      </c>
      <c r="BU63" s="158" t="n">
        <f aca="false">SUM(BU36:BU40)-BU55</f>
        <v>658.89123</v>
      </c>
      <c r="BV63" s="158" t="n">
        <f aca="false">SUM(BV36:BV40)-BV55</f>
        <v>658.89123</v>
      </c>
      <c r="BW63" s="158" t="n">
        <f aca="false">SUM(BW36:BW40)-BW55</f>
        <v>658.89123</v>
      </c>
      <c r="BX63" s="158" t="n">
        <f aca="false">SUM(BX36:BX40)-BX55</f>
        <v>658.89123</v>
      </c>
      <c r="BY63" s="158" t="n">
        <f aca="false">SUM(BY36:BY40)-BY55</f>
        <v>672.0690546</v>
      </c>
      <c r="BZ63" s="158" t="n">
        <f aca="false">SUM(BZ36:BZ40)-BZ55</f>
        <v>672.0690546</v>
      </c>
      <c r="CA63" s="158" t="n">
        <f aca="false">SUM(CA36:CA40)-CA55</f>
        <v>672.0690546</v>
      </c>
      <c r="CB63" s="158" t="n">
        <f aca="false">SUM(CB36:CB40)-CB55</f>
        <v>672.0690546</v>
      </c>
      <c r="CC63" s="158" t="n">
        <f aca="false">SUM(CC36:CC40)-CC55</f>
        <v>672.0690546</v>
      </c>
      <c r="CD63" s="158" t="n">
        <f aca="false">SUM(CD36:CD40)-CD55</f>
        <v>672.0690546</v>
      </c>
      <c r="CE63" s="158" t="n">
        <f aca="false">SUM(CE36:CE40)-CE55</f>
        <v>672.0690546</v>
      </c>
      <c r="CF63" s="158" t="n">
        <f aca="false">SUM(CF36:CF40)-CF55</f>
        <v>672.0690546</v>
      </c>
      <c r="CG63" s="158" t="n">
        <f aca="false">SUM(CG36:CG40)-CG55</f>
        <v>672.0690546</v>
      </c>
      <c r="CH63" s="158" t="n">
        <f aca="false">SUM(CH36:CH40)-CH55</f>
        <v>672.0690546</v>
      </c>
      <c r="CI63" s="158" t="n">
        <f aca="false">SUM(CI36:CI40)-CI55</f>
        <v>672.0690546</v>
      </c>
      <c r="CJ63" s="158" t="n">
        <f aca="false">SUM(CJ36:CJ40)-CJ55</f>
        <v>672.0690546</v>
      </c>
      <c r="CK63" s="158" t="n">
        <f aca="false">SUM(CK36:CK40)-CK55</f>
        <v>685.510435692</v>
      </c>
      <c r="CL63" s="158" t="n">
        <f aca="false">SUM(CL36:CL40)-CL55</f>
        <v>685.510435692</v>
      </c>
      <c r="CM63" s="158" t="n">
        <f aca="false">SUM(CM36:CM40)-CM55</f>
        <v>685.510435692</v>
      </c>
      <c r="CN63" s="158" t="n">
        <f aca="false">SUM(CN36:CN40)-CN55</f>
        <v>685.510435692</v>
      </c>
      <c r="CO63" s="158" t="n">
        <f aca="false">SUM(CO36:CO40)-CO55</f>
        <v>685.510435692</v>
      </c>
      <c r="CP63" s="158" t="n">
        <f aca="false">SUM(CP36:CP40)-CP55</f>
        <v>685.510435692</v>
      </c>
      <c r="CQ63" s="158" t="n">
        <f aca="false">SUM(CQ36:CQ40)-CQ55</f>
        <v>685.510435692</v>
      </c>
      <c r="CR63" s="158" t="n">
        <f aca="false">SUM(CR36:CR40)-CR55</f>
        <v>685.510435692</v>
      </c>
      <c r="CS63" s="158" t="n">
        <f aca="false">SUM(CS36:CS40)-CS55</f>
        <v>685.510435692</v>
      </c>
      <c r="CT63" s="158" t="n">
        <f aca="false">SUM(CT36:CT40)-CT55</f>
        <v>685.510435692</v>
      </c>
      <c r="CU63" s="158" t="n">
        <f aca="false">SUM(CU36:CU40)-CU55</f>
        <v>685.510435692</v>
      </c>
      <c r="CV63" s="158" t="n">
        <f aca="false">SUM(CV36:CV40)-CV55</f>
        <v>685.510435692</v>
      </c>
      <c r="CW63" s="158" t="n">
        <f aca="false">SUM(CW36:CW40)-CW55</f>
        <v>699.22064440584</v>
      </c>
      <c r="CX63" s="158" t="n">
        <f aca="false">SUM(CX36:CX40)-CX55</f>
        <v>699.22064440584</v>
      </c>
      <c r="CY63" s="158" t="n">
        <f aca="false">SUM(CY36:CY40)-CY55</f>
        <v>699.22064440584</v>
      </c>
      <c r="CZ63" s="158" t="n">
        <f aca="false">SUM(CZ36:CZ40)-CZ55</f>
        <v>699.22064440584</v>
      </c>
      <c r="DA63" s="158" t="n">
        <f aca="false">SUM(DA36:DA40)-DA55</f>
        <v>699.22064440584</v>
      </c>
      <c r="DB63" s="158" t="n">
        <f aca="false">SUM(DB36:DB40)-DB55</f>
        <v>699.22064440584</v>
      </c>
      <c r="DC63" s="158" t="n">
        <f aca="false">SUM(DC36:DC40)-DC55</f>
        <v>699.22064440584</v>
      </c>
      <c r="DD63" s="158" t="n">
        <f aca="false">SUM(DD36:DD40)-DD55</f>
        <v>699.22064440584</v>
      </c>
      <c r="DE63" s="158" t="n">
        <f aca="false">SUM(DE36:DE40)-DE55</f>
        <v>699.22064440584</v>
      </c>
      <c r="DF63" s="158" t="n">
        <f aca="false">SUM(DF36:DF40)-DF55</f>
        <v>699.22064440584</v>
      </c>
      <c r="DG63" s="158" t="n">
        <f aca="false">SUM(DG36:DG40)-DG55</f>
        <v>699.22064440584</v>
      </c>
      <c r="DH63" s="158" t="n">
        <f aca="false">SUM(DH36:DH40)-DH55</f>
        <v>699.22064440584</v>
      </c>
      <c r="DI63" s="158" t="n">
        <f aca="false">SUM(DI36:DI40)-DI55</f>
        <v>713.205057293957</v>
      </c>
      <c r="DJ63" s="158" t="n">
        <f aca="false">SUM(DJ36:DJ40)-DJ55</f>
        <v>713.205057293957</v>
      </c>
      <c r="DK63" s="158" t="n">
        <f aca="false">SUM(DK36:DK40)-DK55</f>
        <v>713.205057293957</v>
      </c>
      <c r="DL63" s="158" t="n">
        <f aca="false">SUM(DL36:DL40)-DL55</f>
        <v>713.205057293957</v>
      </c>
      <c r="DM63" s="158" t="n">
        <f aca="false">SUM(DM36:DM40)-DM55</f>
        <v>713.205057293957</v>
      </c>
      <c r="DN63" s="158" t="n">
        <f aca="false">SUM(DN36:DN40)-DN55</f>
        <v>713.205057293957</v>
      </c>
      <c r="DO63" s="158" t="n">
        <f aca="false">SUM(DO36:DO40)-DO55</f>
        <v>713.205057293957</v>
      </c>
      <c r="DP63" s="158" t="n">
        <f aca="false">SUM(DP36:DP40)-DP55</f>
        <v>713.205057293957</v>
      </c>
      <c r="DQ63" s="158" t="n">
        <f aca="false">SUM(DQ36:DQ40)-DQ55</f>
        <v>713.205057293957</v>
      </c>
      <c r="DR63" s="158" t="n">
        <f aca="false">SUM(DR36:DR40)-DR55</f>
        <v>713.205057293957</v>
      </c>
      <c r="DS63" s="158" t="n">
        <f aca="false">SUM(DS36:DS40)-DS55</f>
        <v>713.205057293957</v>
      </c>
      <c r="DT63" s="158" t="n">
        <f aca="false">SUM(DT36:DT40)-DT55</f>
        <v>713.205057293957</v>
      </c>
      <c r="DU63" s="158" t="n">
        <f aca="false">SUM(DU36:DU40)-DU55</f>
        <v>0</v>
      </c>
      <c r="DV63" s="158" t="n">
        <f aca="false">SUM(DV36:DV40)-DV55</f>
        <v>0</v>
      </c>
      <c r="DW63" s="158" t="n">
        <f aca="false">SUM(DW36:DW40)-DW55</f>
        <v>0</v>
      </c>
      <c r="DX63" s="158" t="n">
        <f aca="false">SUM(DX36:DX40)-DX55</f>
        <v>0</v>
      </c>
      <c r="DY63" s="158" t="n">
        <f aca="false">SUM(DY36:DY40)-DY55</f>
        <v>0</v>
      </c>
      <c r="DZ63" s="158" t="n">
        <f aca="false">SUM(DZ36:DZ40)-DZ55</f>
        <v>0</v>
      </c>
      <c r="EA63" s="158" t="n">
        <f aca="false">SUM(EA36:EA40)-EA55</f>
        <v>0</v>
      </c>
      <c r="EB63" s="158" t="n">
        <f aca="false">SUM(EB36:EB40)-EB55</f>
        <v>0</v>
      </c>
      <c r="EC63" s="158" t="n">
        <f aca="false">SUM(EC36:EC40)-EC55</f>
        <v>0</v>
      </c>
      <c r="ED63" s="158" t="n">
        <f aca="false">SUM(ED36:ED40)-ED55</f>
        <v>0</v>
      </c>
      <c r="EE63" s="158" t="n">
        <f aca="false">SUM(EE36:EE40)-EE55</f>
        <v>0</v>
      </c>
      <c r="EF63" s="158" t="n">
        <f aca="false">SUM(EF36:EF40)-EF55</f>
        <v>0</v>
      </c>
    </row>
    <row r="64" customFormat="false" ht="15" hidden="false" customHeight="false" outlineLevel="0" collapsed="false">
      <c r="A64" s="247" t="s">
        <v>528</v>
      </c>
      <c r="B64" s="244" t="s">
        <v>116</v>
      </c>
      <c r="C64" s="245" t="n">
        <f aca="false">SUM(E64:EF64)</f>
        <v>315953.27749201</v>
      </c>
      <c r="D64" s="13"/>
      <c r="E64" s="246" t="n">
        <f aca="false">SUM(E59:E63)</f>
        <v>0</v>
      </c>
      <c r="F64" s="246" t="n">
        <f aca="false">SUM(F59:F63)</f>
        <v>0</v>
      </c>
      <c r="G64" s="246" t="n">
        <f aca="false">SUM(G59:G63)</f>
        <v>0</v>
      </c>
      <c r="H64" s="246" t="n">
        <f aca="false">SUM(H59:H63)</f>
        <v>0</v>
      </c>
      <c r="I64" s="246" t="n">
        <f aca="false">SUM(I59:I63)</f>
        <v>0</v>
      </c>
      <c r="J64" s="246" t="n">
        <f aca="false">SUM(J59:J63)</f>
        <v>0</v>
      </c>
      <c r="K64" s="246" t="n">
        <f aca="false">SUM(K59:K63)</f>
        <v>0</v>
      </c>
      <c r="L64" s="246" t="n">
        <f aca="false">SUM(L59:L63)</f>
        <v>0</v>
      </c>
      <c r="M64" s="246" t="n">
        <f aca="false">SUM(M59:M63)</f>
        <v>0</v>
      </c>
      <c r="N64" s="246" t="n">
        <f aca="false">SUM(N59:N63)</f>
        <v>0</v>
      </c>
      <c r="O64" s="246" t="n">
        <f aca="false">SUM(O59:O63)</f>
        <v>0</v>
      </c>
      <c r="P64" s="246" t="n">
        <f aca="false">SUM(P59:P63)</f>
        <v>0</v>
      </c>
      <c r="Q64" s="246" t="n">
        <f aca="false">SUM(Q59:Q63)</f>
        <v>0</v>
      </c>
      <c r="R64" s="246" t="n">
        <f aca="false">SUM(R59:R63)</f>
        <v>0</v>
      </c>
      <c r="S64" s="246" t="n">
        <f aca="false">SUM(S59:S63)</f>
        <v>0</v>
      </c>
      <c r="T64" s="246" t="n">
        <f aca="false">SUM(T59:T63)</f>
        <v>0</v>
      </c>
      <c r="U64" s="246" t="n">
        <f aca="false">SUM(U59:U63)</f>
        <v>0</v>
      </c>
      <c r="V64" s="246" t="n">
        <f aca="false">SUM(V59:V63)</f>
        <v>0</v>
      </c>
      <c r="W64" s="246" t="n">
        <f aca="false">SUM(W59:W63)</f>
        <v>0</v>
      </c>
      <c r="X64" s="246" t="n">
        <f aca="false">SUM(X59:X63)</f>
        <v>0</v>
      </c>
      <c r="Y64" s="246" t="n">
        <f aca="false">SUM(Y59:Y63)</f>
        <v>0</v>
      </c>
      <c r="Z64" s="246" t="n">
        <f aca="false">SUM(Z59:Z63)</f>
        <v>0</v>
      </c>
      <c r="AA64" s="246" t="n">
        <f aca="false">SUM(AA59:AA63)</f>
        <v>0</v>
      </c>
      <c r="AB64" s="246" t="n">
        <f aca="false">SUM(AB59:AB63)</f>
        <v>0</v>
      </c>
      <c r="AC64" s="246" t="n">
        <f aca="false">SUM(AC59:AC63)</f>
        <v>0</v>
      </c>
      <c r="AD64" s="246" t="n">
        <f aca="false">SUM(AD59:AD63)</f>
        <v>0</v>
      </c>
      <c r="AE64" s="246" t="n">
        <f aca="false">SUM(AE59:AE63)</f>
        <v>0</v>
      </c>
      <c r="AF64" s="246" t="n">
        <f aca="false">SUM(AF59:AF63)</f>
        <v>0</v>
      </c>
      <c r="AG64" s="246" t="n">
        <f aca="false">SUM(AG59:AG63)</f>
        <v>0</v>
      </c>
      <c r="AH64" s="246" t="n">
        <f aca="false">SUM(AH59:AH63)</f>
        <v>0</v>
      </c>
      <c r="AI64" s="246" t="n">
        <f aca="false">SUM(AI59:AI63)</f>
        <v>0</v>
      </c>
      <c r="AJ64" s="246" t="n">
        <f aca="false">SUM(AJ59:AJ63)</f>
        <v>0</v>
      </c>
      <c r="AK64" s="246" t="n">
        <f aca="false">SUM(AK59:AK63)</f>
        <v>0</v>
      </c>
      <c r="AL64" s="246" t="n">
        <f aca="false">SUM(AL59:AL63)</f>
        <v>0</v>
      </c>
      <c r="AM64" s="246" t="n">
        <f aca="false">SUM(AM59:AM63)</f>
        <v>0</v>
      </c>
      <c r="AN64" s="246" t="n">
        <f aca="false">SUM(AN59:AN63)</f>
        <v>0</v>
      </c>
      <c r="AO64" s="246" t="n">
        <f aca="false">SUM(AO59:AO63)</f>
        <v>0</v>
      </c>
      <c r="AP64" s="246" t="n">
        <f aca="false">SUM(AP59:AP63)</f>
        <v>0</v>
      </c>
      <c r="AQ64" s="246" t="n">
        <f aca="false">SUM(AQ59:AQ63)</f>
        <v>0</v>
      </c>
      <c r="AR64" s="246" t="n">
        <f aca="false">SUM(AR59:AR63)</f>
        <v>0</v>
      </c>
      <c r="AS64" s="246" t="n">
        <f aca="false">SUM(AS59:AS63)</f>
        <v>0</v>
      </c>
      <c r="AT64" s="246" t="n">
        <f aca="false">SUM(AT59:AT63)</f>
        <v>0</v>
      </c>
      <c r="AU64" s="246" t="n">
        <f aca="false">SUM(AU59:AU63)</f>
        <v>0</v>
      </c>
      <c r="AV64" s="246" t="n">
        <f aca="false">SUM(AV59:AV63)</f>
        <v>0</v>
      </c>
      <c r="AW64" s="246" t="n">
        <f aca="false">SUM(AW59:AW63)</f>
        <v>0</v>
      </c>
      <c r="AX64" s="246" t="n">
        <f aca="false">SUM(AX59:AX63)</f>
        <v>0</v>
      </c>
      <c r="AY64" s="246" t="n">
        <f aca="false">SUM(AY59:AY63)</f>
        <v>0</v>
      </c>
      <c r="AZ64" s="246" t="n">
        <f aca="false">SUM(AZ59:AZ63)</f>
        <v>0</v>
      </c>
      <c r="BA64" s="246" t="n">
        <f aca="false">SUM(BA59:BA63)</f>
        <v>0</v>
      </c>
      <c r="BB64" s="246" t="n">
        <f aca="false">SUM(BB59:BB63)</f>
        <v>0</v>
      </c>
      <c r="BC64" s="246" t="n">
        <f aca="false">SUM(BC59:BC63)</f>
        <v>0</v>
      </c>
      <c r="BD64" s="246" t="n">
        <f aca="false">SUM(BD59:BD63)</f>
        <v>0</v>
      </c>
      <c r="BE64" s="246" t="n">
        <f aca="false">SUM(BE59:BE63)</f>
        <v>0</v>
      </c>
      <c r="BF64" s="246" t="n">
        <f aca="false">SUM(BF59:BF63)</f>
        <v>0</v>
      </c>
      <c r="BG64" s="246" t="n">
        <f aca="false">SUM(BG59:BG63)</f>
        <v>0</v>
      </c>
      <c r="BH64" s="246" t="n">
        <f aca="false">SUM(BH59:BH63)</f>
        <v>0</v>
      </c>
      <c r="BI64" s="246" t="n">
        <f aca="false">SUM(BI59:BI63)</f>
        <v>0</v>
      </c>
      <c r="BJ64" s="246" t="n">
        <f aca="false">SUM(BJ59:BJ63)</f>
        <v>0</v>
      </c>
      <c r="BK64" s="246" t="n">
        <f aca="false">SUM(BK59:BK63)</f>
        <v>0</v>
      </c>
      <c r="BL64" s="246" t="n">
        <f aca="false">SUM(BL59:BL63)</f>
        <v>0</v>
      </c>
      <c r="BM64" s="246" t="n">
        <f aca="false">SUM(BM59:BM63)</f>
        <v>4383.21153179513</v>
      </c>
      <c r="BN64" s="246" t="n">
        <f aca="false">SUM(BN59:BN63)</f>
        <v>4300.96985947916</v>
      </c>
      <c r="BO64" s="246" t="n">
        <f aca="false">SUM(BO59:BO63)</f>
        <v>4383.21153179513</v>
      </c>
      <c r="BP64" s="246" t="n">
        <f aca="false">SUM(BP59:BP63)</f>
        <v>4300.96985947916</v>
      </c>
      <c r="BQ64" s="246" t="n">
        <f aca="false">SUM(BQ59:BQ63)</f>
        <v>4383.21153179513</v>
      </c>
      <c r="BR64" s="246" t="n">
        <f aca="false">SUM(BR59:BR63)</f>
        <v>4383.21153179513</v>
      </c>
      <c r="BS64" s="246" t="n">
        <f aca="false">SUM(BS59:BS63)</f>
        <v>4300.96985947916</v>
      </c>
      <c r="BT64" s="246" t="n">
        <f aca="false">SUM(BT59:BT63)</f>
        <v>4383.21153179513</v>
      </c>
      <c r="BU64" s="246" t="n">
        <f aca="false">SUM(BU59:BU63)</f>
        <v>4300.96985947916</v>
      </c>
      <c r="BV64" s="246" t="n">
        <f aca="false">SUM(BV59:BV63)</f>
        <v>4383.21153179513</v>
      </c>
      <c r="BW64" s="246" t="n">
        <f aca="false">SUM(BW59:BW63)</f>
        <v>4383.21153179513</v>
      </c>
      <c r="BX64" s="246" t="n">
        <f aca="false">SUM(BX59:BX63)</f>
        <v>4218.72818716319</v>
      </c>
      <c r="BY64" s="246" t="n">
        <f aca="false">SUM(BY59:BY63)</f>
        <v>5389.03842993833</v>
      </c>
      <c r="BZ64" s="246" t="n">
        <f aca="false">SUM(BZ59:BZ63)</f>
        <v>5292.24630790492</v>
      </c>
      <c r="CA64" s="246" t="n">
        <f aca="false">SUM(CA59:CA63)</f>
        <v>5389.03842993833</v>
      </c>
      <c r="CB64" s="246" t="n">
        <f aca="false">SUM(CB59:CB63)</f>
        <v>5292.24630790492</v>
      </c>
      <c r="CC64" s="246" t="n">
        <f aca="false">SUM(CC59:CC63)</f>
        <v>5389.03842993833</v>
      </c>
      <c r="CD64" s="246" t="n">
        <f aca="false">SUM(CD59:CD63)</f>
        <v>5389.03842993833</v>
      </c>
      <c r="CE64" s="246" t="n">
        <f aca="false">SUM(CE59:CE63)</f>
        <v>5292.24630790492</v>
      </c>
      <c r="CF64" s="246" t="n">
        <f aca="false">SUM(CF59:CF63)</f>
        <v>5389.03842993833</v>
      </c>
      <c r="CG64" s="246" t="n">
        <f aca="false">SUM(CG59:CG63)</f>
        <v>5292.24630790492</v>
      </c>
      <c r="CH64" s="246" t="n">
        <f aca="false">SUM(CH59:CH63)</f>
        <v>5389.03842993833</v>
      </c>
      <c r="CI64" s="246" t="n">
        <f aca="false">SUM(CI59:CI63)</f>
        <v>5389.03842993833</v>
      </c>
      <c r="CJ64" s="246" t="n">
        <f aca="false">SUM(CJ59:CJ63)</f>
        <v>5098.66206383809</v>
      </c>
      <c r="CK64" s="246" t="n">
        <f aca="false">SUM(CK59:CK63)</f>
        <v>5496.8191985371</v>
      </c>
      <c r="CL64" s="246" t="n">
        <f aca="false">SUM(CL59:CL63)</f>
        <v>5398.09123406301</v>
      </c>
      <c r="CM64" s="246" t="n">
        <f aca="false">SUM(CM59:CM63)</f>
        <v>5496.8191985371</v>
      </c>
      <c r="CN64" s="246" t="n">
        <f aca="false">SUM(CN59:CN63)</f>
        <v>5398.09123406301</v>
      </c>
      <c r="CO64" s="246" t="n">
        <f aca="false">SUM(CO59:CO63)</f>
        <v>5496.8191985371</v>
      </c>
      <c r="CP64" s="246" t="n">
        <f aca="false">SUM(CP59:CP63)</f>
        <v>5496.8191985371</v>
      </c>
      <c r="CQ64" s="246" t="n">
        <f aca="false">SUM(CQ59:CQ63)</f>
        <v>5398.09123406301</v>
      </c>
      <c r="CR64" s="246" t="n">
        <f aca="false">SUM(CR59:CR63)</f>
        <v>5496.8191985371</v>
      </c>
      <c r="CS64" s="246" t="n">
        <f aca="false">SUM(CS59:CS63)</f>
        <v>5398.09123406301</v>
      </c>
      <c r="CT64" s="246" t="n">
        <f aca="false">SUM(CT59:CT63)</f>
        <v>5496.8191985371</v>
      </c>
      <c r="CU64" s="246" t="n">
        <f aca="false">SUM(CU59:CU63)</f>
        <v>5496.8191985371</v>
      </c>
      <c r="CV64" s="246" t="n">
        <f aca="false">SUM(CV59:CV63)</f>
        <v>5200.63530511485</v>
      </c>
      <c r="CW64" s="246" t="n">
        <f aca="false">SUM(CW59:CW63)</f>
        <v>5606.75558250784</v>
      </c>
      <c r="CX64" s="246" t="n">
        <f aca="false">SUM(CX59:CX63)</f>
        <v>5506.05305874428</v>
      </c>
      <c r="CY64" s="246" t="n">
        <f aca="false">SUM(CY59:CY63)</f>
        <v>5606.75558250784</v>
      </c>
      <c r="CZ64" s="246" t="n">
        <f aca="false">SUM(CZ59:CZ63)</f>
        <v>5506.05305874428</v>
      </c>
      <c r="DA64" s="246" t="n">
        <f aca="false">SUM(DA59:DA63)</f>
        <v>5606.75558250784</v>
      </c>
      <c r="DB64" s="246" t="n">
        <f aca="false">SUM(DB59:DB63)</f>
        <v>5606.75558250784</v>
      </c>
      <c r="DC64" s="246" t="n">
        <f aca="false">SUM(DC59:DC63)</f>
        <v>5506.05305874428</v>
      </c>
      <c r="DD64" s="246" t="n">
        <f aca="false">SUM(DD59:DD63)</f>
        <v>5606.75558250784</v>
      </c>
      <c r="DE64" s="246" t="n">
        <f aca="false">SUM(DE59:DE63)</f>
        <v>5506.05305874428</v>
      </c>
      <c r="DF64" s="246" t="n">
        <f aca="false">SUM(DF59:DF63)</f>
        <v>5606.75558250784</v>
      </c>
      <c r="DG64" s="246" t="n">
        <f aca="false">SUM(DG59:DG63)</f>
        <v>5606.75558250784</v>
      </c>
      <c r="DH64" s="246" t="n">
        <f aca="false">SUM(DH59:DH63)</f>
        <v>5304.64801121715</v>
      </c>
      <c r="DI64" s="246" t="n">
        <f aca="false">SUM(DI59:DI63)</f>
        <v>5718.890694158</v>
      </c>
      <c r="DJ64" s="246" t="n">
        <f aca="false">SUM(DJ59:DJ63)</f>
        <v>5616.17411991916</v>
      </c>
      <c r="DK64" s="246" t="n">
        <f aca="false">SUM(DK59:DK63)</f>
        <v>5718.890694158</v>
      </c>
      <c r="DL64" s="246" t="n">
        <f aca="false">SUM(DL59:DL63)</f>
        <v>5616.17411991916</v>
      </c>
      <c r="DM64" s="246" t="n">
        <f aca="false">SUM(DM59:DM63)</f>
        <v>5718.890694158</v>
      </c>
      <c r="DN64" s="246" t="n">
        <f aca="false">SUM(DN59:DN63)</f>
        <v>5718.890694158</v>
      </c>
      <c r="DO64" s="246" t="n">
        <f aca="false">SUM(DO59:DO63)</f>
        <v>5616.17411991916</v>
      </c>
      <c r="DP64" s="246" t="n">
        <f aca="false">SUM(DP59:DP63)</f>
        <v>5718.890694158</v>
      </c>
      <c r="DQ64" s="246" t="n">
        <f aca="false">SUM(DQ59:DQ63)</f>
        <v>5616.17411991916</v>
      </c>
      <c r="DR64" s="246" t="n">
        <f aca="false">SUM(DR59:DR63)</f>
        <v>5718.890694158</v>
      </c>
      <c r="DS64" s="246" t="n">
        <f aca="false">SUM(DS59:DS63)</f>
        <v>5718.890694158</v>
      </c>
      <c r="DT64" s="246" t="n">
        <f aca="false">SUM(DT59:DT63)</f>
        <v>5513.45754568033</v>
      </c>
      <c r="DU64" s="246" t="n">
        <f aca="false">SUM(DU59:DU63)</f>
        <v>0</v>
      </c>
      <c r="DV64" s="246" t="n">
        <f aca="false">SUM(DV59:DV63)</f>
        <v>0</v>
      </c>
      <c r="DW64" s="246" t="n">
        <f aca="false">SUM(DW59:DW63)</f>
        <v>0</v>
      </c>
      <c r="DX64" s="246" t="n">
        <f aca="false">SUM(DX59:DX63)</f>
        <v>0</v>
      </c>
      <c r="DY64" s="246" t="n">
        <f aca="false">SUM(DY59:DY63)</f>
        <v>0</v>
      </c>
      <c r="DZ64" s="246" t="n">
        <f aca="false">SUM(DZ59:DZ63)</f>
        <v>0</v>
      </c>
      <c r="EA64" s="246" t="n">
        <f aca="false">SUM(EA59:EA63)</f>
        <v>0</v>
      </c>
      <c r="EB64" s="246" t="n">
        <f aca="false">SUM(EB59:EB63)</f>
        <v>0</v>
      </c>
      <c r="EC64" s="246" t="n">
        <f aca="false">SUM(EC59:EC63)</f>
        <v>0</v>
      </c>
      <c r="ED64" s="246" t="n">
        <f aca="false">SUM(ED59:ED63)</f>
        <v>0</v>
      </c>
      <c r="EE64" s="246" t="n">
        <f aca="false">SUM(EE59:EE63)</f>
        <v>0</v>
      </c>
      <c r="EF64" s="246" t="n">
        <f aca="false">SUM(EF59:EF63)</f>
        <v>0</v>
      </c>
    </row>
    <row r="66" customFormat="false" ht="15" hidden="false" customHeight="false" outlineLevel="0" collapsed="false">
      <c r="A66" s="176" t="s">
        <v>529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</row>
    <row r="67" customFormat="false" ht="15" hidden="false" customHeight="false" outlineLevel="0" collapsed="false">
      <c r="A67" s="35" t="s">
        <v>530</v>
      </c>
      <c r="B67" s="241" t="s">
        <v>116</v>
      </c>
      <c r="C67" s="242" t="n">
        <f aca="false">SUM(E67:EF67)</f>
        <v>7663.49889326473</v>
      </c>
      <c r="E67" s="158" t="n">
        <f aca="false">(E14=1)*Assumption!$E$251*Assumption!$C$55/1000000*(1+Assumption!$E$256)^(MAX(E16,1)-1)</f>
        <v>0</v>
      </c>
      <c r="F67" s="158" t="n">
        <f aca="false">(F14=1)*Assumption!$E$251*Assumption!$C$55/1000000*(1+Assumption!$E$256)^(MAX(F16,1)-1)</f>
        <v>0</v>
      </c>
      <c r="G67" s="158" t="n">
        <f aca="false">(G14=1)*Assumption!$E$251*Assumption!$C$55/1000000*(1+Assumption!$E$256)^(MAX(G16,1)-1)</f>
        <v>0</v>
      </c>
      <c r="H67" s="158" t="n">
        <f aca="false">(H14=1)*Assumption!$E$251*Assumption!$C$55/1000000*(1+Assumption!$E$256)^(MAX(H16,1)-1)</f>
        <v>0</v>
      </c>
      <c r="I67" s="158" t="n">
        <f aca="false">(I14=1)*Assumption!$E$251*Assumption!$C$55/1000000*(1+Assumption!$E$256)^(MAX(I16,1)-1)</f>
        <v>0</v>
      </c>
      <c r="J67" s="158" t="n">
        <f aca="false">(J14=1)*Assumption!$E$251*Assumption!$C$55/1000000*(1+Assumption!$E$256)^(MAX(J16,1)-1)</f>
        <v>0</v>
      </c>
      <c r="K67" s="158" t="n">
        <f aca="false">(K14=1)*Assumption!$E$251*Assumption!$C$55/1000000*(1+Assumption!$E$256)^(MAX(K16,1)-1)</f>
        <v>0</v>
      </c>
      <c r="L67" s="158" t="n">
        <f aca="false">(L14=1)*Assumption!$E$251*Assumption!$C$55/1000000*(1+Assumption!$E$256)^(MAX(L16,1)-1)</f>
        <v>0</v>
      </c>
      <c r="M67" s="158" t="n">
        <f aca="false">(M14=1)*Assumption!$E$251*Assumption!$C$55/1000000*(1+Assumption!$E$256)^(MAX(M16,1)-1)</f>
        <v>0</v>
      </c>
      <c r="N67" s="158" t="n">
        <f aca="false">(N14=1)*Assumption!$E$251*Assumption!$C$55/1000000*(1+Assumption!$E$256)^(MAX(N16,1)-1)</f>
        <v>0</v>
      </c>
      <c r="O67" s="158" t="n">
        <f aca="false">(O14=1)*Assumption!$E$251*Assumption!$C$55/1000000*(1+Assumption!$E$256)^(MAX(O16,1)-1)</f>
        <v>0</v>
      </c>
      <c r="P67" s="158" t="n">
        <f aca="false">(P14=1)*Assumption!$E$251*Assumption!$C$55/1000000*(1+Assumption!$E$256)^(MAX(P16,1)-1)</f>
        <v>0</v>
      </c>
      <c r="Q67" s="158" t="n">
        <f aca="false">(Q14=1)*Assumption!$E$251*Assumption!$C$55/1000000*(1+Assumption!$E$256)^(MAX(Q16,1)-1)</f>
        <v>0</v>
      </c>
      <c r="R67" s="158" t="n">
        <f aca="false">(R14=1)*Assumption!$E$251*Assumption!$C$55/1000000*(1+Assumption!$E$256)^(MAX(R16,1)-1)</f>
        <v>0</v>
      </c>
      <c r="S67" s="158" t="n">
        <f aca="false">(S14=1)*Assumption!$E$251*Assumption!$C$55/1000000*(1+Assumption!$E$256)^(MAX(S16,1)-1)</f>
        <v>0</v>
      </c>
      <c r="T67" s="158" t="n">
        <f aca="false">(T14=1)*Assumption!$E$251*Assumption!$C$55/1000000*(1+Assumption!$E$256)^(MAX(T16,1)-1)</f>
        <v>0</v>
      </c>
      <c r="U67" s="158" t="n">
        <f aca="false">(U14=1)*Assumption!$E$251*Assumption!$C$55/1000000*(1+Assumption!$E$256)^(MAX(U16,1)-1)</f>
        <v>0</v>
      </c>
      <c r="V67" s="158" t="n">
        <f aca="false">(V14=1)*Assumption!$E$251*Assumption!$C$55/1000000*(1+Assumption!$E$256)^(MAX(V16,1)-1)</f>
        <v>0</v>
      </c>
      <c r="W67" s="158" t="n">
        <f aca="false">(W14=1)*Assumption!$E$251*Assumption!$C$55/1000000*(1+Assumption!$E$256)^(MAX(W16,1)-1)</f>
        <v>0</v>
      </c>
      <c r="X67" s="158" t="n">
        <f aca="false">(X14=1)*Assumption!$E$251*Assumption!$C$55/1000000*(1+Assumption!$E$256)^(MAX(X16,1)-1)</f>
        <v>0</v>
      </c>
      <c r="Y67" s="158" t="n">
        <f aca="false">(Y14=1)*Assumption!$E$251*Assumption!$C$55/1000000*(1+Assumption!$E$256)^(MAX(Y16,1)-1)</f>
        <v>0</v>
      </c>
      <c r="Z67" s="158" t="n">
        <f aca="false">(Z14=1)*Assumption!$E$251*Assumption!$C$55/1000000*(1+Assumption!$E$256)^(MAX(Z16,1)-1)</f>
        <v>0</v>
      </c>
      <c r="AA67" s="158" t="n">
        <f aca="false">(AA14=1)*Assumption!$E$251*Assumption!$C$55/1000000*(1+Assumption!$E$256)^(MAX(AA16,1)-1)</f>
        <v>0</v>
      </c>
      <c r="AB67" s="158" t="n">
        <f aca="false">(AB14=1)*Assumption!$E$251*Assumption!$C$55/1000000*(1+Assumption!$E$256)^(MAX(AB16,1)-1)</f>
        <v>0</v>
      </c>
      <c r="AC67" s="158" t="n">
        <f aca="false">(AC14=1)*Assumption!$E$251*Assumption!$C$55/1000000*(1+Assumption!$E$256)^(MAX(AC16,1)-1)</f>
        <v>0</v>
      </c>
      <c r="AD67" s="158" t="n">
        <f aca="false">(AD14=1)*Assumption!$E$251*Assumption!$C$55/1000000*(1+Assumption!$E$256)^(MAX(AD16,1)-1)</f>
        <v>0</v>
      </c>
      <c r="AE67" s="158" t="n">
        <f aca="false">(AE14=1)*Assumption!$E$251*Assumption!$C$55/1000000*(1+Assumption!$E$256)^(MAX(AE16,1)-1)</f>
        <v>0</v>
      </c>
      <c r="AF67" s="158" t="n">
        <f aca="false">(AF14=1)*Assumption!$E$251*Assumption!$C$55/1000000*(1+Assumption!$E$256)^(MAX(AF16,1)-1)</f>
        <v>0</v>
      </c>
      <c r="AG67" s="158" t="n">
        <f aca="false">(AG14=1)*Assumption!$E$251*Assumption!$C$55/1000000*(1+Assumption!$E$256)^(MAX(AG16,1)-1)</f>
        <v>0</v>
      </c>
      <c r="AH67" s="158" t="n">
        <f aca="false">(AH14=1)*Assumption!$E$251*Assumption!$C$55/1000000*(1+Assumption!$E$256)^(MAX(AH16,1)-1)</f>
        <v>0</v>
      </c>
      <c r="AI67" s="158" t="n">
        <f aca="false">(AI14=1)*Assumption!$E$251*Assumption!$C$55/1000000*(1+Assumption!$E$256)^(MAX(AI16,1)-1)</f>
        <v>0</v>
      </c>
      <c r="AJ67" s="158" t="n">
        <f aca="false">(AJ14=1)*Assumption!$E$251*Assumption!$C$55/1000000*(1+Assumption!$E$256)^(MAX(AJ16,1)-1)</f>
        <v>0</v>
      </c>
      <c r="AK67" s="158" t="n">
        <f aca="false">(AK14=1)*Assumption!$E$251*Assumption!$C$55/1000000*(1+Assumption!$E$256)^(MAX(AK16,1)-1)</f>
        <v>0</v>
      </c>
      <c r="AL67" s="158" t="n">
        <f aca="false">(AL14=1)*Assumption!$E$251*Assumption!$C$55/1000000*(1+Assumption!$E$256)^(MAX(AL16,1)-1)</f>
        <v>0</v>
      </c>
      <c r="AM67" s="158" t="n">
        <f aca="false">(AM14=1)*Assumption!$E$251*Assumption!$C$55/1000000*(1+Assumption!$E$256)^(MAX(AM16,1)-1)</f>
        <v>0</v>
      </c>
      <c r="AN67" s="158" t="n">
        <f aca="false">(AN14=1)*Assumption!$E$251*Assumption!$C$55/1000000*(1+Assumption!$E$256)^(MAX(AN16,1)-1)</f>
        <v>0</v>
      </c>
      <c r="AO67" s="158" t="n">
        <f aca="false">(AO14=1)*Assumption!$E$251*Assumption!$C$55/1000000*(1+Assumption!$E$256)^(MAX(AO16,1)-1)</f>
        <v>0</v>
      </c>
      <c r="AP67" s="158" t="n">
        <f aca="false">(AP14=1)*Assumption!$E$251*Assumption!$C$55/1000000*(1+Assumption!$E$256)^(MAX(AP16,1)-1)</f>
        <v>0</v>
      </c>
      <c r="AQ67" s="158" t="n">
        <f aca="false">(AQ14=1)*Assumption!$E$251*Assumption!$C$55/1000000*(1+Assumption!$E$256)^(MAX(AQ16,1)-1)</f>
        <v>0</v>
      </c>
      <c r="AR67" s="158" t="n">
        <f aca="false">(AR14=1)*Assumption!$E$251*Assumption!$C$55/1000000*(1+Assumption!$E$256)^(MAX(AR16,1)-1)</f>
        <v>0</v>
      </c>
      <c r="AS67" s="158" t="n">
        <f aca="false">(AS14=1)*Assumption!$E$251*Assumption!$C$55/1000000*(1+Assumption!$E$256)^(MAX(AS16,1)-1)</f>
        <v>0</v>
      </c>
      <c r="AT67" s="158" t="n">
        <f aca="false">(AT14=1)*Assumption!$E$251*Assumption!$C$55/1000000*(1+Assumption!$E$256)^(MAX(AT16,1)-1)</f>
        <v>0</v>
      </c>
      <c r="AU67" s="158" t="n">
        <f aca="false">(AU14=1)*Assumption!$E$251*Assumption!$C$55/1000000*(1+Assumption!$E$256)^(MAX(AU16,1)-1)</f>
        <v>0</v>
      </c>
      <c r="AV67" s="158" t="n">
        <f aca="false">(AV14=1)*Assumption!$E$251*Assumption!$C$55/1000000*(1+Assumption!$E$256)^(MAX(AV16,1)-1)</f>
        <v>0</v>
      </c>
      <c r="AW67" s="158" t="n">
        <f aca="false">(AW14=1)*Assumption!$E$251*Assumption!$C$55/1000000*(1+Assumption!$E$256)^(MAX(AW16,1)-1)</f>
        <v>0</v>
      </c>
      <c r="AX67" s="158" t="n">
        <f aca="false">(AX14=1)*Assumption!$E$251*Assumption!$C$55/1000000*(1+Assumption!$E$256)^(MAX(AX16,1)-1)</f>
        <v>0</v>
      </c>
      <c r="AY67" s="158" t="n">
        <f aca="false">(AY14=1)*Assumption!$E$251*Assumption!$C$55/1000000*(1+Assumption!$E$256)^(MAX(AY16,1)-1)</f>
        <v>0</v>
      </c>
      <c r="AZ67" s="158" t="n">
        <f aca="false">(AZ14=1)*Assumption!$E$251*Assumption!$C$55/1000000*(1+Assumption!$E$256)^(MAX(AZ16,1)-1)</f>
        <v>0</v>
      </c>
      <c r="BA67" s="158" t="n">
        <f aca="false">(BA14=1)*Assumption!$E$251*Assumption!$C$55/1000000*(1+Assumption!$E$256)^(MAX(BA16,1)-1)</f>
        <v>0</v>
      </c>
      <c r="BB67" s="158" t="n">
        <f aca="false">(BB14=1)*Assumption!$E$251*Assumption!$C$55/1000000*(1+Assumption!$E$256)^(MAX(BB16,1)-1)</f>
        <v>0</v>
      </c>
      <c r="BC67" s="158" t="n">
        <f aca="false">(BC14=1)*Assumption!$E$251*Assumption!$C$55/1000000*(1+Assumption!$E$256)^(MAX(BC16,1)-1)</f>
        <v>0</v>
      </c>
      <c r="BD67" s="158" t="n">
        <f aca="false">(BD14=1)*Assumption!$E$251*Assumption!$C$55/1000000*(1+Assumption!$E$256)^(MAX(BD16,1)-1)</f>
        <v>0</v>
      </c>
      <c r="BE67" s="158" t="n">
        <f aca="false">(BE14=1)*Assumption!$E$251*Assumption!$C$55/1000000*(1+Assumption!$E$256)^(MAX(BE16,1)-1)</f>
        <v>0</v>
      </c>
      <c r="BF67" s="158" t="n">
        <f aca="false">(BF14=1)*Assumption!$E$251*Assumption!$C$55/1000000*(1+Assumption!$E$256)^(MAX(BF16,1)-1)</f>
        <v>0</v>
      </c>
      <c r="BG67" s="158" t="n">
        <f aca="false">(BG14=1)*Assumption!$E$251*Assumption!$C$55/1000000*(1+Assumption!$E$256)^(MAX(BG16,1)-1)</f>
        <v>0</v>
      </c>
      <c r="BH67" s="158" t="n">
        <f aca="false">(BH14=1)*Assumption!$E$251*Assumption!$C$55/1000000*(1+Assumption!$E$256)^(MAX(BH16,1)-1)</f>
        <v>0</v>
      </c>
      <c r="BI67" s="158" t="n">
        <f aca="false">(BI14=1)*Assumption!$E$251*Assumption!$C$55/1000000*(1+Assumption!$E$256)^(MAX(BI16,1)-1)</f>
        <v>0</v>
      </c>
      <c r="BJ67" s="158" t="n">
        <f aca="false">(BJ14=1)*Assumption!$E$251*Assumption!$C$55/1000000*(1+Assumption!$E$256)^(MAX(BJ16,1)-1)</f>
        <v>0</v>
      </c>
      <c r="BK67" s="158" t="n">
        <f aca="false">(BK14=1)*Assumption!$E$251*Assumption!$C$55/1000000*(1+Assumption!$E$256)^(MAX(BK16,1)-1)</f>
        <v>0</v>
      </c>
      <c r="BL67" s="158" t="n">
        <f aca="false">(BL14=1)*Assumption!$E$251*Assumption!$C$55/1000000*(1+Assumption!$E$256)^(MAX(BL16,1)-1)</f>
        <v>0</v>
      </c>
      <c r="BM67" s="158" t="n">
        <f aca="false">(BM14=1)*Assumption!$E$251*Assumption!$C$55/1000000*(1+Assumption!$E$256)^(MAX(BM16,1)-1)</f>
        <v>122.7171367125</v>
      </c>
      <c r="BN67" s="158" t="n">
        <f aca="false">(BN14=1)*Assumption!$E$251*Assumption!$C$55/1000000*(1+Assumption!$E$256)^(MAX(BN16,1)-1)</f>
        <v>122.7171367125</v>
      </c>
      <c r="BO67" s="158" t="n">
        <f aca="false">(BO14=1)*Assumption!$E$251*Assumption!$C$55/1000000*(1+Assumption!$E$256)^(MAX(BO16,1)-1)</f>
        <v>122.7171367125</v>
      </c>
      <c r="BP67" s="158" t="n">
        <f aca="false">(BP14=1)*Assumption!$E$251*Assumption!$C$55/1000000*(1+Assumption!$E$256)^(MAX(BP16,1)-1)</f>
        <v>122.7171367125</v>
      </c>
      <c r="BQ67" s="158" t="n">
        <f aca="false">(BQ14=1)*Assumption!$E$251*Assumption!$C$55/1000000*(1+Assumption!$E$256)^(MAX(BQ16,1)-1)</f>
        <v>122.7171367125</v>
      </c>
      <c r="BR67" s="158" t="n">
        <f aca="false">(BR14=1)*Assumption!$E$251*Assumption!$C$55/1000000*(1+Assumption!$E$256)^(MAX(BR16,1)-1)</f>
        <v>122.7171367125</v>
      </c>
      <c r="BS67" s="158" t="n">
        <f aca="false">(BS14=1)*Assumption!$E$251*Assumption!$C$55/1000000*(1+Assumption!$E$256)^(MAX(BS16,1)-1)</f>
        <v>122.7171367125</v>
      </c>
      <c r="BT67" s="158" t="n">
        <f aca="false">(BT14=1)*Assumption!$E$251*Assumption!$C$55/1000000*(1+Assumption!$E$256)^(MAX(BT16,1)-1)</f>
        <v>122.7171367125</v>
      </c>
      <c r="BU67" s="158" t="n">
        <f aca="false">(BU14=1)*Assumption!$E$251*Assumption!$C$55/1000000*(1+Assumption!$E$256)^(MAX(BU16,1)-1)</f>
        <v>122.7171367125</v>
      </c>
      <c r="BV67" s="158" t="n">
        <f aca="false">(BV14=1)*Assumption!$E$251*Assumption!$C$55/1000000*(1+Assumption!$E$256)^(MAX(BV16,1)-1)</f>
        <v>122.7171367125</v>
      </c>
      <c r="BW67" s="158" t="n">
        <f aca="false">(BW14=1)*Assumption!$E$251*Assumption!$C$55/1000000*(1+Assumption!$E$256)^(MAX(BW16,1)-1)</f>
        <v>122.7171367125</v>
      </c>
      <c r="BX67" s="158" t="n">
        <f aca="false">(BX14=1)*Assumption!$E$251*Assumption!$C$55/1000000*(1+Assumption!$E$256)^(MAX(BX16,1)-1)</f>
        <v>122.7171367125</v>
      </c>
      <c r="BY67" s="158" t="n">
        <f aca="false">(BY14=1)*Assumption!$E$251*Assumption!$C$55/1000000*(1+Assumption!$E$256)^(MAX(BY16,1)-1)</f>
        <v>125.17147944675</v>
      </c>
      <c r="BZ67" s="158" t="n">
        <f aca="false">(BZ14=1)*Assumption!$E$251*Assumption!$C$55/1000000*(1+Assumption!$E$256)^(MAX(BZ16,1)-1)</f>
        <v>125.17147944675</v>
      </c>
      <c r="CA67" s="158" t="n">
        <f aca="false">(CA14=1)*Assumption!$E$251*Assumption!$C$55/1000000*(1+Assumption!$E$256)^(MAX(CA16,1)-1)</f>
        <v>125.17147944675</v>
      </c>
      <c r="CB67" s="158" t="n">
        <f aca="false">(CB14=1)*Assumption!$E$251*Assumption!$C$55/1000000*(1+Assumption!$E$256)^(MAX(CB16,1)-1)</f>
        <v>125.17147944675</v>
      </c>
      <c r="CC67" s="158" t="n">
        <f aca="false">(CC14=1)*Assumption!$E$251*Assumption!$C$55/1000000*(1+Assumption!$E$256)^(MAX(CC16,1)-1)</f>
        <v>125.17147944675</v>
      </c>
      <c r="CD67" s="158" t="n">
        <f aca="false">(CD14=1)*Assumption!$E$251*Assumption!$C$55/1000000*(1+Assumption!$E$256)^(MAX(CD16,1)-1)</f>
        <v>125.17147944675</v>
      </c>
      <c r="CE67" s="158" t="n">
        <f aca="false">(CE14=1)*Assumption!$E$251*Assumption!$C$55/1000000*(1+Assumption!$E$256)^(MAX(CE16,1)-1)</f>
        <v>125.17147944675</v>
      </c>
      <c r="CF67" s="158" t="n">
        <f aca="false">(CF14=1)*Assumption!$E$251*Assumption!$C$55/1000000*(1+Assumption!$E$256)^(MAX(CF16,1)-1)</f>
        <v>125.17147944675</v>
      </c>
      <c r="CG67" s="158" t="n">
        <f aca="false">(CG14=1)*Assumption!$E$251*Assumption!$C$55/1000000*(1+Assumption!$E$256)^(MAX(CG16,1)-1)</f>
        <v>125.17147944675</v>
      </c>
      <c r="CH67" s="158" t="n">
        <f aca="false">(CH14=1)*Assumption!$E$251*Assumption!$C$55/1000000*(1+Assumption!$E$256)^(MAX(CH16,1)-1)</f>
        <v>125.17147944675</v>
      </c>
      <c r="CI67" s="158" t="n">
        <f aca="false">(CI14=1)*Assumption!$E$251*Assumption!$C$55/1000000*(1+Assumption!$E$256)^(MAX(CI16,1)-1)</f>
        <v>125.17147944675</v>
      </c>
      <c r="CJ67" s="158" t="n">
        <f aca="false">(CJ14=1)*Assumption!$E$251*Assumption!$C$55/1000000*(1+Assumption!$E$256)^(MAX(CJ16,1)-1)</f>
        <v>125.17147944675</v>
      </c>
      <c r="CK67" s="158" t="n">
        <f aca="false">(CK14=1)*Assumption!$E$251*Assumption!$C$55/1000000*(1+Assumption!$E$256)^(MAX(CK16,1)-1)</f>
        <v>127.674909035685</v>
      </c>
      <c r="CL67" s="158" t="n">
        <f aca="false">(CL14=1)*Assumption!$E$251*Assumption!$C$55/1000000*(1+Assumption!$E$256)^(MAX(CL16,1)-1)</f>
        <v>127.674909035685</v>
      </c>
      <c r="CM67" s="158" t="n">
        <f aca="false">(CM14=1)*Assumption!$E$251*Assumption!$C$55/1000000*(1+Assumption!$E$256)^(MAX(CM16,1)-1)</f>
        <v>127.674909035685</v>
      </c>
      <c r="CN67" s="158" t="n">
        <f aca="false">(CN14=1)*Assumption!$E$251*Assumption!$C$55/1000000*(1+Assumption!$E$256)^(MAX(CN16,1)-1)</f>
        <v>127.674909035685</v>
      </c>
      <c r="CO67" s="158" t="n">
        <f aca="false">(CO14=1)*Assumption!$E$251*Assumption!$C$55/1000000*(1+Assumption!$E$256)^(MAX(CO16,1)-1)</f>
        <v>127.674909035685</v>
      </c>
      <c r="CP67" s="158" t="n">
        <f aca="false">(CP14=1)*Assumption!$E$251*Assumption!$C$55/1000000*(1+Assumption!$E$256)^(MAX(CP16,1)-1)</f>
        <v>127.674909035685</v>
      </c>
      <c r="CQ67" s="158" t="n">
        <f aca="false">(CQ14=1)*Assumption!$E$251*Assumption!$C$55/1000000*(1+Assumption!$E$256)^(MAX(CQ16,1)-1)</f>
        <v>127.674909035685</v>
      </c>
      <c r="CR67" s="158" t="n">
        <f aca="false">(CR14=1)*Assumption!$E$251*Assumption!$C$55/1000000*(1+Assumption!$E$256)^(MAX(CR16,1)-1)</f>
        <v>127.674909035685</v>
      </c>
      <c r="CS67" s="158" t="n">
        <f aca="false">(CS14=1)*Assumption!$E$251*Assumption!$C$55/1000000*(1+Assumption!$E$256)^(MAX(CS16,1)-1)</f>
        <v>127.674909035685</v>
      </c>
      <c r="CT67" s="158" t="n">
        <f aca="false">(CT14=1)*Assumption!$E$251*Assumption!$C$55/1000000*(1+Assumption!$E$256)^(MAX(CT16,1)-1)</f>
        <v>127.674909035685</v>
      </c>
      <c r="CU67" s="158" t="n">
        <f aca="false">(CU14=1)*Assumption!$E$251*Assumption!$C$55/1000000*(1+Assumption!$E$256)^(MAX(CU16,1)-1)</f>
        <v>127.674909035685</v>
      </c>
      <c r="CV67" s="158" t="n">
        <f aca="false">(CV14=1)*Assumption!$E$251*Assumption!$C$55/1000000*(1+Assumption!$E$256)^(MAX(CV16,1)-1)</f>
        <v>127.674909035685</v>
      </c>
      <c r="CW67" s="158" t="n">
        <f aca="false">(CW14=1)*Assumption!$E$251*Assumption!$C$55/1000000*(1+Assumption!$E$256)^(MAX(CW16,1)-1)</f>
        <v>130.228407216399</v>
      </c>
      <c r="CX67" s="158" t="n">
        <f aca="false">(CX14=1)*Assumption!$E$251*Assumption!$C$55/1000000*(1+Assumption!$E$256)^(MAX(CX16,1)-1)</f>
        <v>130.228407216399</v>
      </c>
      <c r="CY67" s="158" t="n">
        <f aca="false">(CY14=1)*Assumption!$E$251*Assumption!$C$55/1000000*(1+Assumption!$E$256)^(MAX(CY16,1)-1)</f>
        <v>130.228407216399</v>
      </c>
      <c r="CZ67" s="158" t="n">
        <f aca="false">(CZ14=1)*Assumption!$E$251*Assumption!$C$55/1000000*(1+Assumption!$E$256)^(MAX(CZ16,1)-1)</f>
        <v>130.228407216399</v>
      </c>
      <c r="DA67" s="158" t="n">
        <f aca="false">(DA14=1)*Assumption!$E$251*Assumption!$C$55/1000000*(1+Assumption!$E$256)^(MAX(DA16,1)-1)</f>
        <v>130.228407216399</v>
      </c>
      <c r="DB67" s="158" t="n">
        <f aca="false">(DB14=1)*Assumption!$E$251*Assumption!$C$55/1000000*(1+Assumption!$E$256)^(MAX(DB16,1)-1)</f>
        <v>130.228407216399</v>
      </c>
      <c r="DC67" s="158" t="n">
        <f aca="false">(DC14=1)*Assumption!$E$251*Assumption!$C$55/1000000*(1+Assumption!$E$256)^(MAX(DC16,1)-1)</f>
        <v>130.228407216399</v>
      </c>
      <c r="DD67" s="158" t="n">
        <f aca="false">(DD14=1)*Assumption!$E$251*Assumption!$C$55/1000000*(1+Assumption!$E$256)^(MAX(DD16,1)-1)</f>
        <v>130.228407216399</v>
      </c>
      <c r="DE67" s="158" t="n">
        <f aca="false">(DE14=1)*Assumption!$E$251*Assumption!$C$55/1000000*(1+Assumption!$E$256)^(MAX(DE16,1)-1)</f>
        <v>130.228407216399</v>
      </c>
      <c r="DF67" s="158" t="n">
        <f aca="false">(DF14=1)*Assumption!$E$251*Assumption!$C$55/1000000*(1+Assumption!$E$256)^(MAX(DF16,1)-1)</f>
        <v>130.228407216399</v>
      </c>
      <c r="DG67" s="158" t="n">
        <f aca="false">(DG14=1)*Assumption!$E$251*Assumption!$C$55/1000000*(1+Assumption!$E$256)^(MAX(DG16,1)-1)</f>
        <v>130.228407216399</v>
      </c>
      <c r="DH67" s="158" t="n">
        <f aca="false">(DH14=1)*Assumption!$E$251*Assumption!$C$55/1000000*(1+Assumption!$E$256)^(MAX(DH16,1)-1)</f>
        <v>130.228407216399</v>
      </c>
      <c r="DI67" s="158" t="n">
        <f aca="false">(DI14=1)*Assumption!$E$251*Assumption!$C$55/1000000*(1+Assumption!$E$256)^(MAX(DI16,1)-1)</f>
        <v>132.832975360727</v>
      </c>
      <c r="DJ67" s="158" t="n">
        <f aca="false">(DJ14=1)*Assumption!$E$251*Assumption!$C$55/1000000*(1+Assumption!$E$256)^(MAX(DJ16,1)-1)</f>
        <v>132.832975360727</v>
      </c>
      <c r="DK67" s="158" t="n">
        <f aca="false">(DK14=1)*Assumption!$E$251*Assumption!$C$55/1000000*(1+Assumption!$E$256)^(MAX(DK16,1)-1)</f>
        <v>132.832975360727</v>
      </c>
      <c r="DL67" s="158" t="n">
        <f aca="false">(DL14=1)*Assumption!$E$251*Assumption!$C$55/1000000*(1+Assumption!$E$256)^(MAX(DL16,1)-1)</f>
        <v>132.832975360727</v>
      </c>
      <c r="DM67" s="158" t="n">
        <f aca="false">(DM14=1)*Assumption!$E$251*Assumption!$C$55/1000000*(1+Assumption!$E$256)^(MAX(DM16,1)-1)</f>
        <v>132.832975360727</v>
      </c>
      <c r="DN67" s="158" t="n">
        <f aca="false">(DN14=1)*Assumption!$E$251*Assumption!$C$55/1000000*(1+Assumption!$E$256)^(MAX(DN16,1)-1)</f>
        <v>132.832975360727</v>
      </c>
      <c r="DO67" s="158" t="n">
        <f aca="false">(DO14=1)*Assumption!$E$251*Assumption!$C$55/1000000*(1+Assumption!$E$256)^(MAX(DO16,1)-1)</f>
        <v>132.832975360727</v>
      </c>
      <c r="DP67" s="158" t="n">
        <f aca="false">(DP14=1)*Assumption!$E$251*Assumption!$C$55/1000000*(1+Assumption!$E$256)^(MAX(DP16,1)-1)</f>
        <v>132.832975360727</v>
      </c>
      <c r="DQ67" s="158" t="n">
        <f aca="false">(DQ14=1)*Assumption!$E$251*Assumption!$C$55/1000000*(1+Assumption!$E$256)^(MAX(DQ16,1)-1)</f>
        <v>132.832975360727</v>
      </c>
      <c r="DR67" s="158" t="n">
        <f aca="false">(DR14=1)*Assumption!$E$251*Assumption!$C$55/1000000*(1+Assumption!$E$256)^(MAX(DR16,1)-1)</f>
        <v>132.832975360727</v>
      </c>
      <c r="DS67" s="158" t="n">
        <f aca="false">(DS14=1)*Assumption!$E$251*Assumption!$C$55/1000000*(1+Assumption!$E$256)^(MAX(DS16,1)-1)</f>
        <v>132.832975360727</v>
      </c>
      <c r="DT67" s="158" t="n">
        <f aca="false">(DT14=1)*Assumption!$E$251*Assumption!$C$55/1000000*(1+Assumption!$E$256)^(MAX(DT16,1)-1)</f>
        <v>132.832975360727</v>
      </c>
      <c r="DU67" s="158" t="n">
        <f aca="false">(DU14=1)*Assumption!$E$251*Assumption!$C$55/1000000*(1+Assumption!$E$256)^(MAX(DU16,1)-1)</f>
        <v>0</v>
      </c>
      <c r="DV67" s="158" t="n">
        <f aca="false">(DV14=1)*Assumption!$E$251*Assumption!$C$55/1000000*(1+Assumption!$E$256)^(MAX(DV16,1)-1)</f>
        <v>0</v>
      </c>
      <c r="DW67" s="158" t="n">
        <f aca="false">(DW14=1)*Assumption!$E$251*Assumption!$C$55/1000000*(1+Assumption!$E$256)^(MAX(DW16,1)-1)</f>
        <v>0</v>
      </c>
      <c r="DX67" s="158" t="n">
        <f aca="false">(DX14=1)*Assumption!$E$251*Assumption!$C$55/1000000*(1+Assumption!$E$256)^(MAX(DX16,1)-1)</f>
        <v>0</v>
      </c>
      <c r="DY67" s="158" t="n">
        <f aca="false">(DY14=1)*Assumption!$E$251*Assumption!$C$55/1000000*(1+Assumption!$E$256)^(MAX(DY16,1)-1)</f>
        <v>0</v>
      </c>
      <c r="DZ67" s="158" t="n">
        <f aca="false">(DZ14=1)*Assumption!$E$251*Assumption!$C$55/1000000*(1+Assumption!$E$256)^(MAX(DZ16,1)-1)</f>
        <v>0</v>
      </c>
      <c r="EA67" s="158" t="n">
        <f aca="false">(EA14=1)*Assumption!$E$251*Assumption!$C$55/1000000*(1+Assumption!$E$256)^(MAX(EA16,1)-1)</f>
        <v>0</v>
      </c>
      <c r="EB67" s="158" t="n">
        <f aca="false">(EB14=1)*Assumption!$E$251*Assumption!$C$55/1000000*(1+Assumption!$E$256)^(MAX(EB16,1)-1)</f>
        <v>0</v>
      </c>
      <c r="EC67" s="158" t="n">
        <f aca="false">(EC14=1)*Assumption!$E$251*Assumption!$C$55/1000000*(1+Assumption!$E$256)^(MAX(EC16,1)-1)</f>
        <v>0</v>
      </c>
      <c r="ED67" s="158" t="n">
        <f aca="false">(ED14=1)*Assumption!$E$251*Assumption!$C$55/1000000*(1+Assumption!$E$256)^(MAX(ED16,1)-1)</f>
        <v>0</v>
      </c>
      <c r="EE67" s="158" t="n">
        <f aca="false">(EE14=1)*Assumption!$E$251*Assumption!$C$55/1000000*(1+Assumption!$E$256)^(MAX(EE16,1)-1)</f>
        <v>0</v>
      </c>
      <c r="EF67" s="158" t="n">
        <f aca="false">(EF14=1)*Assumption!$E$251*Assumption!$C$55/1000000*(1+Assumption!$E$256)^(MAX(EF16,1)-1)</f>
        <v>0</v>
      </c>
    </row>
    <row r="68" customFormat="false" ht="15" hidden="false" customHeight="false" outlineLevel="0" collapsed="false">
      <c r="A68" s="35" t="s">
        <v>531</v>
      </c>
      <c r="B68" s="241" t="s">
        <v>116</v>
      </c>
      <c r="C68" s="242" t="n">
        <f aca="false">SUM(E68:EF68)</f>
        <v>7663.49889326473</v>
      </c>
      <c r="E68" s="158" t="n">
        <f aca="false">(E14=1)*Assumption!$E$252*Assumption!$C$55/1000000*(1+Assumption!$E$256)^(MAX(E16,1)-1)</f>
        <v>0</v>
      </c>
      <c r="F68" s="158" t="n">
        <f aca="false">(F14=1)*Assumption!$E$252*Assumption!$C$55/1000000*(1+Assumption!$E$256)^(MAX(F16,1)-1)</f>
        <v>0</v>
      </c>
      <c r="G68" s="158" t="n">
        <f aca="false">(G14=1)*Assumption!$E$252*Assumption!$C$55/1000000*(1+Assumption!$E$256)^(MAX(G16,1)-1)</f>
        <v>0</v>
      </c>
      <c r="H68" s="158" t="n">
        <f aca="false">(H14=1)*Assumption!$E$252*Assumption!$C$55/1000000*(1+Assumption!$E$256)^(MAX(H16,1)-1)</f>
        <v>0</v>
      </c>
      <c r="I68" s="158" t="n">
        <f aca="false">(I14=1)*Assumption!$E$252*Assumption!$C$55/1000000*(1+Assumption!$E$256)^(MAX(I16,1)-1)</f>
        <v>0</v>
      </c>
      <c r="J68" s="158" t="n">
        <f aca="false">(J14=1)*Assumption!$E$252*Assumption!$C$55/1000000*(1+Assumption!$E$256)^(MAX(J16,1)-1)</f>
        <v>0</v>
      </c>
      <c r="K68" s="158" t="n">
        <f aca="false">(K14=1)*Assumption!$E$252*Assumption!$C$55/1000000*(1+Assumption!$E$256)^(MAX(K16,1)-1)</f>
        <v>0</v>
      </c>
      <c r="L68" s="158" t="n">
        <f aca="false">(L14=1)*Assumption!$E$252*Assumption!$C$55/1000000*(1+Assumption!$E$256)^(MAX(L16,1)-1)</f>
        <v>0</v>
      </c>
      <c r="M68" s="158" t="n">
        <f aca="false">(M14=1)*Assumption!$E$252*Assumption!$C$55/1000000*(1+Assumption!$E$256)^(MAX(M16,1)-1)</f>
        <v>0</v>
      </c>
      <c r="N68" s="158" t="n">
        <f aca="false">(N14=1)*Assumption!$E$252*Assumption!$C$55/1000000*(1+Assumption!$E$256)^(MAX(N16,1)-1)</f>
        <v>0</v>
      </c>
      <c r="O68" s="158" t="n">
        <f aca="false">(O14=1)*Assumption!$E$252*Assumption!$C$55/1000000*(1+Assumption!$E$256)^(MAX(O16,1)-1)</f>
        <v>0</v>
      </c>
      <c r="P68" s="158" t="n">
        <f aca="false">(P14=1)*Assumption!$E$252*Assumption!$C$55/1000000*(1+Assumption!$E$256)^(MAX(P16,1)-1)</f>
        <v>0</v>
      </c>
      <c r="Q68" s="158" t="n">
        <f aca="false">(Q14=1)*Assumption!$E$252*Assumption!$C$55/1000000*(1+Assumption!$E$256)^(MAX(Q16,1)-1)</f>
        <v>0</v>
      </c>
      <c r="R68" s="158" t="n">
        <f aca="false">(R14=1)*Assumption!$E$252*Assumption!$C$55/1000000*(1+Assumption!$E$256)^(MAX(R16,1)-1)</f>
        <v>0</v>
      </c>
      <c r="S68" s="158" t="n">
        <f aca="false">(S14=1)*Assumption!$E$252*Assumption!$C$55/1000000*(1+Assumption!$E$256)^(MAX(S16,1)-1)</f>
        <v>0</v>
      </c>
      <c r="T68" s="158" t="n">
        <f aca="false">(T14=1)*Assumption!$E$252*Assumption!$C$55/1000000*(1+Assumption!$E$256)^(MAX(T16,1)-1)</f>
        <v>0</v>
      </c>
      <c r="U68" s="158" t="n">
        <f aca="false">(U14=1)*Assumption!$E$252*Assumption!$C$55/1000000*(1+Assumption!$E$256)^(MAX(U16,1)-1)</f>
        <v>0</v>
      </c>
      <c r="V68" s="158" t="n">
        <f aca="false">(V14=1)*Assumption!$E$252*Assumption!$C$55/1000000*(1+Assumption!$E$256)^(MAX(V16,1)-1)</f>
        <v>0</v>
      </c>
      <c r="W68" s="158" t="n">
        <f aca="false">(W14=1)*Assumption!$E$252*Assumption!$C$55/1000000*(1+Assumption!$E$256)^(MAX(W16,1)-1)</f>
        <v>0</v>
      </c>
      <c r="X68" s="158" t="n">
        <f aca="false">(X14=1)*Assumption!$E$252*Assumption!$C$55/1000000*(1+Assumption!$E$256)^(MAX(X16,1)-1)</f>
        <v>0</v>
      </c>
      <c r="Y68" s="158" t="n">
        <f aca="false">(Y14=1)*Assumption!$E$252*Assumption!$C$55/1000000*(1+Assumption!$E$256)^(MAX(Y16,1)-1)</f>
        <v>0</v>
      </c>
      <c r="Z68" s="158" t="n">
        <f aca="false">(Z14=1)*Assumption!$E$252*Assumption!$C$55/1000000*(1+Assumption!$E$256)^(MAX(Z16,1)-1)</f>
        <v>0</v>
      </c>
      <c r="AA68" s="158" t="n">
        <f aca="false">(AA14=1)*Assumption!$E$252*Assumption!$C$55/1000000*(1+Assumption!$E$256)^(MAX(AA16,1)-1)</f>
        <v>0</v>
      </c>
      <c r="AB68" s="158" t="n">
        <f aca="false">(AB14=1)*Assumption!$E$252*Assumption!$C$55/1000000*(1+Assumption!$E$256)^(MAX(AB16,1)-1)</f>
        <v>0</v>
      </c>
      <c r="AC68" s="158" t="n">
        <f aca="false">(AC14=1)*Assumption!$E$252*Assumption!$C$55/1000000*(1+Assumption!$E$256)^(MAX(AC16,1)-1)</f>
        <v>0</v>
      </c>
      <c r="AD68" s="158" t="n">
        <f aca="false">(AD14=1)*Assumption!$E$252*Assumption!$C$55/1000000*(1+Assumption!$E$256)^(MAX(AD16,1)-1)</f>
        <v>0</v>
      </c>
      <c r="AE68" s="158" t="n">
        <f aca="false">(AE14=1)*Assumption!$E$252*Assumption!$C$55/1000000*(1+Assumption!$E$256)^(MAX(AE16,1)-1)</f>
        <v>0</v>
      </c>
      <c r="AF68" s="158" t="n">
        <f aca="false">(AF14=1)*Assumption!$E$252*Assumption!$C$55/1000000*(1+Assumption!$E$256)^(MAX(AF16,1)-1)</f>
        <v>0</v>
      </c>
      <c r="AG68" s="158" t="n">
        <f aca="false">(AG14=1)*Assumption!$E$252*Assumption!$C$55/1000000*(1+Assumption!$E$256)^(MAX(AG16,1)-1)</f>
        <v>0</v>
      </c>
      <c r="AH68" s="158" t="n">
        <f aca="false">(AH14=1)*Assumption!$E$252*Assumption!$C$55/1000000*(1+Assumption!$E$256)^(MAX(AH16,1)-1)</f>
        <v>0</v>
      </c>
      <c r="AI68" s="158" t="n">
        <f aca="false">(AI14=1)*Assumption!$E$252*Assumption!$C$55/1000000*(1+Assumption!$E$256)^(MAX(AI16,1)-1)</f>
        <v>0</v>
      </c>
      <c r="AJ68" s="158" t="n">
        <f aca="false">(AJ14=1)*Assumption!$E$252*Assumption!$C$55/1000000*(1+Assumption!$E$256)^(MAX(AJ16,1)-1)</f>
        <v>0</v>
      </c>
      <c r="AK68" s="158" t="n">
        <f aca="false">(AK14=1)*Assumption!$E$252*Assumption!$C$55/1000000*(1+Assumption!$E$256)^(MAX(AK16,1)-1)</f>
        <v>0</v>
      </c>
      <c r="AL68" s="158" t="n">
        <f aca="false">(AL14=1)*Assumption!$E$252*Assumption!$C$55/1000000*(1+Assumption!$E$256)^(MAX(AL16,1)-1)</f>
        <v>0</v>
      </c>
      <c r="AM68" s="158" t="n">
        <f aca="false">(AM14=1)*Assumption!$E$252*Assumption!$C$55/1000000*(1+Assumption!$E$256)^(MAX(AM16,1)-1)</f>
        <v>0</v>
      </c>
      <c r="AN68" s="158" t="n">
        <f aca="false">(AN14=1)*Assumption!$E$252*Assumption!$C$55/1000000*(1+Assumption!$E$256)^(MAX(AN16,1)-1)</f>
        <v>0</v>
      </c>
      <c r="AO68" s="158" t="n">
        <f aca="false">(AO14=1)*Assumption!$E$252*Assumption!$C$55/1000000*(1+Assumption!$E$256)^(MAX(AO16,1)-1)</f>
        <v>0</v>
      </c>
      <c r="AP68" s="158" t="n">
        <f aca="false">(AP14=1)*Assumption!$E$252*Assumption!$C$55/1000000*(1+Assumption!$E$256)^(MAX(AP16,1)-1)</f>
        <v>0</v>
      </c>
      <c r="AQ68" s="158" t="n">
        <f aca="false">(AQ14=1)*Assumption!$E$252*Assumption!$C$55/1000000*(1+Assumption!$E$256)^(MAX(AQ16,1)-1)</f>
        <v>0</v>
      </c>
      <c r="AR68" s="158" t="n">
        <f aca="false">(AR14=1)*Assumption!$E$252*Assumption!$C$55/1000000*(1+Assumption!$E$256)^(MAX(AR16,1)-1)</f>
        <v>0</v>
      </c>
      <c r="AS68" s="158" t="n">
        <f aca="false">(AS14=1)*Assumption!$E$252*Assumption!$C$55/1000000*(1+Assumption!$E$256)^(MAX(AS16,1)-1)</f>
        <v>0</v>
      </c>
      <c r="AT68" s="158" t="n">
        <f aca="false">(AT14=1)*Assumption!$E$252*Assumption!$C$55/1000000*(1+Assumption!$E$256)^(MAX(AT16,1)-1)</f>
        <v>0</v>
      </c>
      <c r="AU68" s="158" t="n">
        <f aca="false">(AU14=1)*Assumption!$E$252*Assumption!$C$55/1000000*(1+Assumption!$E$256)^(MAX(AU16,1)-1)</f>
        <v>0</v>
      </c>
      <c r="AV68" s="158" t="n">
        <f aca="false">(AV14=1)*Assumption!$E$252*Assumption!$C$55/1000000*(1+Assumption!$E$256)^(MAX(AV16,1)-1)</f>
        <v>0</v>
      </c>
      <c r="AW68" s="158" t="n">
        <f aca="false">(AW14=1)*Assumption!$E$252*Assumption!$C$55/1000000*(1+Assumption!$E$256)^(MAX(AW16,1)-1)</f>
        <v>0</v>
      </c>
      <c r="AX68" s="158" t="n">
        <f aca="false">(AX14=1)*Assumption!$E$252*Assumption!$C$55/1000000*(1+Assumption!$E$256)^(MAX(AX16,1)-1)</f>
        <v>0</v>
      </c>
      <c r="AY68" s="158" t="n">
        <f aca="false">(AY14=1)*Assumption!$E$252*Assumption!$C$55/1000000*(1+Assumption!$E$256)^(MAX(AY16,1)-1)</f>
        <v>0</v>
      </c>
      <c r="AZ68" s="158" t="n">
        <f aca="false">(AZ14=1)*Assumption!$E$252*Assumption!$C$55/1000000*(1+Assumption!$E$256)^(MAX(AZ16,1)-1)</f>
        <v>0</v>
      </c>
      <c r="BA68" s="158" t="n">
        <f aca="false">(BA14=1)*Assumption!$E$252*Assumption!$C$55/1000000*(1+Assumption!$E$256)^(MAX(BA16,1)-1)</f>
        <v>0</v>
      </c>
      <c r="BB68" s="158" t="n">
        <f aca="false">(BB14=1)*Assumption!$E$252*Assumption!$C$55/1000000*(1+Assumption!$E$256)^(MAX(BB16,1)-1)</f>
        <v>0</v>
      </c>
      <c r="BC68" s="158" t="n">
        <f aca="false">(BC14=1)*Assumption!$E$252*Assumption!$C$55/1000000*(1+Assumption!$E$256)^(MAX(BC16,1)-1)</f>
        <v>0</v>
      </c>
      <c r="BD68" s="158" t="n">
        <f aca="false">(BD14=1)*Assumption!$E$252*Assumption!$C$55/1000000*(1+Assumption!$E$256)^(MAX(BD16,1)-1)</f>
        <v>0</v>
      </c>
      <c r="BE68" s="158" t="n">
        <f aca="false">(BE14=1)*Assumption!$E$252*Assumption!$C$55/1000000*(1+Assumption!$E$256)^(MAX(BE16,1)-1)</f>
        <v>0</v>
      </c>
      <c r="BF68" s="158" t="n">
        <f aca="false">(BF14=1)*Assumption!$E$252*Assumption!$C$55/1000000*(1+Assumption!$E$256)^(MAX(BF16,1)-1)</f>
        <v>0</v>
      </c>
      <c r="BG68" s="158" t="n">
        <f aca="false">(BG14=1)*Assumption!$E$252*Assumption!$C$55/1000000*(1+Assumption!$E$256)^(MAX(BG16,1)-1)</f>
        <v>0</v>
      </c>
      <c r="BH68" s="158" t="n">
        <f aca="false">(BH14=1)*Assumption!$E$252*Assumption!$C$55/1000000*(1+Assumption!$E$256)^(MAX(BH16,1)-1)</f>
        <v>0</v>
      </c>
      <c r="BI68" s="158" t="n">
        <f aca="false">(BI14=1)*Assumption!$E$252*Assumption!$C$55/1000000*(1+Assumption!$E$256)^(MAX(BI16,1)-1)</f>
        <v>0</v>
      </c>
      <c r="BJ68" s="158" t="n">
        <f aca="false">(BJ14=1)*Assumption!$E$252*Assumption!$C$55/1000000*(1+Assumption!$E$256)^(MAX(BJ16,1)-1)</f>
        <v>0</v>
      </c>
      <c r="BK68" s="158" t="n">
        <f aca="false">(BK14=1)*Assumption!$E$252*Assumption!$C$55/1000000*(1+Assumption!$E$256)^(MAX(BK16,1)-1)</f>
        <v>0</v>
      </c>
      <c r="BL68" s="158" t="n">
        <f aca="false">(BL14=1)*Assumption!$E$252*Assumption!$C$55/1000000*(1+Assumption!$E$256)^(MAX(BL16,1)-1)</f>
        <v>0</v>
      </c>
      <c r="BM68" s="158" t="n">
        <f aca="false">(BM14=1)*Assumption!$E$252*Assumption!$C$55/1000000*(1+Assumption!$E$256)^(MAX(BM16,1)-1)</f>
        <v>122.7171367125</v>
      </c>
      <c r="BN68" s="158" t="n">
        <f aca="false">(BN14=1)*Assumption!$E$252*Assumption!$C$55/1000000*(1+Assumption!$E$256)^(MAX(BN16,1)-1)</f>
        <v>122.7171367125</v>
      </c>
      <c r="BO68" s="158" t="n">
        <f aca="false">(BO14=1)*Assumption!$E$252*Assumption!$C$55/1000000*(1+Assumption!$E$256)^(MAX(BO16,1)-1)</f>
        <v>122.7171367125</v>
      </c>
      <c r="BP68" s="158" t="n">
        <f aca="false">(BP14=1)*Assumption!$E$252*Assumption!$C$55/1000000*(1+Assumption!$E$256)^(MAX(BP16,1)-1)</f>
        <v>122.7171367125</v>
      </c>
      <c r="BQ68" s="158" t="n">
        <f aca="false">(BQ14=1)*Assumption!$E$252*Assumption!$C$55/1000000*(1+Assumption!$E$256)^(MAX(BQ16,1)-1)</f>
        <v>122.7171367125</v>
      </c>
      <c r="BR68" s="158" t="n">
        <f aca="false">(BR14=1)*Assumption!$E$252*Assumption!$C$55/1000000*(1+Assumption!$E$256)^(MAX(BR16,1)-1)</f>
        <v>122.7171367125</v>
      </c>
      <c r="BS68" s="158" t="n">
        <f aca="false">(BS14=1)*Assumption!$E$252*Assumption!$C$55/1000000*(1+Assumption!$E$256)^(MAX(BS16,1)-1)</f>
        <v>122.7171367125</v>
      </c>
      <c r="BT68" s="158" t="n">
        <f aca="false">(BT14=1)*Assumption!$E$252*Assumption!$C$55/1000000*(1+Assumption!$E$256)^(MAX(BT16,1)-1)</f>
        <v>122.7171367125</v>
      </c>
      <c r="BU68" s="158" t="n">
        <f aca="false">(BU14=1)*Assumption!$E$252*Assumption!$C$55/1000000*(1+Assumption!$E$256)^(MAX(BU16,1)-1)</f>
        <v>122.7171367125</v>
      </c>
      <c r="BV68" s="158" t="n">
        <f aca="false">(BV14=1)*Assumption!$E$252*Assumption!$C$55/1000000*(1+Assumption!$E$256)^(MAX(BV16,1)-1)</f>
        <v>122.7171367125</v>
      </c>
      <c r="BW68" s="158" t="n">
        <f aca="false">(BW14=1)*Assumption!$E$252*Assumption!$C$55/1000000*(1+Assumption!$E$256)^(MAX(BW16,1)-1)</f>
        <v>122.7171367125</v>
      </c>
      <c r="BX68" s="158" t="n">
        <f aca="false">(BX14=1)*Assumption!$E$252*Assumption!$C$55/1000000*(1+Assumption!$E$256)^(MAX(BX16,1)-1)</f>
        <v>122.7171367125</v>
      </c>
      <c r="BY68" s="158" t="n">
        <f aca="false">(BY14=1)*Assumption!$E$252*Assumption!$C$55/1000000*(1+Assumption!$E$256)^(MAX(BY16,1)-1)</f>
        <v>125.17147944675</v>
      </c>
      <c r="BZ68" s="158" t="n">
        <f aca="false">(BZ14=1)*Assumption!$E$252*Assumption!$C$55/1000000*(1+Assumption!$E$256)^(MAX(BZ16,1)-1)</f>
        <v>125.17147944675</v>
      </c>
      <c r="CA68" s="158" t="n">
        <f aca="false">(CA14=1)*Assumption!$E$252*Assumption!$C$55/1000000*(1+Assumption!$E$256)^(MAX(CA16,1)-1)</f>
        <v>125.17147944675</v>
      </c>
      <c r="CB68" s="158" t="n">
        <f aca="false">(CB14=1)*Assumption!$E$252*Assumption!$C$55/1000000*(1+Assumption!$E$256)^(MAX(CB16,1)-1)</f>
        <v>125.17147944675</v>
      </c>
      <c r="CC68" s="158" t="n">
        <f aca="false">(CC14=1)*Assumption!$E$252*Assumption!$C$55/1000000*(1+Assumption!$E$256)^(MAX(CC16,1)-1)</f>
        <v>125.17147944675</v>
      </c>
      <c r="CD68" s="158" t="n">
        <f aca="false">(CD14=1)*Assumption!$E$252*Assumption!$C$55/1000000*(1+Assumption!$E$256)^(MAX(CD16,1)-1)</f>
        <v>125.17147944675</v>
      </c>
      <c r="CE68" s="158" t="n">
        <f aca="false">(CE14=1)*Assumption!$E$252*Assumption!$C$55/1000000*(1+Assumption!$E$256)^(MAX(CE16,1)-1)</f>
        <v>125.17147944675</v>
      </c>
      <c r="CF68" s="158" t="n">
        <f aca="false">(CF14=1)*Assumption!$E$252*Assumption!$C$55/1000000*(1+Assumption!$E$256)^(MAX(CF16,1)-1)</f>
        <v>125.17147944675</v>
      </c>
      <c r="CG68" s="158" t="n">
        <f aca="false">(CG14=1)*Assumption!$E$252*Assumption!$C$55/1000000*(1+Assumption!$E$256)^(MAX(CG16,1)-1)</f>
        <v>125.17147944675</v>
      </c>
      <c r="CH68" s="158" t="n">
        <f aca="false">(CH14=1)*Assumption!$E$252*Assumption!$C$55/1000000*(1+Assumption!$E$256)^(MAX(CH16,1)-1)</f>
        <v>125.17147944675</v>
      </c>
      <c r="CI68" s="158" t="n">
        <f aca="false">(CI14=1)*Assumption!$E$252*Assumption!$C$55/1000000*(1+Assumption!$E$256)^(MAX(CI16,1)-1)</f>
        <v>125.17147944675</v>
      </c>
      <c r="CJ68" s="158" t="n">
        <f aca="false">(CJ14=1)*Assumption!$E$252*Assumption!$C$55/1000000*(1+Assumption!$E$256)^(MAX(CJ16,1)-1)</f>
        <v>125.17147944675</v>
      </c>
      <c r="CK68" s="158" t="n">
        <f aca="false">(CK14=1)*Assumption!$E$252*Assumption!$C$55/1000000*(1+Assumption!$E$256)^(MAX(CK16,1)-1)</f>
        <v>127.674909035685</v>
      </c>
      <c r="CL68" s="158" t="n">
        <f aca="false">(CL14=1)*Assumption!$E$252*Assumption!$C$55/1000000*(1+Assumption!$E$256)^(MAX(CL16,1)-1)</f>
        <v>127.674909035685</v>
      </c>
      <c r="CM68" s="158" t="n">
        <f aca="false">(CM14=1)*Assumption!$E$252*Assumption!$C$55/1000000*(1+Assumption!$E$256)^(MAX(CM16,1)-1)</f>
        <v>127.674909035685</v>
      </c>
      <c r="CN68" s="158" t="n">
        <f aca="false">(CN14=1)*Assumption!$E$252*Assumption!$C$55/1000000*(1+Assumption!$E$256)^(MAX(CN16,1)-1)</f>
        <v>127.674909035685</v>
      </c>
      <c r="CO68" s="158" t="n">
        <f aca="false">(CO14=1)*Assumption!$E$252*Assumption!$C$55/1000000*(1+Assumption!$E$256)^(MAX(CO16,1)-1)</f>
        <v>127.674909035685</v>
      </c>
      <c r="CP68" s="158" t="n">
        <f aca="false">(CP14=1)*Assumption!$E$252*Assumption!$C$55/1000000*(1+Assumption!$E$256)^(MAX(CP16,1)-1)</f>
        <v>127.674909035685</v>
      </c>
      <c r="CQ68" s="158" t="n">
        <f aca="false">(CQ14=1)*Assumption!$E$252*Assumption!$C$55/1000000*(1+Assumption!$E$256)^(MAX(CQ16,1)-1)</f>
        <v>127.674909035685</v>
      </c>
      <c r="CR68" s="158" t="n">
        <f aca="false">(CR14=1)*Assumption!$E$252*Assumption!$C$55/1000000*(1+Assumption!$E$256)^(MAX(CR16,1)-1)</f>
        <v>127.674909035685</v>
      </c>
      <c r="CS68" s="158" t="n">
        <f aca="false">(CS14=1)*Assumption!$E$252*Assumption!$C$55/1000000*(1+Assumption!$E$256)^(MAX(CS16,1)-1)</f>
        <v>127.674909035685</v>
      </c>
      <c r="CT68" s="158" t="n">
        <f aca="false">(CT14=1)*Assumption!$E$252*Assumption!$C$55/1000000*(1+Assumption!$E$256)^(MAX(CT16,1)-1)</f>
        <v>127.674909035685</v>
      </c>
      <c r="CU68" s="158" t="n">
        <f aca="false">(CU14=1)*Assumption!$E$252*Assumption!$C$55/1000000*(1+Assumption!$E$256)^(MAX(CU16,1)-1)</f>
        <v>127.674909035685</v>
      </c>
      <c r="CV68" s="158" t="n">
        <f aca="false">(CV14=1)*Assumption!$E$252*Assumption!$C$55/1000000*(1+Assumption!$E$256)^(MAX(CV16,1)-1)</f>
        <v>127.674909035685</v>
      </c>
      <c r="CW68" s="158" t="n">
        <f aca="false">(CW14=1)*Assumption!$E$252*Assumption!$C$55/1000000*(1+Assumption!$E$256)^(MAX(CW16,1)-1)</f>
        <v>130.228407216399</v>
      </c>
      <c r="CX68" s="158" t="n">
        <f aca="false">(CX14=1)*Assumption!$E$252*Assumption!$C$55/1000000*(1+Assumption!$E$256)^(MAX(CX16,1)-1)</f>
        <v>130.228407216399</v>
      </c>
      <c r="CY68" s="158" t="n">
        <f aca="false">(CY14=1)*Assumption!$E$252*Assumption!$C$55/1000000*(1+Assumption!$E$256)^(MAX(CY16,1)-1)</f>
        <v>130.228407216399</v>
      </c>
      <c r="CZ68" s="158" t="n">
        <f aca="false">(CZ14=1)*Assumption!$E$252*Assumption!$C$55/1000000*(1+Assumption!$E$256)^(MAX(CZ16,1)-1)</f>
        <v>130.228407216399</v>
      </c>
      <c r="DA68" s="158" t="n">
        <f aca="false">(DA14=1)*Assumption!$E$252*Assumption!$C$55/1000000*(1+Assumption!$E$256)^(MAX(DA16,1)-1)</f>
        <v>130.228407216399</v>
      </c>
      <c r="DB68" s="158" t="n">
        <f aca="false">(DB14=1)*Assumption!$E$252*Assumption!$C$55/1000000*(1+Assumption!$E$256)^(MAX(DB16,1)-1)</f>
        <v>130.228407216399</v>
      </c>
      <c r="DC68" s="158" t="n">
        <f aca="false">(DC14=1)*Assumption!$E$252*Assumption!$C$55/1000000*(1+Assumption!$E$256)^(MAX(DC16,1)-1)</f>
        <v>130.228407216399</v>
      </c>
      <c r="DD68" s="158" t="n">
        <f aca="false">(DD14=1)*Assumption!$E$252*Assumption!$C$55/1000000*(1+Assumption!$E$256)^(MAX(DD16,1)-1)</f>
        <v>130.228407216399</v>
      </c>
      <c r="DE68" s="158" t="n">
        <f aca="false">(DE14=1)*Assumption!$E$252*Assumption!$C$55/1000000*(1+Assumption!$E$256)^(MAX(DE16,1)-1)</f>
        <v>130.228407216399</v>
      </c>
      <c r="DF68" s="158" t="n">
        <f aca="false">(DF14=1)*Assumption!$E$252*Assumption!$C$55/1000000*(1+Assumption!$E$256)^(MAX(DF16,1)-1)</f>
        <v>130.228407216399</v>
      </c>
      <c r="DG68" s="158" t="n">
        <f aca="false">(DG14=1)*Assumption!$E$252*Assumption!$C$55/1000000*(1+Assumption!$E$256)^(MAX(DG16,1)-1)</f>
        <v>130.228407216399</v>
      </c>
      <c r="DH68" s="158" t="n">
        <f aca="false">(DH14=1)*Assumption!$E$252*Assumption!$C$55/1000000*(1+Assumption!$E$256)^(MAX(DH16,1)-1)</f>
        <v>130.228407216399</v>
      </c>
      <c r="DI68" s="158" t="n">
        <f aca="false">(DI14=1)*Assumption!$E$252*Assumption!$C$55/1000000*(1+Assumption!$E$256)^(MAX(DI16,1)-1)</f>
        <v>132.832975360727</v>
      </c>
      <c r="DJ68" s="158" t="n">
        <f aca="false">(DJ14=1)*Assumption!$E$252*Assumption!$C$55/1000000*(1+Assumption!$E$256)^(MAX(DJ16,1)-1)</f>
        <v>132.832975360727</v>
      </c>
      <c r="DK68" s="158" t="n">
        <f aca="false">(DK14=1)*Assumption!$E$252*Assumption!$C$55/1000000*(1+Assumption!$E$256)^(MAX(DK16,1)-1)</f>
        <v>132.832975360727</v>
      </c>
      <c r="DL68" s="158" t="n">
        <f aca="false">(DL14=1)*Assumption!$E$252*Assumption!$C$55/1000000*(1+Assumption!$E$256)^(MAX(DL16,1)-1)</f>
        <v>132.832975360727</v>
      </c>
      <c r="DM68" s="158" t="n">
        <f aca="false">(DM14=1)*Assumption!$E$252*Assumption!$C$55/1000000*(1+Assumption!$E$256)^(MAX(DM16,1)-1)</f>
        <v>132.832975360727</v>
      </c>
      <c r="DN68" s="158" t="n">
        <f aca="false">(DN14=1)*Assumption!$E$252*Assumption!$C$55/1000000*(1+Assumption!$E$256)^(MAX(DN16,1)-1)</f>
        <v>132.832975360727</v>
      </c>
      <c r="DO68" s="158" t="n">
        <f aca="false">(DO14=1)*Assumption!$E$252*Assumption!$C$55/1000000*(1+Assumption!$E$256)^(MAX(DO16,1)-1)</f>
        <v>132.832975360727</v>
      </c>
      <c r="DP68" s="158" t="n">
        <f aca="false">(DP14=1)*Assumption!$E$252*Assumption!$C$55/1000000*(1+Assumption!$E$256)^(MAX(DP16,1)-1)</f>
        <v>132.832975360727</v>
      </c>
      <c r="DQ68" s="158" t="n">
        <f aca="false">(DQ14=1)*Assumption!$E$252*Assumption!$C$55/1000000*(1+Assumption!$E$256)^(MAX(DQ16,1)-1)</f>
        <v>132.832975360727</v>
      </c>
      <c r="DR68" s="158" t="n">
        <f aca="false">(DR14=1)*Assumption!$E$252*Assumption!$C$55/1000000*(1+Assumption!$E$256)^(MAX(DR16,1)-1)</f>
        <v>132.832975360727</v>
      </c>
      <c r="DS68" s="158" t="n">
        <f aca="false">(DS14=1)*Assumption!$E$252*Assumption!$C$55/1000000*(1+Assumption!$E$256)^(MAX(DS16,1)-1)</f>
        <v>132.832975360727</v>
      </c>
      <c r="DT68" s="158" t="n">
        <f aca="false">(DT14=1)*Assumption!$E$252*Assumption!$C$55/1000000*(1+Assumption!$E$256)^(MAX(DT16,1)-1)</f>
        <v>132.832975360727</v>
      </c>
      <c r="DU68" s="158" t="n">
        <f aca="false">(DU14=1)*Assumption!$E$252*Assumption!$C$55/1000000*(1+Assumption!$E$256)^(MAX(DU16,1)-1)</f>
        <v>0</v>
      </c>
      <c r="DV68" s="158" t="n">
        <f aca="false">(DV14=1)*Assumption!$E$252*Assumption!$C$55/1000000*(1+Assumption!$E$256)^(MAX(DV16,1)-1)</f>
        <v>0</v>
      </c>
      <c r="DW68" s="158" t="n">
        <f aca="false">(DW14=1)*Assumption!$E$252*Assumption!$C$55/1000000*(1+Assumption!$E$256)^(MAX(DW16,1)-1)</f>
        <v>0</v>
      </c>
      <c r="DX68" s="158" t="n">
        <f aca="false">(DX14=1)*Assumption!$E$252*Assumption!$C$55/1000000*(1+Assumption!$E$256)^(MAX(DX16,1)-1)</f>
        <v>0</v>
      </c>
      <c r="DY68" s="158" t="n">
        <f aca="false">(DY14=1)*Assumption!$E$252*Assumption!$C$55/1000000*(1+Assumption!$E$256)^(MAX(DY16,1)-1)</f>
        <v>0</v>
      </c>
      <c r="DZ68" s="158" t="n">
        <f aca="false">(DZ14=1)*Assumption!$E$252*Assumption!$C$55/1000000*(1+Assumption!$E$256)^(MAX(DZ16,1)-1)</f>
        <v>0</v>
      </c>
      <c r="EA68" s="158" t="n">
        <f aca="false">(EA14=1)*Assumption!$E$252*Assumption!$C$55/1000000*(1+Assumption!$E$256)^(MAX(EA16,1)-1)</f>
        <v>0</v>
      </c>
      <c r="EB68" s="158" t="n">
        <f aca="false">(EB14=1)*Assumption!$E$252*Assumption!$C$55/1000000*(1+Assumption!$E$256)^(MAX(EB16,1)-1)</f>
        <v>0</v>
      </c>
      <c r="EC68" s="158" t="n">
        <f aca="false">(EC14=1)*Assumption!$E$252*Assumption!$C$55/1000000*(1+Assumption!$E$256)^(MAX(EC16,1)-1)</f>
        <v>0</v>
      </c>
      <c r="ED68" s="158" t="n">
        <f aca="false">(ED14=1)*Assumption!$E$252*Assumption!$C$55/1000000*(1+Assumption!$E$256)^(MAX(ED16,1)-1)</f>
        <v>0</v>
      </c>
      <c r="EE68" s="158" t="n">
        <f aca="false">(EE14=1)*Assumption!$E$252*Assumption!$C$55/1000000*(1+Assumption!$E$256)^(MAX(EE16,1)-1)</f>
        <v>0</v>
      </c>
      <c r="EF68" s="158" t="n">
        <f aca="false">(EF14=1)*Assumption!$E$252*Assumption!$C$55/1000000*(1+Assumption!$E$256)^(MAX(EF16,1)-1)</f>
        <v>0</v>
      </c>
    </row>
    <row r="69" customFormat="false" ht="15" hidden="false" customHeight="false" outlineLevel="0" collapsed="false">
      <c r="A69" s="112" t="s">
        <v>532</v>
      </c>
      <c r="B69" s="241" t="s">
        <v>116</v>
      </c>
      <c r="C69" s="242" t="n">
        <f aca="false">SUM(E69:EF69)</f>
        <v>7663.49889326473</v>
      </c>
      <c r="E69" s="158" t="n">
        <f aca="false">(E14=1)*Assumption!$E$253*Assumption!$C$55/1000000*(1+Assumption!$E$256)^(MAX(E16,1)-1)</f>
        <v>0</v>
      </c>
      <c r="F69" s="158" t="n">
        <f aca="false">(F14=1)*Assumption!$E$253*Assumption!$C$55/1000000*(1+Assumption!$E$256)^(MAX(F16,1)-1)</f>
        <v>0</v>
      </c>
      <c r="G69" s="158" t="n">
        <f aca="false">(G14=1)*Assumption!$E$253*Assumption!$C$55/1000000*(1+Assumption!$E$256)^(MAX(G16,1)-1)</f>
        <v>0</v>
      </c>
      <c r="H69" s="158" t="n">
        <f aca="false">(H14=1)*Assumption!$E$253*Assumption!$C$55/1000000*(1+Assumption!$E$256)^(MAX(H16,1)-1)</f>
        <v>0</v>
      </c>
      <c r="I69" s="158" t="n">
        <f aca="false">(I14=1)*Assumption!$E$253*Assumption!$C$55/1000000*(1+Assumption!$E$256)^(MAX(I16,1)-1)</f>
        <v>0</v>
      </c>
      <c r="J69" s="158" t="n">
        <f aca="false">(J14=1)*Assumption!$E$253*Assumption!$C$55/1000000*(1+Assumption!$E$256)^(MAX(J16,1)-1)</f>
        <v>0</v>
      </c>
      <c r="K69" s="158" t="n">
        <f aca="false">(K14=1)*Assumption!$E$253*Assumption!$C$55/1000000*(1+Assumption!$E$256)^(MAX(K16,1)-1)</f>
        <v>0</v>
      </c>
      <c r="L69" s="158" t="n">
        <f aca="false">(L14=1)*Assumption!$E$253*Assumption!$C$55/1000000*(1+Assumption!$E$256)^(MAX(L16,1)-1)</f>
        <v>0</v>
      </c>
      <c r="M69" s="158" t="n">
        <f aca="false">(M14=1)*Assumption!$E$253*Assumption!$C$55/1000000*(1+Assumption!$E$256)^(MAX(M16,1)-1)</f>
        <v>0</v>
      </c>
      <c r="N69" s="158" t="n">
        <f aca="false">(N14=1)*Assumption!$E$253*Assumption!$C$55/1000000*(1+Assumption!$E$256)^(MAX(N16,1)-1)</f>
        <v>0</v>
      </c>
      <c r="O69" s="158" t="n">
        <f aca="false">(O14=1)*Assumption!$E$253*Assumption!$C$55/1000000*(1+Assumption!$E$256)^(MAX(O16,1)-1)</f>
        <v>0</v>
      </c>
      <c r="P69" s="158" t="n">
        <f aca="false">(P14=1)*Assumption!$E$253*Assumption!$C$55/1000000*(1+Assumption!$E$256)^(MAX(P16,1)-1)</f>
        <v>0</v>
      </c>
      <c r="Q69" s="158" t="n">
        <f aca="false">(Q14=1)*Assumption!$E$253*Assumption!$C$55/1000000*(1+Assumption!$E$256)^(MAX(Q16,1)-1)</f>
        <v>0</v>
      </c>
      <c r="R69" s="158" t="n">
        <f aca="false">(R14=1)*Assumption!$E$253*Assumption!$C$55/1000000*(1+Assumption!$E$256)^(MAX(R16,1)-1)</f>
        <v>0</v>
      </c>
      <c r="S69" s="158" t="n">
        <f aca="false">(S14=1)*Assumption!$E$253*Assumption!$C$55/1000000*(1+Assumption!$E$256)^(MAX(S16,1)-1)</f>
        <v>0</v>
      </c>
      <c r="T69" s="158" t="n">
        <f aca="false">(T14=1)*Assumption!$E$253*Assumption!$C$55/1000000*(1+Assumption!$E$256)^(MAX(T16,1)-1)</f>
        <v>0</v>
      </c>
      <c r="U69" s="158" t="n">
        <f aca="false">(U14=1)*Assumption!$E$253*Assumption!$C$55/1000000*(1+Assumption!$E$256)^(MAX(U16,1)-1)</f>
        <v>0</v>
      </c>
      <c r="V69" s="158" t="n">
        <f aca="false">(V14=1)*Assumption!$E$253*Assumption!$C$55/1000000*(1+Assumption!$E$256)^(MAX(V16,1)-1)</f>
        <v>0</v>
      </c>
      <c r="W69" s="158" t="n">
        <f aca="false">(W14=1)*Assumption!$E$253*Assumption!$C$55/1000000*(1+Assumption!$E$256)^(MAX(W16,1)-1)</f>
        <v>0</v>
      </c>
      <c r="X69" s="158" t="n">
        <f aca="false">(X14=1)*Assumption!$E$253*Assumption!$C$55/1000000*(1+Assumption!$E$256)^(MAX(X16,1)-1)</f>
        <v>0</v>
      </c>
      <c r="Y69" s="158" t="n">
        <f aca="false">(Y14=1)*Assumption!$E$253*Assumption!$C$55/1000000*(1+Assumption!$E$256)^(MAX(Y16,1)-1)</f>
        <v>0</v>
      </c>
      <c r="Z69" s="158" t="n">
        <f aca="false">(Z14=1)*Assumption!$E$253*Assumption!$C$55/1000000*(1+Assumption!$E$256)^(MAX(Z16,1)-1)</f>
        <v>0</v>
      </c>
      <c r="AA69" s="158" t="n">
        <f aca="false">(AA14=1)*Assumption!$E$253*Assumption!$C$55/1000000*(1+Assumption!$E$256)^(MAX(AA16,1)-1)</f>
        <v>0</v>
      </c>
      <c r="AB69" s="158" t="n">
        <f aca="false">(AB14=1)*Assumption!$E$253*Assumption!$C$55/1000000*(1+Assumption!$E$256)^(MAX(AB16,1)-1)</f>
        <v>0</v>
      </c>
      <c r="AC69" s="158" t="n">
        <f aca="false">(AC14=1)*Assumption!$E$253*Assumption!$C$55/1000000*(1+Assumption!$E$256)^(MAX(AC16,1)-1)</f>
        <v>0</v>
      </c>
      <c r="AD69" s="158" t="n">
        <f aca="false">(AD14=1)*Assumption!$E$253*Assumption!$C$55/1000000*(1+Assumption!$E$256)^(MAX(AD16,1)-1)</f>
        <v>0</v>
      </c>
      <c r="AE69" s="158" t="n">
        <f aca="false">(AE14=1)*Assumption!$E$253*Assumption!$C$55/1000000*(1+Assumption!$E$256)^(MAX(AE16,1)-1)</f>
        <v>0</v>
      </c>
      <c r="AF69" s="158" t="n">
        <f aca="false">(AF14=1)*Assumption!$E$253*Assumption!$C$55/1000000*(1+Assumption!$E$256)^(MAX(AF16,1)-1)</f>
        <v>0</v>
      </c>
      <c r="AG69" s="158" t="n">
        <f aca="false">(AG14=1)*Assumption!$E$253*Assumption!$C$55/1000000*(1+Assumption!$E$256)^(MAX(AG16,1)-1)</f>
        <v>0</v>
      </c>
      <c r="AH69" s="158" t="n">
        <f aca="false">(AH14=1)*Assumption!$E$253*Assumption!$C$55/1000000*(1+Assumption!$E$256)^(MAX(AH16,1)-1)</f>
        <v>0</v>
      </c>
      <c r="AI69" s="158" t="n">
        <f aca="false">(AI14=1)*Assumption!$E$253*Assumption!$C$55/1000000*(1+Assumption!$E$256)^(MAX(AI16,1)-1)</f>
        <v>0</v>
      </c>
      <c r="AJ69" s="158" t="n">
        <f aca="false">(AJ14=1)*Assumption!$E$253*Assumption!$C$55/1000000*(1+Assumption!$E$256)^(MAX(AJ16,1)-1)</f>
        <v>0</v>
      </c>
      <c r="AK69" s="158" t="n">
        <f aca="false">(AK14=1)*Assumption!$E$253*Assumption!$C$55/1000000*(1+Assumption!$E$256)^(MAX(AK16,1)-1)</f>
        <v>0</v>
      </c>
      <c r="AL69" s="158" t="n">
        <f aca="false">(AL14=1)*Assumption!$E$253*Assumption!$C$55/1000000*(1+Assumption!$E$256)^(MAX(AL16,1)-1)</f>
        <v>0</v>
      </c>
      <c r="AM69" s="158" t="n">
        <f aca="false">(AM14=1)*Assumption!$E$253*Assumption!$C$55/1000000*(1+Assumption!$E$256)^(MAX(AM16,1)-1)</f>
        <v>0</v>
      </c>
      <c r="AN69" s="158" t="n">
        <f aca="false">(AN14=1)*Assumption!$E$253*Assumption!$C$55/1000000*(1+Assumption!$E$256)^(MAX(AN16,1)-1)</f>
        <v>0</v>
      </c>
      <c r="AO69" s="158" t="n">
        <f aca="false">(AO14=1)*Assumption!$E$253*Assumption!$C$55/1000000*(1+Assumption!$E$256)^(MAX(AO16,1)-1)</f>
        <v>0</v>
      </c>
      <c r="AP69" s="158" t="n">
        <f aca="false">(AP14=1)*Assumption!$E$253*Assumption!$C$55/1000000*(1+Assumption!$E$256)^(MAX(AP16,1)-1)</f>
        <v>0</v>
      </c>
      <c r="AQ69" s="158" t="n">
        <f aca="false">(AQ14=1)*Assumption!$E$253*Assumption!$C$55/1000000*(1+Assumption!$E$256)^(MAX(AQ16,1)-1)</f>
        <v>0</v>
      </c>
      <c r="AR69" s="158" t="n">
        <f aca="false">(AR14=1)*Assumption!$E$253*Assumption!$C$55/1000000*(1+Assumption!$E$256)^(MAX(AR16,1)-1)</f>
        <v>0</v>
      </c>
      <c r="AS69" s="158" t="n">
        <f aca="false">(AS14=1)*Assumption!$E$253*Assumption!$C$55/1000000*(1+Assumption!$E$256)^(MAX(AS16,1)-1)</f>
        <v>0</v>
      </c>
      <c r="AT69" s="158" t="n">
        <f aca="false">(AT14=1)*Assumption!$E$253*Assumption!$C$55/1000000*(1+Assumption!$E$256)^(MAX(AT16,1)-1)</f>
        <v>0</v>
      </c>
      <c r="AU69" s="158" t="n">
        <f aca="false">(AU14=1)*Assumption!$E$253*Assumption!$C$55/1000000*(1+Assumption!$E$256)^(MAX(AU16,1)-1)</f>
        <v>0</v>
      </c>
      <c r="AV69" s="158" t="n">
        <f aca="false">(AV14=1)*Assumption!$E$253*Assumption!$C$55/1000000*(1+Assumption!$E$256)^(MAX(AV16,1)-1)</f>
        <v>0</v>
      </c>
      <c r="AW69" s="158" t="n">
        <f aca="false">(AW14=1)*Assumption!$E$253*Assumption!$C$55/1000000*(1+Assumption!$E$256)^(MAX(AW16,1)-1)</f>
        <v>0</v>
      </c>
      <c r="AX69" s="158" t="n">
        <f aca="false">(AX14=1)*Assumption!$E$253*Assumption!$C$55/1000000*(1+Assumption!$E$256)^(MAX(AX16,1)-1)</f>
        <v>0</v>
      </c>
      <c r="AY69" s="158" t="n">
        <f aca="false">(AY14=1)*Assumption!$E$253*Assumption!$C$55/1000000*(1+Assumption!$E$256)^(MAX(AY16,1)-1)</f>
        <v>0</v>
      </c>
      <c r="AZ69" s="158" t="n">
        <f aca="false">(AZ14=1)*Assumption!$E$253*Assumption!$C$55/1000000*(1+Assumption!$E$256)^(MAX(AZ16,1)-1)</f>
        <v>0</v>
      </c>
      <c r="BA69" s="158" t="n">
        <f aca="false">(BA14=1)*Assumption!$E$253*Assumption!$C$55/1000000*(1+Assumption!$E$256)^(MAX(BA16,1)-1)</f>
        <v>0</v>
      </c>
      <c r="BB69" s="158" t="n">
        <f aca="false">(BB14=1)*Assumption!$E$253*Assumption!$C$55/1000000*(1+Assumption!$E$256)^(MAX(BB16,1)-1)</f>
        <v>0</v>
      </c>
      <c r="BC69" s="158" t="n">
        <f aca="false">(BC14=1)*Assumption!$E$253*Assumption!$C$55/1000000*(1+Assumption!$E$256)^(MAX(BC16,1)-1)</f>
        <v>0</v>
      </c>
      <c r="BD69" s="158" t="n">
        <f aca="false">(BD14=1)*Assumption!$E$253*Assumption!$C$55/1000000*(1+Assumption!$E$256)^(MAX(BD16,1)-1)</f>
        <v>0</v>
      </c>
      <c r="BE69" s="158" t="n">
        <f aca="false">(BE14=1)*Assumption!$E$253*Assumption!$C$55/1000000*(1+Assumption!$E$256)^(MAX(BE16,1)-1)</f>
        <v>0</v>
      </c>
      <c r="BF69" s="158" t="n">
        <f aca="false">(BF14=1)*Assumption!$E$253*Assumption!$C$55/1000000*(1+Assumption!$E$256)^(MAX(BF16,1)-1)</f>
        <v>0</v>
      </c>
      <c r="BG69" s="158" t="n">
        <f aca="false">(BG14=1)*Assumption!$E$253*Assumption!$C$55/1000000*(1+Assumption!$E$256)^(MAX(BG16,1)-1)</f>
        <v>0</v>
      </c>
      <c r="BH69" s="158" t="n">
        <f aca="false">(BH14=1)*Assumption!$E$253*Assumption!$C$55/1000000*(1+Assumption!$E$256)^(MAX(BH16,1)-1)</f>
        <v>0</v>
      </c>
      <c r="BI69" s="158" t="n">
        <f aca="false">(BI14=1)*Assumption!$E$253*Assumption!$C$55/1000000*(1+Assumption!$E$256)^(MAX(BI16,1)-1)</f>
        <v>0</v>
      </c>
      <c r="BJ69" s="158" t="n">
        <f aca="false">(BJ14=1)*Assumption!$E$253*Assumption!$C$55/1000000*(1+Assumption!$E$256)^(MAX(BJ16,1)-1)</f>
        <v>0</v>
      </c>
      <c r="BK69" s="158" t="n">
        <f aca="false">(BK14=1)*Assumption!$E$253*Assumption!$C$55/1000000*(1+Assumption!$E$256)^(MAX(BK16,1)-1)</f>
        <v>0</v>
      </c>
      <c r="BL69" s="158" t="n">
        <f aca="false">(BL14=1)*Assumption!$E$253*Assumption!$C$55/1000000*(1+Assumption!$E$256)^(MAX(BL16,1)-1)</f>
        <v>0</v>
      </c>
      <c r="BM69" s="158" t="n">
        <f aca="false">(BM14=1)*Assumption!$E$253*Assumption!$C$55/1000000*(1+Assumption!$E$256)^(MAX(BM16,1)-1)</f>
        <v>122.7171367125</v>
      </c>
      <c r="BN69" s="158" t="n">
        <f aca="false">(BN14=1)*Assumption!$E$253*Assumption!$C$55/1000000*(1+Assumption!$E$256)^(MAX(BN16,1)-1)</f>
        <v>122.7171367125</v>
      </c>
      <c r="BO69" s="158" t="n">
        <f aca="false">(BO14=1)*Assumption!$E$253*Assumption!$C$55/1000000*(1+Assumption!$E$256)^(MAX(BO16,1)-1)</f>
        <v>122.7171367125</v>
      </c>
      <c r="BP69" s="158" t="n">
        <f aca="false">(BP14=1)*Assumption!$E$253*Assumption!$C$55/1000000*(1+Assumption!$E$256)^(MAX(BP16,1)-1)</f>
        <v>122.7171367125</v>
      </c>
      <c r="BQ69" s="158" t="n">
        <f aca="false">(BQ14=1)*Assumption!$E$253*Assumption!$C$55/1000000*(1+Assumption!$E$256)^(MAX(BQ16,1)-1)</f>
        <v>122.7171367125</v>
      </c>
      <c r="BR69" s="158" t="n">
        <f aca="false">(BR14=1)*Assumption!$E$253*Assumption!$C$55/1000000*(1+Assumption!$E$256)^(MAX(BR16,1)-1)</f>
        <v>122.7171367125</v>
      </c>
      <c r="BS69" s="158" t="n">
        <f aca="false">(BS14=1)*Assumption!$E$253*Assumption!$C$55/1000000*(1+Assumption!$E$256)^(MAX(BS16,1)-1)</f>
        <v>122.7171367125</v>
      </c>
      <c r="BT69" s="158" t="n">
        <f aca="false">(BT14=1)*Assumption!$E$253*Assumption!$C$55/1000000*(1+Assumption!$E$256)^(MAX(BT16,1)-1)</f>
        <v>122.7171367125</v>
      </c>
      <c r="BU69" s="158" t="n">
        <f aca="false">(BU14=1)*Assumption!$E$253*Assumption!$C$55/1000000*(1+Assumption!$E$256)^(MAX(BU16,1)-1)</f>
        <v>122.7171367125</v>
      </c>
      <c r="BV69" s="158" t="n">
        <f aca="false">(BV14=1)*Assumption!$E$253*Assumption!$C$55/1000000*(1+Assumption!$E$256)^(MAX(BV16,1)-1)</f>
        <v>122.7171367125</v>
      </c>
      <c r="BW69" s="158" t="n">
        <f aca="false">(BW14=1)*Assumption!$E$253*Assumption!$C$55/1000000*(1+Assumption!$E$256)^(MAX(BW16,1)-1)</f>
        <v>122.7171367125</v>
      </c>
      <c r="BX69" s="158" t="n">
        <f aca="false">(BX14=1)*Assumption!$E$253*Assumption!$C$55/1000000*(1+Assumption!$E$256)^(MAX(BX16,1)-1)</f>
        <v>122.7171367125</v>
      </c>
      <c r="BY69" s="158" t="n">
        <f aca="false">(BY14=1)*Assumption!$E$253*Assumption!$C$55/1000000*(1+Assumption!$E$256)^(MAX(BY16,1)-1)</f>
        <v>125.17147944675</v>
      </c>
      <c r="BZ69" s="158" t="n">
        <f aca="false">(BZ14=1)*Assumption!$E$253*Assumption!$C$55/1000000*(1+Assumption!$E$256)^(MAX(BZ16,1)-1)</f>
        <v>125.17147944675</v>
      </c>
      <c r="CA69" s="158" t="n">
        <f aca="false">(CA14=1)*Assumption!$E$253*Assumption!$C$55/1000000*(1+Assumption!$E$256)^(MAX(CA16,1)-1)</f>
        <v>125.17147944675</v>
      </c>
      <c r="CB69" s="158" t="n">
        <f aca="false">(CB14=1)*Assumption!$E$253*Assumption!$C$55/1000000*(1+Assumption!$E$256)^(MAX(CB16,1)-1)</f>
        <v>125.17147944675</v>
      </c>
      <c r="CC69" s="158" t="n">
        <f aca="false">(CC14=1)*Assumption!$E$253*Assumption!$C$55/1000000*(1+Assumption!$E$256)^(MAX(CC16,1)-1)</f>
        <v>125.17147944675</v>
      </c>
      <c r="CD69" s="158" t="n">
        <f aca="false">(CD14=1)*Assumption!$E$253*Assumption!$C$55/1000000*(1+Assumption!$E$256)^(MAX(CD16,1)-1)</f>
        <v>125.17147944675</v>
      </c>
      <c r="CE69" s="158" t="n">
        <f aca="false">(CE14=1)*Assumption!$E$253*Assumption!$C$55/1000000*(1+Assumption!$E$256)^(MAX(CE16,1)-1)</f>
        <v>125.17147944675</v>
      </c>
      <c r="CF69" s="158" t="n">
        <f aca="false">(CF14=1)*Assumption!$E$253*Assumption!$C$55/1000000*(1+Assumption!$E$256)^(MAX(CF16,1)-1)</f>
        <v>125.17147944675</v>
      </c>
      <c r="CG69" s="158" t="n">
        <f aca="false">(CG14=1)*Assumption!$E$253*Assumption!$C$55/1000000*(1+Assumption!$E$256)^(MAX(CG16,1)-1)</f>
        <v>125.17147944675</v>
      </c>
      <c r="CH69" s="158" t="n">
        <f aca="false">(CH14=1)*Assumption!$E$253*Assumption!$C$55/1000000*(1+Assumption!$E$256)^(MAX(CH16,1)-1)</f>
        <v>125.17147944675</v>
      </c>
      <c r="CI69" s="158" t="n">
        <f aca="false">(CI14=1)*Assumption!$E$253*Assumption!$C$55/1000000*(1+Assumption!$E$256)^(MAX(CI16,1)-1)</f>
        <v>125.17147944675</v>
      </c>
      <c r="CJ69" s="158" t="n">
        <f aca="false">(CJ14=1)*Assumption!$E$253*Assumption!$C$55/1000000*(1+Assumption!$E$256)^(MAX(CJ16,1)-1)</f>
        <v>125.17147944675</v>
      </c>
      <c r="CK69" s="158" t="n">
        <f aca="false">(CK14=1)*Assumption!$E$253*Assumption!$C$55/1000000*(1+Assumption!$E$256)^(MAX(CK16,1)-1)</f>
        <v>127.674909035685</v>
      </c>
      <c r="CL69" s="158" t="n">
        <f aca="false">(CL14=1)*Assumption!$E$253*Assumption!$C$55/1000000*(1+Assumption!$E$256)^(MAX(CL16,1)-1)</f>
        <v>127.674909035685</v>
      </c>
      <c r="CM69" s="158" t="n">
        <f aca="false">(CM14=1)*Assumption!$E$253*Assumption!$C$55/1000000*(1+Assumption!$E$256)^(MAX(CM16,1)-1)</f>
        <v>127.674909035685</v>
      </c>
      <c r="CN69" s="158" t="n">
        <f aca="false">(CN14=1)*Assumption!$E$253*Assumption!$C$55/1000000*(1+Assumption!$E$256)^(MAX(CN16,1)-1)</f>
        <v>127.674909035685</v>
      </c>
      <c r="CO69" s="158" t="n">
        <f aca="false">(CO14=1)*Assumption!$E$253*Assumption!$C$55/1000000*(1+Assumption!$E$256)^(MAX(CO16,1)-1)</f>
        <v>127.674909035685</v>
      </c>
      <c r="CP69" s="158" t="n">
        <f aca="false">(CP14=1)*Assumption!$E$253*Assumption!$C$55/1000000*(1+Assumption!$E$256)^(MAX(CP16,1)-1)</f>
        <v>127.674909035685</v>
      </c>
      <c r="CQ69" s="158" t="n">
        <f aca="false">(CQ14=1)*Assumption!$E$253*Assumption!$C$55/1000000*(1+Assumption!$E$256)^(MAX(CQ16,1)-1)</f>
        <v>127.674909035685</v>
      </c>
      <c r="CR69" s="158" t="n">
        <f aca="false">(CR14=1)*Assumption!$E$253*Assumption!$C$55/1000000*(1+Assumption!$E$256)^(MAX(CR16,1)-1)</f>
        <v>127.674909035685</v>
      </c>
      <c r="CS69" s="158" t="n">
        <f aca="false">(CS14=1)*Assumption!$E$253*Assumption!$C$55/1000000*(1+Assumption!$E$256)^(MAX(CS16,1)-1)</f>
        <v>127.674909035685</v>
      </c>
      <c r="CT69" s="158" t="n">
        <f aca="false">(CT14=1)*Assumption!$E$253*Assumption!$C$55/1000000*(1+Assumption!$E$256)^(MAX(CT16,1)-1)</f>
        <v>127.674909035685</v>
      </c>
      <c r="CU69" s="158" t="n">
        <f aca="false">(CU14=1)*Assumption!$E$253*Assumption!$C$55/1000000*(1+Assumption!$E$256)^(MAX(CU16,1)-1)</f>
        <v>127.674909035685</v>
      </c>
      <c r="CV69" s="158" t="n">
        <f aca="false">(CV14=1)*Assumption!$E$253*Assumption!$C$55/1000000*(1+Assumption!$E$256)^(MAX(CV16,1)-1)</f>
        <v>127.674909035685</v>
      </c>
      <c r="CW69" s="158" t="n">
        <f aca="false">(CW14=1)*Assumption!$E$253*Assumption!$C$55/1000000*(1+Assumption!$E$256)^(MAX(CW16,1)-1)</f>
        <v>130.228407216399</v>
      </c>
      <c r="CX69" s="158" t="n">
        <f aca="false">(CX14=1)*Assumption!$E$253*Assumption!$C$55/1000000*(1+Assumption!$E$256)^(MAX(CX16,1)-1)</f>
        <v>130.228407216399</v>
      </c>
      <c r="CY69" s="158" t="n">
        <f aca="false">(CY14=1)*Assumption!$E$253*Assumption!$C$55/1000000*(1+Assumption!$E$256)^(MAX(CY16,1)-1)</f>
        <v>130.228407216399</v>
      </c>
      <c r="CZ69" s="158" t="n">
        <f aca="false">(CZ14=1)*Assumption!$E$253*Assumption!$C$55/1000000*(1+Assumption!$E$256)^(MAX(CZ16,1)-1)</f>
        <v>130.228407216399</v>
      </c>
      <c r="DA69" s="158" t="n">
        <f aca="false">(DA14=1)*Assumption!$E$253*Assumption!$C$55/1000000*(1+Assumption!$E$256)^(MAX(DA16,1)-1)</f>
        <v>130.228407216399</v>
      </c>
      <c r="DB69" s="158" t="n">
        <f aca="false">(DB14=1)*Assumption!$E$253*Assumption!$C$55/1000000*(1+Assumption!$E$256)^(MAX(DB16,1)-1)</f>
        <v>130.228407216399</v>
      </c>
      <c r="DC69" s="158" t="n">
        <f aca="false">(DC14=1)*Assumption!$E$253*Assumption!$C$55/1000000*(1+Assumption!$E$256)^(MAX(DC16,1)-1)</f>
        <v>130.228407216399</v>
      </c>
      <c r="DD69" s="158" t="n">
        <f aca="false">(DD14=1)*Assumption!$E$253*Assumption!$C$55/1000000*(1+Assumption!$E$256)^(MAX(DD16,1)-1)</f>
        <v>130.228407216399</v>
      </c>
      <c r="DE69" s="158" t="n">
        <f aca="false">(DE14=1)*Assumption!$E$253*Assumption!$C$55/1000000*(1+Assumption!$E$256)^(MAX(DE16,1)-1)</f>
        <v>130.228407216399</v>
      </c>
      <c r="DF69" s="158" t="n">
        <f aca="false">(DF14=1)*Assumption!$E$253*Assumption!$C$55/1000000*(1+Assumption!$E$256)^(MAX(DF16,1)-1)</f>
        <v>130.228407216399</v>
      </c>
      <c r="DG69" s="158" t="n">
        <f aca="false">(DG14=1)*Assumption!$E$253*Assumption!$C$55/1000000*(1+Assumption!$E$256)^(MAX(DG16,1)-1)</f>
        <v>130.228407216399</v>
      </c>
      <c r="DH69" s="158" t="n">
        <f aca="false">(DH14=1)*Assumption!$E$253*Assumption!$C$55/1000000*(1+Assumption!$E$256)^(MAX(DH16,1)-1)</f>
        <v>130.228407216399</v>
      </c>
      <c r="DI69" s="158" t="n">
        <f aca="false">(DI14=1)*Assumption!$E$253*Assumption!$C$55/1000000*(1+Assumption!$E$256)^(MAX(DI16,1)-1)</f>
        <v>132.832975360727</v>
      </c>
      <c r="DJ69" s="158" t="n">
        <f aca="false">(DJ14=1)*Assumption!$E$253*Assumption!$C$55/1000000*(1+Assumption!$E$256)^(MAX(DJ16,1)-1)</f>
        <v>132.832975360727</v>
      </c>
      <c r="DK69" s="158" t="n">
        <f aca="false">(DK14=1)*Assumption!$E$253*Assumption!$C$55/1000000*(1+Assumption!$E$256)^(MAX(DK16,1)-1)</f>
        <v>132.832975360727</v>
      </c>
      <c r="DL69" s="158" t="n">
        <f aca="false">(DL14=1)*Assumption!$E$253*Assumption!$C$55/1000000*(1+Assumption!$E$256)^(MAX(DL16,1)-1)</f>
        <v>132.832975360727</v>
      </c>
      <c r="DM69" s="158" t="n">
        <f aca="false">(DM14=1)*Assumption!$E$253*Assumption!$C$55/1000000*(1+Assumption!$E$256)^(MAX(DM16,1)-1)</f>
        <v>132.832975360727</v>
      </c>
      <c r="DN69" s="158" t="n">
        <f aca="false">(DN14=1)*Assumption!$E$253*Assumption!$C$55/1000000*(1+Assumption!$E$256)^(MAX(DN16,1)-1)</f>
        <v>132.832975360727</v>
      </c>
      <c r="DO69" s="158" t="n">
        <f aca="false">(DO14=1)*Assumption!$E$253*Assumption!$C$55/1000000*(1+Assumption!$E$256)^(MAX(DO16,1)-1)</f>
        <v>132.832975360727</v>
      </c>
      <c r="DP69" s="158" t="n">
        <f aca="false">(DP14=1)*Assumption!$E$253*Assumption!$C$55/1000000*(1+Assumption!$E$256)^(MAX(DP16,1)-1)</f>
        <v>132.832975360727</v>
      </c>
      <c r="DQ69" s="158" t="n">
        <f aca="false">(DQ14=1)*Assumption!$E$253*Assumption!$C$55/1000000*(1+Assumption!$E$256)^(MAX(DQ16,1)-1)</f>
        <v>132.832975360727</v>
      </c>
      <c r="DR69" s="158" t="n">
        <f aca="false">(DR14=1)*Assumption!$E$253*Assumption!$C$55/1000000*(1+Assumption!$E$256)^(MAX(DR16,1)-1)</f>
        <v>132.832975360727</v>
      </c>
      <c r="DS69" s="158" t="n">
        <f aca="false">(DS14=1)*Assumption!$E$253*Assumption!$C$55/1000000*(1+Assumption!$E$256)^(MAX(DS16,1)-1)</f>
        <v>132.832975360727</v>
      </c>
      <c r="DT69" s="158" t="n">
        <f aca="false">(DT14=1)*Assumption!$E$253*Assumption!$C$55/1000000*(1+Assumption!$E$256)^(MAX(DT16,1)-1)</f>
        <v>132.832975360727</v>
      </c>
      <c r="DU69" s="158" t="n">
        <f aca="false">(DU14=1)*Assumption!$E$253*Assumption!$C$55/1000000*(1+Assumption!$E$256)^(MAX(DU16,1)-1)</f>
        <v>0</v>
      </c>
      <c r="DV69" s="158" t="n">
        <f aca="false">(DV14=1)*Assumption!$E$253*Assumption!$C$55/1000000*(1+Assumption!$E$256)^(MAX(DV16,1)-1)</f>
        <v>0</v>
      </c>
      <c r="DW69" s="158" t="n">
        <f aca="false">(DW14=1)*Assumption!$E$253*Assumption!$C$55/1000000*(1+Assumption!$E$256)^(MAX(DW16,1)-1)</f>
        <v>0</v>
      </c>
      <c r="DX69" s="158" t="n">
        <f aca="false">(DX14=1)*Assumption!$E$253*Assumption!$C$55/1000000*(1+Assumption!$E$256)^(MAX(DX16,1)-1)</f>
        <v>0</v>
      </c>
      <c r="DY69" s="158" t="n">
        <f aca="false">(DY14=1)*Assumption!$E$253*Assumption!$C$55/1000000*(1+Assumption!$E$256)^(MAX(DY16,1)-1)</f>
        <v>0</v>
      </c>
      <c r="DZ69" s="158" t="n">
        <f aca="false">(DZ14=1)*Assumption!$E$253*Assumption!$C$55/1000000*(1+Assumption!$E$256)^(MAX(DZ16,1)-1)</f>
        <v>0</v>
      </c>
      <c r="EA69" s="158" t="n">
        <f aca="false">(EA14=1)*Assumption!$E$253*Assumption!$C$55/1000000*(1+Assumption!$E$256)^(MAX(EA16,1)-1)</f>
        <v>0</v>
      </c>
      <c r="EB69" s="158" t="n">
        <f aca="false">(EB14=1)*Assumption!$E$253*Assumption!$C$55/1000000*(1+Assumption!$E$256)^(MAX(EB16,1)-1)</f>
        <v>0</v>
      </c>
      <c r="EC69" s="158" t="n">
        <f aca="false">(EC14=1)*Assumption!$E$253*Assumption!$C$55/1000000*(1+Assumption!$E$256)^(MAX(EC16,1)-1)</f>
        <v>0</v>
      </c>
      <c r="ED69" s="158" t="n">
        <f aca="false">(ED14=1)*Assumption!$E$253*Assumption!$C$55/1000000*(1+Assumption!$E$256)^(MAX(ED16,1)-1)</f>
        <v>0</v>
      </c>
      <c r="EE69" s="158" t="n">
        <f aca="false">(EE14=1)*Assumption!$E$253*Assumption!$C$55/1000000*(1+Assumption!$E$256)^(MAX(EE16,1)-1)</f>
        <v>0</v>
      </c>
      <c r="EF69" s="158" t="n">
        <f aca="false">(EF14=1)*Assumption!$E$253*Assumption!$C$55/1000000*(1+Assumption!$E$256)^(MAX(EF16,1)-1)</f>
        <v>0</v>
      </c>
    </row>
    <row r="70" customFormat="false" ht="15" hidden="false" customHeight="false" outlineLevel="0" collapsed="false">
      <c r="A70" s="35" t="s">
        <v>194</v>
      </c>
      <c r="B70" s="241" t="s">
        <v>116</v>
      </c>
      <c r="C70" s="242" t="n">
        <f aca="false">SUM(E70:EF70)</f>
        <v>8196.363252</v>
      </c>
      <c r="E70" s="158" t="n">
        <f aca="false">(E14=1)*Assumption!$E$254/12*(1+Assumption!$E$256)^(MAX(E16,1)-1)</f>
        <v>0</v>
      </c>
      <c r="F70" s="158" t="n">
        <f aca="false">(F14=1)*Assumption!$E$254/12*(1+Assumption!$E$256)^(MAX(F16,1)-1)</f>
        <v>0</v>
      </c>
      <c r="G70" s="158" t="n">
        <f aca="false">(G14=1)*Assumption!$E$254/12*(1+Assumption!$E$256)^(MAX(G16,1)-1)</f>
        <v>0</v>
      </c>
      <c r="H70" s="158" t="n">
        <f aca="false">(H14=1)*Assumption!$E$254/12*(1+Assumption!$E$256)^(MAX(H16,1)-1)</f>
        <v>0</v>
      </c>
      <c r="I70" s="158" t="n">
        <f aca="false">(I14=1)*Assumption!$E$254/12*(1+Assumption!$E$256)^(MAX(I16,1)-1)</f>
        <v>0</v>
      </c>
      <c r="J70" s="158" t="n">
        <f aca="false">(J14=1)*Assumption!$E$254/12*(1+Assumption!$E$256)^(MAX(J16,1)-1)</f>
        <v>0</v>
      </c>
      <c r="K70" s="158" t="n">
        <f aca="false">(K14=1)*Assumption!$E$254/12*(1+Assumption!$E$256)^(MAX(K16,1)-1)</f>
        <v>0</v>
      </c>
      <c r="L70" s="158" t="n">
        <f aca="false">(L14=1)*Assumption!$E$254/12*(1+Assumption!$E$256)^(MAX(L16,1)-1)</f>
        <v>0</v>
      </c>
      <c r="M70" s="158" t="n">
        <f aca="false">(M14=1)*Assumption!$E$254/12*(1+Assumption!$E$256)^(MAX(M16,1)-1)</f>
        <v>0</v>
      </c>
      <c r="N70" s="158" t="n">
        <f aca="false">(N14=1)*Assumption!$E$254/12*(1+Assumption!$E$256)^(MAX(N16,1)-1)</f>
        <v>0</v>
      </c>
      <c r="O70" s="158" t="n">
        <f aca="false">(O14=1)*Assumption!$E$254/12*(1+Assumption!$E$256)^(MAX(O16,1)-1)</f>
        <v>0</v>
      </c>
      <c r="P70" s="158" t="n">
        <f aca="false">(P14=1)*Assumption!$E$254/12*(1+Assumption!$E$256)^(MAX(P16,1)-1)</f>
        <v>0</v>
      </c>
      <c r="Q70" s="158" t="n">
        <f aca="false">(Q14=1)*Assumption!$E$254/12*(1+Assumption!$E$256)^(MAX(Q16,1)-1)</f>
        <v>0</v>
      </c>
      <c r="R70" s="158" t="n">
        <f aca="false">(R14=1)*Assumption!$E$254/12*(1+Assumption!$E$256)^(MAX(R16,1)-1)</f>
        <v>0</v>
      </c>
      <c r="S70" s="158" t="n">
        <f aca="false">(S14=1)*Assumption!$E$254/12*(1+Assumption!$E$256)^(MAX(S16,1)-1)</f>
        <v>0</v>
      </c>
      <c r="T70" s="158" t="n">
        <f aca="false">(T14=1)*Assumption!$E$254/12*(1+Assumption!$E$256)^(MAX(T16,1)-1)</f>
        <v>0</v>
      </c>
      <c r="U70" s="158" t="n">
        <f aca="false">(U14=1)*Assumption!$E$254/12*(1+Assumption!$E$256)^(MAX(U16,1)-1)</f>
        <v>0</v>
      </c>
      <c r="V70" s="158" t="n">
        <f aca="false">(V14=1)*Assumption!$E$254/12*(1+Assumption!$E$256)^(MAX(V16,1)-1)</f>
        <v>0</v>
      </c>
      <c r="W70" s="158" t="n">
        <f aca="false">(W14=1)*Assumption!$E$254/12*(1+Assumption!$E$256)^(MAX(W16,1)-1)</f>
        <v>0</v>
      </c>
      <c r="X70" s="158" t="n">
        <f aca="false">(X14=1)*Assumption!$E$254/12*(1+Assumption!$E$256)^(MAX(X16,1)-1)</f>
        <v>0</v>
      </c>
      <c r="Y70" s="158" t="n">
        <f aca="false">(Y14=1)*Assumption!$E$254/12*(1+Assumption!$E$256)^(MAX(Y16,1)-1)</f>
        <v>0</v>
      </c>
      <c r="Z70" s="158" t="n">
        <f aca="false">(Z14=1)*Assumption!$E$254/12*(1+Assumption!$E$256)^(MAX(Z16,1)-1)</f>
        <v>0</v>
      </c>
      <c r="AA70" s="158" t="n">
        <f aca="false">(AA14=1)*Assumption!$E$254/12*(1+Assumption!$E$256)^(MAX(AA16,1)-1)</f>
        <v>0</v>
      </c>
      <c r="AB70" s="158" t="n">
        <f aca="false">(AB14=1)*Assumption!$E$254/12*(1+Assumption!$E$256)^(MAX(AB16,1)-1)</f>
        <v>0</v>
      </c>
      <c r="AC70" s="158" t="n">
        <f aca="false">(AC14=1)*Assumption!$E$254/12*(1+Assumption!$E$256)^(MAX(AC16,1)-1)</f>
        <v>0</v>
      </c>
      <c r="AD70" s="158" t="n">
        <f aca="false">(AD14=1)*Assumption!$E$254/12*(1+Assumption!$E$256)^(MAX(AD16,1)-1)</f>
        <v>0</v>
      </c>
      <c r="AE70" s="158" t="n">
        <f aca="false">(AE14=1)*Assumption!$E$254/12*(1+Assumption!$E$256)^(MAX(AE16,1)-1)</f>
        <v>0</v>
      </c>
      <c r="AF70" s="158" t="n">
        <f aca="false">(AF14=1)*Assumption!$E$254/12*(1+Assumption!$E$256)^(MAX(AF16,1)-1)</f>
        <v>0</v>
      </c>
      <c r="AG70" s="158" t="n">
        <f aca="false">(AG14=1)*Assumption!$E$254/12*(1+Assumption!$E$256)^(MAX(AG16,1)-1)</f>
        <v>0</v>
      </c>
      <c r="AH70" s="158" t="n">
        <f aca="false">(AH14=1)*Assumption!$E$254/12*(1+Assumption!$E$256)^(MAX(AH16,1)-1)</f>
        <v>0</v>
      </c>
      <c r="AI70" s="158" t="n">
        <f aca="false">(AI14=1)*Assumption!$E$254/12*(1+Assumption!$E$256)^(MAX(AI16,1)-1)</f>
        <v>0</v>
      </c>
      <c r="AJ70" s="158" t="n">
        <f aca="false">(AJ14=1)*Assumption!$E$254/12*(1+Assumption!$E$256)^(MAX(AJ16,1)-1)</f>
        <v>0</v>
      </c>
      <c r="AK70" s="158" t="n">
        <f aca="false">(AK14=1)*Assumption!$E$254/12*(1+Assumption!$E$256)^(MAX(AK16,1)-1)</f>
        <v>0</v>
      </c>
      <c r="AL70" s="158" t="n">
        <f aca="false">(AL14=1)*Assumption!$E$254/12*(1+Assumption!$E$256)^(MAX(AL16,1)-1)</f>
        <v>0</v>
      </c>
      <c r="AM70" s="158" t="n">
        <f aca="false">(AM14=1)*Assumption!$E$254/12*(1+Assumption!$E$256)^(MAX(AM16,1)-1)</f>
        <v>0</v>
      </c>
      <c r="AN70" s="158" t="n">
        <f aca="false">(AN14=1)*Assumption!$E$254/12*(1+Assumption!$E$256)^(MAX(AN16,1)-1)</f>
        <v>0</v>
      </c>
      <c r="AO70" s="158" t="n">
        <f aca="false">(AO14=1)*Assumption!$E$254/12*(1+Assumption!$E$256)^(MAX(AO16,1)-1)</f>
        <v>0</v>
      </c>
      <c r="AP70" s="158" t="n">
        <f aca="false">(AP14=1)*Assumption!$E$254/12*(1+Assumption!$E$256)^(MAX(AP16,1)-1)</f>
        <v>0</v>
      </c>
      <c r="AQ70" s="158" t="n">
        <f aca="false">(AQ14=1)*Assumption!$E$254/12*(1+Assumption!$E$256)^(MAX(AQ16,1)-1)</f>
        <v>0</v>
      </c>
      <c r="AR70" s="158" t="n">
        <f aca="false">(AR14=1)*Assumption!$E$254/12*(1+Assumption!$E$256)^(MAX(AR16,1)-1)</f>
        <v>0</v>
      </c>
      <c r="AS70" s="158" t="n">
        <f aca="false">(AS14=1)*Assumption!$E$254/12*(1+Assumption!$E$256)^(MAX(AS16,1)-1)</f>
        <v>0</v>
      </c>
      <c r="AT70" s="158" t="n">
        <f aca="false">(AT14=1)*Assumption!$E$254/12*(1+Assumption!$E$256)^(MAX(AT16,1)-1)</f>
        <v>0</v>
      </c>
      <c r="AU70" s="158" t="n">
        <f aca="false">(AU14=1)*Assumption!$E$254/12*(1+Assumption!$E$256)^(MAX(AU16,1)-1)</f>
        <v>0</v>
      </c>
      <c r="AV70" s="158" t="n">
        <f aca="false">(AV14=1)*Assumption!$E$254/12*(1+Assumption!$E$256)^(MAX(AV16,1)-1)</f>
        <v>0</v>
      </c>
      <c r="AW70" s="158" t="n">
        <f aca="false">(AW14=1)*Assumption!$E$254/12*(1+Assumption!$E$256)^(MAX(AW16,1)-1)</f>
        <v>0</v>
      </c>
      <c r="AX70" s="158" t="n">
        <f aca="false">(AX14=1)*Assumption!$E$254/12*(1+Assumption!$E$256)^(MAX(AX16,1)-1)</f>
        <v>0</v>
      </c>
      <c r="AY70" s="158" t="n">
        <f aca="false">(AY14=1)*Assumption!$E$254/12*(1+Assumption!$E$256)^(MAX(AY16,1)-1)</f>
        <v>0</v>
      </c>
      <c r="AZ70" s="158" t="n">
        <f aca="false">(AZ14=1)*Assumption!$E$254/12*(1+Assumption!$E$256)^(MAX(AZ16,1)-1)</f>
        <v>0</v>
      </c>
      <c r="BA70" s="158" t="n">
        <f aca="false">(BA14=1)*Assumption!$E$254/12*(1+Assumption!$E$256)^(MAX(BA16,1)-1)</f>
        <v>0</v>
      </c>
      <c r="BB70" s="158" t="n">
        <f aca="false">(BB14=1)*Assumption!$E$254/12*(1+Assumption!$E$256)^(MAX(BB16,1)-1)</f>
        <v>0</v>
      </c>
      <c r="BC70" s="158" t="n">
        <f aca="false">(BC14=1)*Assumption!$E$254/12*(1+Assumption!$E$256)^(MAX(BC16,1)-1)</f>
        <v>0</v>
      </c>
      <c r="BD70" s="158" t="n">
        <f aca="false">(BD14=1)*Assumption!$E$254/12*(1+Assumption!$E$256)^(MAX(BD16,1)-1)</f>
        <v>0</v>
      </c>
      <c r="BE70" s="158" t="n">
        <f aca="false">(BE14=1)*Assumption!$E$254/12*(1+Assumption!$E$256)^(MAX(BE16,1)-1)</f>
        <v>0</v>
      </c>
      <c r="BF70" s="158" t="n">
        <f aca="false">(BF14=1)*Assumption!$E$254/12*(1+Assumption!$E$256)^(MAX(BF16,1)-1)</f>
        <v>0</v>
      </c>
      <c r="BG70" s="158" t="n">
        <f aca="false">(BG14=1)*Assumption!$E$254/12*(1+Assumption!$E$256)^(MAX(BG16,1)-1)</f>
        <v>0</v>
      </c>
      <c r="BH70" s="158" t="n">
        <f aca="false">(BH14=1)*Assumption!$E$254/12*(1+Assumption!$E$256)^(MAX(BH16,1)-1)</f>
        <v>0</v>
      </c>
      <c r="BI70" s="158" t="n">
        <f aca="false">(BI14=1)*Assumption!$E$254/12*(1+Assumption!$E$256)^(MAX(BI16,1)-1)</f>
        <v>0</v>
      </c>
      <c r="BJ70" s="158" t="n">
        <f aca="false">(BJ14=1)*Assumption!$E$254/12*(1+Assumption!$E$256)^(MAX(BJ16,1)-1)</f>
        <v>0</v>
      </c>
      <c r="BK70" s="158" t="n">
        <f aca="false">(BK14=1)*Assumption!$E$254/12*(1+Assumption!$E$256)^(MAX(BK16,1)-1)</f>
        <v>0</v>
      </c>
      <c r="BL70" s="158" t="n">
        <f aca="false">(BL14=1)*Assumption!$E$254/12*(1+Assumption!$E$256)^(MAX(BL16,1)-1)</f>
        <v>0</v>
      </c>
      <c r="BM70" s="158" t="n">
        <f aca="false">(BM14=1)*Assumption!$E$254/12*(1+Assumption!$E$256)^(MAX(BM16,1)-1)</f>
        <v>131.25</v>
      </c>
      <c r="BN70" s="158" t="n">
        <f aca="false">(BN14=1)*Assumption!$E$254/12*(1+Assumption!$E$256)^(MAX(BN16,1)-1)</f>
        <v>131.25</v>
      </c>
      <c r="BO70" s="158" t="n">
        <f aca="false">(BO14=1)*Assumption!$E$254/12*(1+Assumption!$E$256)^(MAX(BO16,1)-1)</f>
        <v>131.25</v>
      </c>
      <c r="BP70" s="158" t="n">
        <f aca="false">(BP14=1)*Assumption!$E$254/12*(1+Assumption!$E$256)^(MAX(BP16,1)-1)</f>
        <v>131.25</v>
      </c>
      <c r="BQ70" s="158" t="n">
        <f aca="false">(BQ14=1)*Assumption!$E$254/12*(1+Assumption!$E$256)^(MAX(BQ16,1)-1)</f>
        <v>131.25</v>
      </c>
      <c r="BR70" s="158" t="n">
        <f aca="false">(BR14=1)*Assumption!$E$254/12*(1+Assumption!$E$256)^(MAX(BR16,1)-1)</f>
        <v>131.25</v>
      </c>
      <c r="BS70" s="158" t="n">
        <f aca="false">(BS14=1)*Assumption!$E$254/12*(1+Assumption!$E$256)^(MAX(BS16,1)-1)</f>
        <v>131.25</v>
      </c>
      <c r="BT70" s="158" t="n">
        <f aca="false">(BT14=1)*Assumption!$E$254/12*(1+Assumption!$E$256)^(MAX(BT16,1)-1)</f>
        <v>131.25</v>
      </c>
      <c r="BU70" s="158" t="n">
        <f aca="false">(BU14=1)*Assumption!$E$254/12*(1+Assumption!$E$256)^(MAX(BU16,1)-1)</f>
        <v>131.25</v>
      </c>
      <c r="BV70" s="158" t="n">
        <f aca="false">(BV14=1)*Assumption!$E$254/12*(1+Assumption!$E$256)^(MAX(BV16,1)-1)</f>
        <v>131.25</v>
      </c>
      <c r="BW70" s="158" t="n">
        <f aca="false">(BW14=1)*Assumption!$E$254/12*(1+Assumption!$E$256)^(MAX(BW16,1)-1)</f>
        <v>131.25</v>
      </c>
      <c r="BX70" s="158" t="n">
        <f aca="false">(BX14=1)*Assumption!$E$254/12*(1+Assumption!$E$256)^(MAX(BX16,1)-1)</f>
        <v>131.25</v>
      </c>
      <c r="BY70" s="158" t="n">
        <f aca="false">(BY14=1)*Assumption!$E$254/12*(1+Assumption!$E$256)^(MAX(BY16,1)-1)</f>
        <v>133.875</v>
      </c>
      <c r="BZ70" s="158" t="n">
        <f aca="false">(BZ14=1)*Assumption!$E$254/12*(1+Assumption!$E$256)^(MAX(BZ16,1)-1)</f>
        <v>133.875</v>
      </c>
      <c r="CA70" s="158" t="n">
        <f aca="false">(CA14=1)*Assumption!$E$254/12*(1+Assumption!$E$256)^(MAX(CA16,1)-1)</f>
        <v>133.875</v>
      </c>
      <c r="CB70" s="158" t="n">
        <f aca="false">(CB14=1)*Assumption!$E$254/12*(1+Assumption!$E$256)^(MAX(CB16,1)-1)</f>
        <v>133.875</v>
      </c>
      <c r="CC70" s="158" t="n">
        <f aca="false">(CC14=1)*Assumption!$E$254/12*(1+Assumption!$E$256)^(MAX(CC16,1)-1)</f>
        <v>133.875</v>
      </c>
      <c r="CD70" s="158" t="n">
        <f aca="false">(CD14=1)*Assumption!$E$254/12*(1+Assumption!$E$256)^(MAX(CD16,1)-1)</f>
        <v>133.875</v>
      </c>
      <c r="CE70" s="158" t="n">
        <f aca="false">(CE14=1)*Assumption!$E$254/12*(1+Assumption!$E$256)^(MAX(CE16,1)-1)</f>
        <v>133.875</v>
      </c>
      <c r="CF70" s="158" t="n">
        <f aca="false">(CF14=1)*Assumption!$E$254/12*(1+Assumption!$E$256)^(MAX(CF16,1)-1)</f>
        <v>133.875</v>
      </c>
      <c r="CG70" s="158" t="n">
        <f aca="false">(CG14=1)*Assumption!$E$254/12*(1+Assumption!$E$256)^(MAX(CG16,1)-1)</f>
        <v>133.875</v>
      </c>
      <c r="CH70" s="158" t="n">
        <f aca="false">(CH14=1)*Assumption!$E$254/12*(1+Assumption!$E$256)^(MAX(CH16,1)-1)</f>
        <v>133.875</v>
      </c>
      <c r="CI70" s="158" t="n">
        <f aca="false">(CI14=1)*Assumption!$E$254/12*(1+Assumption!$E$256)^(MAX(CI16,1)-1)</f>
        <v>133.875</v>
      </c>
      <c r="CJ70" s="158" t="n">
        <f aca="false">(CJ14=1)*Assumption!$E$254/12*(1+Assumption!$E$256)^(MAX(CJ16,1)-1)</f>
        <v>133.875</v>
      </c>
      <c r="CK70" s="158" t="n">
        <f aca="false">(CK14=1)*Assumption!$E$254/12*(1+Assumption!$E$256)^(MAX(CK16,1)-1)</f>
        <v>136.5525</v>
      </c>
      <c r="CL70" s="158" t="n">
        <f aca="false">(CL14=1)*Assumption!$E$254/12*(1+Assumption!$E$256)^(MAX(CL16,1)-1)</f>
        <v>136.5525</v>
      </c>
      <c r="CM70" s="158" t="n">
        <f aca="false">(CM14=1)*Assumption!$E$254/12*(1+Assumption!$E$256)^(MAX(CM16,1)-1)</f>
        <v>136.5525</v>
      </c>
      <c r="CN70" s="158" t="n">
        <f aca="false">(CN14=1)*Assumption!$E$254/12*(1+Assumption!$E$256)^(MAX(CN16,1)-1)</f>
        <v>136.5525</v>
      </c>
      <c r="CO70" s="158" t="n">
        <f aca="false">(CO14=1)*Assumption!$E$254/12*(1+Assumption!$E$256)^(MAX(CO16,1)-1)</f>
        <v>136.5525</v>
      </c>
      <c r="CP70" s="158" t="n">
        <f aca="false">(CP14=1)*Assumption!$E$254/12*(1+Assumption!$E$256)^(MAX(CP16,1)-1)</f>
        <v>136.5525</v>
      </c>
      <c r="CQ70" s="158" t="n">
        <f aca="false">(CQ14=1)*Assumption!$E$254/12*(1+Assumption!$E$256)^(MAX(CQ16,1)-1)</f>
        <v>136.5525</v>
      </c>
      <c r="CR70" s="158" t="n">
        <f aca="false">(CR14=1)*Assumption!$E$254/12*(1+Assumption!$E$256)^(MAX(CR16,1)-1)</f>
        <v>136.5525</v>
      </c>
      <c r="CS70" s="158" t="n">
        <f aca="false">(CS14=1)*Assumption!$E$254/12*(1+Assumption!$E$256)^(MAX(CS16,1)-1)</f>
        <v>136.5525</v>
      </c>
      <c r="CT70" s="158" t="n">
        <f aca="false">(CT14=1)*Assumption!$E$254/12*(1+Assumption!$E$256)^(MAX(CT16,1)-1)</f>
        <v>136.5525</v>
      </c>
      <c r="CU70" s="158" t="n">
        <f aca="false">(CU14=1)*Assumption!$E$254/12*(1+Assumption!$E$256)^(MAX(CU16,1)-1)</f>
        <v>136.5525</v>
      </c>
      <c r="CV70" s="158" t="n">
        <f aca="false">(CV14=1)*Assumption!$E$254/12*(1+Assumption!$E$256)^(MAX(CV16,1)-1)</f>
        <v>136.5525</v>
      </c>
      <c r="CW70" s="158" t="n">
        <f aca="false">(CW14=1)*Assumption!$E$254/12*(1+Assumption!$E$256)^(MAX(CW16,1)-1)</f>
        <v>139.28355</v>
      </c>
      <c r="CX70" s="158" t="n">
        <f aca="false">(CX14=1)*Assumption!$E$254/12*(1+Assumption!$E$256)^(MAX(CX16,1)-1)</f>
        <v>139.28355</v>
      </c>
      <c r="CY70" s="158" t="n">
        <f aca="false">(CY14=1)*Assumption!$E$254/12*(1+Assumption!$E$256)^(MAX(CY16,1)-1)</f>
        <v>139.28355</v>
      </c>
      <c r="CZ70" s="158" t="n">
        <f aca="false">(CZ14=1)*Assumption!$E$254/12*(1+Assumption!$E$256)^(MAX(CZ16,1)-1)</f>
        <v>139.28355</v>
      </c>
      <c r="DA70" s="158" t="n">
        <f aca="false">(DA14=1)*Assumption!$E$254/12*(1+Assumption!$E$256)^(MAX(DA16,1)-1)</f>
        <v>139.28355</v>
      </c>
      <c r="DB70" s="158" t="n">
        <f aca="false">(DB14=1)*Assumption!$E$254/12*(1+Assumption!$E$256)^(MAX(DB16,1)-1)</f>
        <v>139.28355</v>
      </c>
      <c r="DC70" s="158" t="n">
        <f aca="false">(DC14=1)*Assumption!$E$254/12*(1+Assumption!$E$256)^(MAX(DC16,1)-1)</f>
        <v>139.28355</v>
      </c>
      <c r="DD70" s="158" t="n">
        <f aca="false">(DD14=1)*Assumption!$E$254/12*(1+Assumption!$E$256)^(MAX(DD16,1)-1)</f>
        <v>139.28355</v>
      </c>
      <c r="DE70" s="158" t="n">
        <f aca="false">(DE14=1)*Assumption!$E$254/12*(1+Assumption!$E$256)^(MAX(DE16,1)-1)</f>
        <v>139.28355</v>
      </c>
      <c r="DF70" s="158" t="n">
        <f aca="false">(DF14=1)*Assumption!$E$254/12*(1+Assumption!$E$256)^(MAX(DF16,1)-1)</f>
        <v>139.28355</v>
      </c>
      <c r="DG70" s="158" t="n">
        <f aca="false">(DG14=1)*Assumption!$E$254/12*(1+Assumption!$E$256)^(MAX(DG16,1)-1)</f>
        <v>139.28355</v>
      </c>
      <c r="DH70" s="158" t="n">
        <f aca="false">(DH14=1)*Assumption!$E$254/12*(1+Assumption!$E$256)^(MAX(DH16,1)-1)</f>
        <v>139.28355</v>
      </c>
      <c r="DI70" s="158" t="n">
        <f aca="false">(DI14=1)*Assumption!$E$254/12*(1+Assumption!$E$256)^(MAX(DI16,1)-1)</f>
        <v>142.069221</v>
      </c>
      <c r="DJ70" s="158" t="n">
        <f aca="false">(DJ14=1)*Assumption!$E$254/12*(1+Assumption!$E$256)^(MAX(DJ16,1)-1)</f>
        <v>142.069221</v>
      </c>
      <c r="DK70" s="158" t="n">
        <f aca="false">(DK14=1)*Assumption!$E$254/12*(1+Assumption!$E$256)^(MAX(DK16,1)-1)</f>
        <v>142.069221</v>
      </c>
      <c r="DL70" s="158" t="n">
        <f aca="false">(DL14=1)*Assumption!$E$254/12*(1+Assumption!$E$256)^(MAX(DL16,1)-1)</f>
        <v>142.069221</v>
      </c>
      <c r="DM70" s="158" t="n">
        <f aca="false">(DM14=1)*Assumption!$E$254/12*(1+Assumption!$E$256)^(MAX(DM16,1)-1)</f>
        <v>142.069221</v>
      </c>
      <c r="DN70" s="158" t="n">
        <f aca="false">(DN14=1)*Assumption!$E$254/12*(1+Assumption!$E$256)^(MAX(DN16,1)-1)</f>
        <v>142.069221</v>
      </c>
      <c r="DO70" s="158" t="n">
        <f aca="false">(DO14=1)*Assumption!$E$254/12*(1+Assumption!$E$256)^(MAX(DO16,1)-1)</f>
        <v>142.069221</v>
      </c>
      <c r="DP70" s="158" t="n">
        <f aca="false">(DP14=1)*Assumption!$E$254/12*(1+Assumption!$E$256)^(MAX(DP16,1)-1)</f>
        <v>142.069221</v>
      </c>
      <c r="DQ70" s="158" t="n">
        <f aca="false">(DQ14=1)*Assumption!$E$254/12*(1+Assumption!$E$256)^(MAX(DQ16,1)-1)</f>
        <v>142.069221</v>
      </c>
      <c r="DR70" s="158" t="n">
        <f aca="false">(DR14=1)*Assumption!$E$254/12*(1+Assumption!$E$256)^(MAX(DR16,1)-1)</f>
        <v>142.069221</v>
      </c>
      <c r="DS70" s="158" t="n">
        <f aca="false">(DS14=1)*Assumption!$E$254/12*(1+Assumption!$E$256)^(MAX(DS16,1)-1)</f>
        <v>142.069221</v>
      </c>
      <c r="DT70" s="158" t="n">
        <f aca="false">(DT14=1)*Assumption!$E$254/12*(1+Assumption!$E$256)^(MAX(DT16,1)-1)</f>
        <v>142.069221</v>
      </c>
      <c r="DU70" s="158" t="n">
        <f aca="false">(DU14=1)*Assumption!$E$254/12*(1+Assumption!$E$256)^(MAX(DU16,1)-1)</f>
        <v>0</v>
      </c>
      <c r="DV70" s="158" t="n">
        <f aca="false">(DV14=1)*Assumption!$E$254/12*(1+Assumption!$E$256)^(MAX(DV16,1)-1)</f>
        <v>0</v>
      </c>
      <c r="DW70" s="158" t="n">
        <f aca="false">(DW14=1)*Assumption!$E$254/12*(1+Assumption!$E$256)^(MAX(DW16,1)-1)</f>
        <v>0</v>
      </c>
      <c r="DX70" s="158" t="n">
        <f aca="false">(DX14=1)*Assumption!$E$254/12*(1+Assumption!$E$256)^(MAX(DX16,1)-1)</f>
        <v>0</v>
      </c>
      <c r="DY70" s="158" t="n">
        <f aca="false">(DY14=1)*Assumption!$E$254/12*(1+Assumption!$E$256)^(MAX(DY16,1)-1)</f>
        <v>0</v>
      </c>
      <c r="DZ70" s="158" t="n">
        <f aca="false">(DZ14=1)*Assumption!$E$254/12*(1+Assumption!$E$256)^(MAX(DZ16,1)-1)</f>
        <v>0</v>
      </c>
      <c r="EA70" s="158" t="n">
        <f aca="false">(EA14=1)*Assumption!$E$254/12*(1+Assumption!$E$256)^(MAX(EA16,1)-1)</f>
        <v>0</v>
      </c>
      <c r="EB70" s="158" t="n">
        <f aca="false">(EB14=1)*Assumption!$E$254/12*(1+Assumption!$E$256)^(MAX(EB16,1)-1)</f>
        <v>0</v>
      </c>
      <c r="EC70" s="158" t="n">
        <f aca="false">(EC14=1)*Assumption!$E$254/12*(1+Assumption!$E$256)^(MAX(EC16,1)-1)</f>
        <v>0</v>
      </c>
      <c r="ED70" s="158" t="n">
        <f aca="false">(ED14=1)*Assumption!$E$254/12*(1+Assumption!$E$256)^(MAX(ED16,1)-1)</f>
        <v>0</v>
      </c>
      <c r="EE70" s="158" t="n">
        <f aca="false">(EE14=1)*Assumption!$E$254/12*(1+Assumption!$E$256)^(MAX(EE16,1)-1)</f>
        <v>0</v>
      </c>
      <c r="EF70" s="158" t="n">
        <f aca="false">(EF14=1)*Assumption!$E$254/12*(1+Assumption!$E$256)^(MAX(EF16,1)-1)</f>
        <v>0</v>
      </c>
    </row>
    <row r="71" customFormat="false" ht="15" hidden="false" customHeight="false" outlineLevel="0" collapsed="false">
      <c r="A71" s="35" t="s">
        <v>533</v>
      </c>
      <c r="B71" s="241" t="s">
        <v>116</v>
      </c>
      <c r="C71" s="242" t="n">
        <f aca="false">SUM(E71:EF71)</f>
        <v>15614.25376</v>
      </c>
      <c r="E71" s="158" t="n">
        <f aca="false">(E14=1)*0*Assumption!$E$255/12*Assumption!$D$539</f>
        <v>0</v>
      </c>
      <c r="F71" s="158" t="n">
        <f aca="false">(F14=1)*E86*Assumption!$E$255/12*Assumption!$D$539</f>
        <v>0</v>
      </c>
      <c r="G71" s="158" t="n">
        <f aca="false">(G14=1)*F86*Assumption!$E$255/12*Assumption!$D$539</f>
        <v>0</v>
      </c>
      <c r="H71" s="158" t="n">
        <f aca="false">(H14=1)*G86*Assumption!$E$255/12*Assumption!$D$539</f>
        <v>0</v>
      </c>
      <c r="I71" s="158" t="n">
        <f aca="false">(I14=1)*H86*Assumption!$E$255/12*Assumption!$D$539</f>
        <v>0</v>
      </c>
      <c r="J71" s="158" t="n">
        <f aca="false">(J14=1)*I86*Assumption!$E$255/12*Assumption!$D$539</f>
        <v>0</v>
      </c>
      <c r="K71" s="158" t="n">
        <f aca="false">(K14=1)*J86*Assumption!$E$255/12*Assumption!$D$539</f>
        <v>0</v>
      </c>
      <c r="L71" s="158" t="n">
        <f aca="false">(L14=1)*K86*Assumption!$E$255/12*Assumption!$D$539</f>
        <v>0</v>
      </c>
      <c r="M71" s="158" t="n">
        <f aca="false">(M14=1)*L86*Assumption!$E$255/12*Assumption!$D$539</f>
        <v>0</v>
      </c>
      <c r="N71" s="158" t="n">
        <f aca="false">(N14=1)*M86*Assumption!$E$255/12*Assumption!$D$539</f>
        <v>0</v>
      </c>
      <c r="O71" s="158" t="n">
        <f aca="false">(O14=1)*N86*Assumption!$E$255/12*Assumption!$D$539</f>
        <v>0</v>
      </c>
      <c r="P71" s="158" t="n">
        <f aca="false">(P14=1)*O86*Assumption!$E$255/12*Assumption!$D$539</f>
        <v>0</v>
      </c>
      <c r="Q71" s="158" t="n">
        <f aca="false">(Q14=1)*P86*Assumption!$E$255/12*Assumption!$D$539</f>
        <v>0</v>
      </c>
      <c r="R71" s="158" t="n">
        <f aca="false">(R14=1)*Q86*Assumption!$E$255/12*Assumption!$D$539</f>
        <v>0</v>
      </c>
      <c r="S71" s="158" t="n">
        <f aca="false">(S14=1)*R86*Assumption!$E$255/12*Assumption!$D$539</f>
        <v>0</v>
      </c>
      <c r="T71" s="158" t="n">
        <f aca="false">(T14=1)*S86*Assumption!$E$255/12*Assumption!$D$539</f>
        <v>0</v>
      </c>
      <c r="U71" s="158" t="n">
        <f aca="false">(U14=1)*T86*Assumption!$E$255/12*Assumption!$D$539</f>
        <v>0</v>
      </c>
      <c r="V71" s="158" t="n">
        <f aca="false">(V14=1)*U86*Assumption!$E$255/12*Assumption!$D$539</f>
        <v>0</v>
      </c>
      <c r="W71" s="158" t="n">
        <f aca="false">(W14=1)*V86*Assumption!$E$255/12*Assumption!$D$539</f>
        <v>0</v>
      </c>
      <c r="X71" s="158" t="n">
        <f aca="false">(X14=1)*W86*Assumption!$E$255/12*Assumption!$D$539</f>
        <v>0</v>
      </c>
      <c r="Y71" s="158" t="n">
        <f aca="false">(Y14=1)*X86*Assumption!$E$255/12*Assumption!$D$539</f>
        <v>0</v>
      </c>
      <c r="Z71" s="158" t="n">
        <f aca="false">(Z14=1)*Y86*Assumption!$E$255/12*Assumption!$D$539</f>
        <v>0</v>
      </c>
      <c r="AA71" s="158" t="n">
        <f aca="false">(AA14=1)*Z86*Assumption!$E$255/12*Assumption!$D$539</f>
        <v>0</v>
      </c>
      <c r="AB71" s="158" t="n">
        <f aca="false">(AB14=1)*AA86*Assumption!$E$255/12*Assumption!$D$539</f>
        <v>0</v>
      </c>
      <c r="AC71" s="158" t="n">
        <f aca="false">(AC14=1)*AB86*Assumption!$E$255/12*Assumption!$D$539</f>
        <v>0</v>
      </c>
      <c r="AD71" s="158" t="n">
        <f aca="false">(AD14=1)*AC86*Assumption!$E$255/12*Assumption!$D$539</f>
        <v>0</v>
      </c>
      <c r="AE71" s="158" t="n">
        <f aca="false">(AE14=1)*AD86*Assumption!$E$255/12*Assumption!$D$539</f>
        <v>0</v>
      </c>
      <c r="AF71" s="158" t="n">
        <f aca="false">(AF14=1)*AE86*Assumption!$E$255/12*Assumption!$D$539</f>
        <v>0</v>
      </c>
      <c r="AG71" s="158" t="n">
        <f aca="false">(AG14=1)*AF86*Assumption!$E$255/12*Assumption!$D$539</f>
        <v>0</v>
      </c>
      <c r="AH71" s="158" t="n">
        <f aca="false">(AH14=1)*AG86*Assumption!$E$255/12*Assumption!$D$539</f>
        <v>0</v>
      </c>
      <c r="AI71" s="158" t="n">
        <f aca="false">(AI14=1)*AH86*Assumption!$E$255/12*Assumption!$D$539</f>
        <v>0</v>
      </c>
      <c r="AJ71" s="158" t="n">
        <f aca="false">(AJ14=1)*AI86*Assumption!$E$255/12*Assumption!$D$539</f>
        <v>0</v>
      </c>
      <c r="AK71" s="158" t="n">
        <f aca="false">(AK14=1)*AJ86*Assumption!$E$255/12*Assumption!$D$539</f>
        <v>0</v>
      </c>
      <c r="AL71" s="158" t="n">
        <f aca="false">(AL14=1)*AK86*Assumption!$E$255/12*Assumption!$D$539</f>
        <v>0</v>
      </c>
      <c r="AM71" s="158" t="n">
        <f aca="false">(AM14=1)*AL86*Assumption!$E$255/12*Assumption!$D$539</f>
        <v>0</v>
      </c>
      <c r="AN71" s="158" t="n">
        <f aca="false">(AN14=1)*AM86*Assumption!$E$255/12*Assumption!$D$539</f>
        <v>0</v>
      </c>
      <c r="AO71" s="158" t="n">
        <f aca="false">(AO14=1)*AN86*Assumption!$E$255/12*Assumption!$D$539</f>
        <v>0</v>
      </c>
      <c r="AP71" s="158" t="n">
        <f aca="false">(AP14=1)*AO86*Assumption!$E$255/12*Assumption!$D$539</f>
        <v>0</v>
      </c>
      <c r="AQ71" s="158" t="n">
        <f aca="false">(AQ14=1)*AP86*Assumption!$E$255/12*Assumption!$D$539</f>
        <v>0</v>
      </c>
      <c r="AR71" s="158" t="n">
        <f aca="false">(AR14=1)*AQ86*Assumption!$E$255/12*Assumption!$D$539</f>
        <v>0</v>
      </c>
      <c r="AS71" s="158" t="n">
        <f aca="false">(AS14=1)*AR86*Assumption!$E$255/12*Assumption!$D$539</f>
        <v>0</v>
      </c>
      <c r="AT71" s="158" t="n">
        <f aca="false">(AT14=1)*AS86*Assumption!$E$255/12*Assumption!$D$539</f>
        <v>0</v>
      </c>
      <c r="AU71" s="158" t="n">
        <f aca="false">(AU14=1)*AT86*Assumption!$E$255/12*Assumption!$D$539</f>
        <v>0</v>
      </c>
      <c r="AV71" s="158" t="n">
        <f aca="false">(AV14=1)*AU86*Assumption!$E$255/12*Assumption!$D$539</f>
        <v>0</v>
      </c>
      <c r="AW71" s="158" t="n">
        <f aca="false">(AW14=1)*AV86*Assumption!$E$255/12*Assumption!$D$539</f>
        <v>0</v>
      </c>
      <c r="AX71" s="158" t="n">
        <f aca="false">(AX14=1)*AW86*Assumption!$E$255/12*Assumption!$D$539</f>
        <v>0</v>
      </c>
      <c r="AY71" s="158" t="n">
        <f aca="false">(AY14=1)*AX86*Assumption!$E$255/12*Assumption!$D$539</f>
        <v>0</v>
      </c>
      <c r="AZ71" s="158" t="n">
        <f aca="false">(AZ14=1)*AY86*Assumption!$E$255/12*Assumption!$D$539</f>
        <v>0</v>
      </c>
      <c r="BA71" s="158" t="n">
        <f aca="false">(BA14=1)*AZ86*Assumption!$E$255/12*Assumption!$D$539</f>
        <v>0</v>
      </c>
      <c r="BB71" s="158" t="n">
        <f aca="false">(BB14=1)*BA86*Assumption!$E$255/12*Assumption!$D$539</f>
        <v>0</v>
      </c>
      <c r="BC71" s="158" t="n">
        <f aca="false">(BC14=1)*BB86*Assumption!$E$255/12*Assumption!$D$539</f>
        <v>0</v>
      </c>
      <c r="BD71" s="158" t="n">
        <f aca="false">(BD14=1)*BC86*Assumption!$E$255/12*Assumption!$D$539</f>
        <v>0</v>
      </c>
      <c r="BE71" s="158" t="n">
        <f aca="false">(BE14=1)*BD86*Assumption!$E$255/12*Assumption!$D$539</f>
        <v>0</v>
      </c>
      <c r="BF71" s="158" t="n">
        <f aca="false">(BF14=1)*BE86*Assumption!$E$255/12*Assumption!$D$539</f>
        <v>0</v>
      </c>
      <c r="BG71" s="158" t="n">
        <f aca="false">(BG14=1)*BF86*Assumption!$E$255/12*Assumption!$D$539</f>
        <v>0</v>
      </c>
      <c r="BH71" s="158" t="n">
        <f aca="false">(BH14=1)*BG86*Assumption!$E$255/12*Assumption!$D$539</f>
        <v>0</v>
      </c>
      <c r="BI71" s="158" t="n">
        <f aca="false">(BI14=1)*BH86*Assumption!$E$255/12*Assumption!$D$539</f>
        <v>0</v>
      </c>
      <c r="BJ71" s="158" t="n">
        <f aca="false">(BJ14=1)*BI86*Assumption!$E$255/12*Assumption!$D$539</f>
        <v>0</v>
      </c>
      <c r="BK71" s="158" t="n">
        <f aca="false">(BK14=1)*BJ86*Assumption!$E$255/12*Assumption!$D$539</f>
        <v>0</v>
      </c>
      <c r="BL71" s="158" t="n">
        <f aca="false">(BL14=1)*BK86*Assumption!$E$255/12*Assumption!$D$539</f>
        <v>0</v>
      </c>
      <c r="BM71" s="158" t="n">
        <f aca="false">(BM14=1)*BL86*Assumption!$E$255/12*Assumption!$D$539</f>
        <v>138.95616</v>
      </c>
      <c r="BN71" s="158" t="n">
        <f aca="false">(BN14=1)*BM86*Assumption!$E$255/12*Assumption!$D$539</f>
        <v>217.4088</v>
      </c>
      <c r="BO71" s="158" t="n">
        <f aca="false">(BO14=1)*BN86*Assumption!$E$255/12*Assumption!$D$539</f>
        <v>217.4088</v>
      </c>
      <c r="BP71" s="158" t="n">
        <f aca="false">(BP14=1)*BO86*Assumption!$E$255/12*Assumption!$D$539</f>
        <v>217.4088</v>
      </c>
      <c r="BQ71" s="158" t="n">
        <f aca="false">(BQ14=1)*BP86*Assumption!$E$255/12*Assumption!$D$539</f>
        <v>217.4088</v>
      </c>
      <c r="BR71" s="158" t="n">
        <f aca="false">(BR14=1)*BQ86*Assumption!$E$255/12*Assumption!$D$539</f>
        <v>217.4088</v>
      </c>
      <c r="BS71" s="158" t="n">
        <f aca="false">(BS14=1)*BR86*Assumption!$E$255/12*Assumption!$D$539</f>
        <v>217.4088</v>
      </c>
      <c r="BT71" s="158" t="n">
        <f aca="false">(BT14=1)*BS86*Assumption!$E$255/12*Assumption!$D$539</f>
        <v>217.4088</v>
      </c>
      <c r="BU71" s="158" t="n">
        <f aca="false">(BU14=1)*BT86*Assumption!$E$255/12*Assumption!$D$539</f>
        <v>217.4088</v>
      </c>
      <c r="BV71" s="158" t="n">
        <f aca="false">(BV14=1)*BU86*Assumption!$E$255/12*Assumption!$D$539</f>
        <v>217.4088</v>
      </c>
      <c r="BW71" s="158" t="n">
        <f aca="false">(BW14=1)*BV86*Assumption!$E$255/12*Assumption!$D$539</f>
        <v>217.4088</v>
      </c>
      <c r="BX71" s="158" t="n">
        <f aca="false">(BX14=1)*BW86*Assumption!$E$255/12*Assumption!$D$539</f>
        <v>217.4088</v>
      </c>
      <c r="BY71" s="158" t="n">
        <f aca="false">(BY14=1)*BX86*Assumption!$E$255/12*Assumption!$D$539</f>
        <v>217.4088</v>
      </c>
      <c r="BZ71" s="158" t="n">
        <f aca="false">(BZ14=1)*BY86*Assumption!$E$255/12*Assumption!$D$539</f>
        <v>270.886</v>
      </c>
      <c r="CA71" s="158" t="n">
        <f aca="false">(CA14=1)*BZ86*Assumption!$E$255/12*Assumption!$D$539</f>
        <v>270.886</v>
      </c>
      <c r="CB71" s="158" t="n">
        <f aca="false">(CB14=1)*CA86*Assumption!$E$255/12*Assumption!$D$539</f>
        <v>270.886</v>
      </c>
      <c r="CC71" s="158" t="n">
        <f aca="false">(CC14=1)*CB86*Assumption!$E$255/12*Assumption!$D$539</f>
        <v>270.886</v>
      </c>
      <c r="CD71" s="158" t="n">
        <f aca="false">(CD14=1)*CC86*Assumption!$E$255/12*Assumption!$D$539</f>
        <v>270.886</v>
      </c>
      <c r="CE71" s="158" t="n">
        <f aca="false">(CE14=1)*CD86*Assumption!$E$255/12*Assumption!$D$539</f>
        <v>270.886</v>
      </c>
      <c r="CF71" s="158" t="n">
        <f aca="false">(CF14=1)*CE86*Assumption!$E$255/12*Assumption!$D$539</f>
        <v>270.886</v>
      </c>
      <c r="CG71" s="158" t="n">
        <f aca="false">(CG14=1)*CF86*Assumption!$E$255/12*Assumption!$D$539</f>
        <v>270.886</v>
      </c>
      <c r="CH71" s="158" t="n">
        <f aca="false">(CH14=1)*CG86*Assumption!$E$255/12*Assumption!$D$539</f>
        <v>270.886</v>
      </c>
      <c r="CI71" s="158" t="n">
        <f aca="false">(CI14=1)*CH86*Assumption!$E$255/12*Assumption!$D$539</f>
        <v>270.886</v>
      </c>
      <c r="CJ71" s="158" t="n">
        <f aca="false">(CJ14=1)*CI86*Assumption!$E$255/12*Assumption!$D$539</f>
        <v>270.886</v>
      </c>
      <c r="CK71" s="158" t="n">
        <f aca="false">(CK14=1)*CJ86*Assumption!$E$255/12*Assumption!$D$539</f>
        <v>270.886</v>
      </c>
      <c r="CL71" s="158" t="n">
        <f aca="false">(CL14=1)*CK86*Assumption!$E$255/12*Assumption!$D$539</f>
        <v>274.736</v>
      </c>
      <c r="CM71" s="158" t="n">
        <f aca="false">(CM14=1)*CL86*Assumption!$E$255/12*Assumption!$D$539</f>
        <v>274.736</v>
      </c>
      <c r="CN71" s="158" t="n">
        <f aca="false">(CN14=1)*CM86*Assumption!$E$255/12*Assumption!$D$539</f>
        <v>274.736</v>
      </c>
      <c r="CO71" s="158" t="n">
        <f aca="false">(CO14=1)*CN86*Assumption!$E$255/12*Assumption!$D$539</f>
        <v>274.736</v>
      </c>
      <c r="CP71" s="158" t="n">
        <f aca="false">(CP14=1)*CO86*Assumption!$E$255/12*Assumption!$D$539</f>
        <v>274.736</v>
      </c>
      <c r="CQ71" s="158" t="n">
        <f aca="false">(CQ14=1)*CP86*Assumption!$E$255/12*Assumption!$D$539</f>
        <v>274.736</v>
      </c>
      <c r="CR71" s="158" t="n">
        <f aca="false">(CR14=1)*CQ86*Assumption!$E$255/12*Assumption!$D$539</f>
        <v>274.736</v>
      </c>
      <c r="CS71" s="158" t="n">
        <f aca="false">(CS14=1)*CR86*Assumption!$E$255/12*Assumption!$D$539</f>
        <v>274.736</v>
      </c>
      <c r="CT71" s="158" t="n">
        <f aca="false">(CT14=1)*CS86*Assumption!$E$255/12*Assumption!$D$539</f>
        <v>274.736</v>
      </c>
      <c r="CU71" s="158" t="n">
        <f aca="false">(CU14=1)*CT86*Assumption!$E$255/12*Assumption!$D$539</f>
        <v>274.736</v>
      </c>
      <c r="CV71" s="158" t="n">
        <f aca="false">(CV14=1)*CU86*Assumption!$E$255/12*Assumption!$D$539</f>
        <v>274.736</v>
      </c>
      <c r="CW71" s="158" t="n">
        <f aca="false">(CW14=1)*CV86*Assumption!$E$255/12*Assumption!$D$539</f>
        <v>274.736</v>
      </c>
      <c r="CX71" s="158" t="n">
        <f aca="false">(CX14=1)*CW86*Assumption!$E$255/12*Assumption!$D$539</f>
        <v>274.736</v>
      </c>
      <c r="CY71" s="158" t="n">
        <f aca="false">(CY14=1)*CX86*Assumption!$E$255/12*Assumption!$D$539</f>
        <v>274.736</v>
      </c>
      <c r="CZ71" s="158" t="n">
        <f aca="false">(CZ14=1)*CY86*Assumption!$E$255/12*Assumption!$D$539</f>
        <v>274.736</v>
      </c>
      <c r="DA71" s="158" t="n">
        <f aca="false">(DA14=1)*CZ86*Assumption!$E$255/12*Assumption!$D$539</f>
        <v>274.736</v>
      </c>
      <c r="DB71" s="158" t="n">
        <f aca="false">(DB14=1)*DA86*Assumption!$E$255/12*Assumption!$D$539</f>
        <v>274.736</v>
      </c>
      <c r="DC71" s="158" t="n">
        <f aca="false">(DC14=1)*DB86*Assumption!$E$255/12*Assumption!$D$539</f>
        <v>274.736</v>
      </c>
      <c r="DD71" s="158" t="n">
        <f aca="false">(DD14=1)*DC86*Assumption!$E$255/12*Assumption!$D$539</f>
        <v>274.736</v>
      </c>
      <c r="DE71" s="158" t="n">
        <f aca="false">(DE14=1)*DD86*Assumption!$E$255/12*Assumption!$D$539</f>
        <v>274.736</v>
      </c>
      <c r="DF71" s="158" t="n">
        <f aca="false">(DF14=1)*DE86*Assumption!$E$255/12*Assumption!$D$539</f>
        <v>274.736</v>
      </c>
      <c r="DG71" s="158" t="n">
        <f aca="false">(DG14=1)*DF86*Assumption!$E$255/12*Assumption!$D$539</f>
        <v>274.736</v>
      </c>
      <c r="DH71" s="158" t="n">
        <f aca="false">(DH14=1)*DG86*Assumption!$E$255/12*Assumption!$D$539</f>
        <v>274.736</v>
      </c>
      <c r="DI71" s="158" t="n">
        <f aca="false">(DI14=1)*DH86*Assumption!$E$255/12*Assumption!$D$539</f>
        <v>274.736</v>
      </c>
      <c r="DJ71" s="158" t="n">
        <f aca="false">(DJ14=1)*DI86*Assumption!$E$255/12*Assumption!$D$539</f>
        <v>274.736</v>
      </c>
      <c r="DK71" s="158" t="n">
        <f aca="false">(DK14=1)*DJ86*Assumption!$E$255/12*Assumption!$D$539</f>
        <v>274.736</v>
      </c>
      <c r="DL71" s="158" t="n">
        <f aca="false">(DL14=1)*DK86*Assumption!$E$255/12*Assumption!$D$539</f>
        <v>274.736</v>
      </c>
      <c r="DM71" s="158" t="n">
        <f aca="false">(DM14=1)*DL86*Assumption!$E$255/12*Assumption!$D$539</f>
        <v>274.736</v>
      </c>
      <c r="DN71" s="158" t="n">
        <f aca="false">(DN14=1)*DM86*Assumption!$E$255/12*Assumption!$D$539</f>
        <v>274.736</v>
      </c>
      <c r="DO71" s="158" t="n">
        <f aca="false">(DO14=1)*DN86*Assumption!$E$255/12*Assumption!$D$539</f>
        <v>274.736</v>
      </c>
      <c r="DP71" s="158" t="n">
        <f aca="false">(DP14=1)*DO86*Assumption!$E$255/12*Assumption!$D$539</f>
        <v>274.736</v>
      </c>
      <c r="DQ71" s="158" t="n">
        <f aca="false">(DQ14=1)*DP86*Assumption!$E$255/12*Assumption!$D$539</f>
        <v>274.736</v>
      </c>
      <c r="DR71" s="158" t="n">
        <f aca="false">(DR14=1)*DQ86*Assumption!$E$255/12*Assumption!$D$539</f>
        <v>274.736</v>
      </c>
      <c r="DS71" s="158" t="n">
        <f aca="false">(DS14=1)*DR86*Assumption!$E$255/12*Assumption!$D$539</f>
        <v>274.736</v>
      </c>
      <c r="DT71" s="158" t="n">
        <f aca="false">(DT14=1)*DS86*Assumption!$E$255/12*Assumption!$D$539</f>
        <v>274.736</v>
      </c>
      <c r="DU71" s="158" t="n">
        <f aca="false">(DU14=1)*DT86*Assumption!$E$255/12*Assumption!$D$539</f>
        <v>0</v>
      </c>
      <c r="DV71" s="158" t="n">
        <f aca="false">(DV14=1)*DU86*Assumption!$E$255/12*Assumption!$D$539</f>
        <v>0</v>
      </c>
      <c r="DW71" s="158" t="n">
        <f aca="false">(DW14=1)*DV86*Assumption!$E$255/12*Assumption!$D$539</f>
        <v>0</v>
      </c>
      <c r="DX71" s="158" t="n">
        <f aca="false">(DX14=1)*DW86*Assumption!$E$255/12*Assumption!$D$539</f>
        <v>0</v>
      </c>
      <c r="DY71" s="158" t="n">
        <f aca="false">(DY14=1)*DX86*Assumption!$E$255/12*Assumption!$D$539</f>
        <v>0</v>
      </c>
      <c r="DZ71" s="158" t="n">
        <f aca="false">(DZ14=1)*DY86*Assumption!$E$255/12*Assumption!$D$539</f>
        <v>0</v>
      </c>
      <c r="EA71" s="158" t="n">
        <f aca="false">(EA14=1)*DZ86*Assumption!$E$255/12*Assumption!$D$539</f>
        <v>0</v>
      </c>
      <c r="EB71" s="158" t="n">
        <f aca="false">(EB14=1)*EA86*Assumption!$E$255/12*Assumption!$D$539</f>
        <v>0</v>
      </c>
      <c r="EC71" s="158" t="n">
        <f aca="false">(EC14=1)*EB86*Assumption!$E$255/12*Assumption!$D$539</f>
        <v>0</v>
      </c>
      <c r="ED71" s="158" t="n">
        <f aca="false">(ED14=1)*EC86*Assumption!$E$255/12*Assumption!$D$539</f>
        <v>0</v>
      </c>
      <c r="EE71" s="158" t="n">
        <f aca="false">(EE14=1)*ED86*Assumption!$E$255/12*Assumption!$D$539</f>
        <v>0</v>
      </c>
      <c r="EF71" s="158" t="n">
        <f aca="false">(EF14=1)*EE86*Assumption!$E$255/12*Assumption!$D$539</f>
        <v>0</v>
      </c>
    </row>
    <row r="72" customFormat="false" ht="15" hidden="false" customHeight="false" outlineLevel="0" collapsed="false">
      <c r="A72" s="35" t="s">
        <v>534</v>
      </c>
      <c r="B72" s="241" t="s">
        <v>116</v>
      </c>
      <c r="C72" s="242" t="n">
        <f aca="false">SUM(E72:EF72)</f>
        <v>6935.97765257765</v>
      </c>
      <c r="E72" s="158" t="n">
        <f aca="false">E17*Assumption!$E$410</f>
        <v>0</v>
      </c>
      <c r="F72" s="158" t="n">
        <f aca="false">F17*Assumption!$E$410</f>
        <v>0</v>
      </c>
      <c r="G72" s="158" t="n">
        <f aca="false">G17*Assumption!$E$410</f>
        <v>0</v>
      </c>
      <c r="H72" s="158" t="n">
        <f aca="false">H17*Assumption!$E$410</f>
        <v>0</v>
      </c>
      <c r="I72" s="158" t="n">
        <f aca="false">I17*Assumption!$E$410</f>
        <v>0</v>
      </c>
      <c r="J72" s="158" t="n">
        <f aca="false">J17*Assumption!$E$410</f>
        <v>0</v>
      </c>
      <c r="K72" s="158" t="n">
        <f aca="false">K17*Assumption!$E$410</f>
        <v>0</v>
      </c>
      <c r="L72" s="158" t="n">
        <f aca="false">L17*Assumption!$E$410</f>
        <v>0</v>
      </c>
      <c r="M72" s="158" t="n">
        <f aca="false">M17*Assumption!$E$410</f>
        <v>0</v>
      </c>
      <c r="N72" s="158" t="n">
        <f aca="false">N17*Assumption!$E$410</f>
        <v>0</v>
      </c>
      <c r="O72" s="158" t="n">
        <f aca="false">O17*Assumption!$E$410</f>
        <v>0</v>
      </c>
      <c r="P72" s="158" t="n">
        <f aca="false">P17*Assumption!$E$410</f>
        <v>0</v>
      </c>
      <c r="Q72" s="158" t="n">
        <f aca="false">Q17*Assumption!$E$410</f>
        <v>0</v>
      </c>
      <c r="R72" s="158" t="n">
        <f aca="false">R17*Assumption!$E$410</f>
        <v>0</v>
      </c>
      <c r="S72" s="158" t="n">
        <f aca="false">S17*Assumption!$E$410</f>
        <v>0</v>
      </c>
      <c r="T72" s="158" t="n">
        <f aca="false">T17*Assumption!$E$410</f>
        <v>0</v>
      </c>
      <c r="U72" s="158" t="n">
        <f aca="false">U17*Assumption!$E$410</f>
        <v>0</v>
      </c>
      <c r="V72" s="158" t="n">
        <f aca="false">V17*Assumption!$E$410</f>
        <v>0</v>
      </c>
      <c r="W72" s="158" t="n">
        <f aca="false">W17*Assumption!$E$410</f>
        <v>0</v>
      </c>
      <c r="X72" s="158" t="n">
        <f aca="false">X17*Assumption!$E$410</f>
        <v>0</v>
      </c>
      <c r="Y72" s="158" t="n">
        <f aca="false">Y17*Assumption!$E$410</f>
        <v>0</v>
      </c>
      <c r="Z72" s="158" t="n">
        <f aca="false">Z17*Assumption!$E$410</f>
        <v>0</v>
      </c>
      <c r="AA72" s="158" t="n">
        <f aca="false">AA17*Assumption!$E$410</f>
        <v>0</v>
      </c>
      <c r="AB72" s="158" t="n">
        <f aca="false">AB17*Assumption!$E$410</f>
        <v>0</v>
      </c>
      <c r="AC72" s="158" t="n">
        <f aca="false">AC17*Assumption!$E$410</f>
        <v>0</v>
      </c>
      <c r="AD72" s="158" t="n">
        <f aca="false">AD17*Assumption!$E$410</f>
        <v>0</v>
      </c>
      <c r="AE72" s="158" t="n">
        <f aca="false">AE17*Assumption!$E$410</f>
        <v>0</v>
      </c>
      <c r="AF72" s="158" t="n">
        <f aca="false">AF17*Assumption!$E$410</f>
        <v>0</v>
      </c>
      <c r="AG72" s="158" t="n">
        <f aca="false">AG17*Assumption!$E$410</f>
        <v>0</v>
      </c>
      <c r="AH72" s="158" t="n">
        <f aca="false">AH17*Assumption!$E$410</f>
        <v>0</v>
      </c>
      <c r="AI72" s="158" t="n">
        <f aca="false">AI17*Assumption!$E$410</f>
        <v>0</v>
      </c>
      <c r="AJ72" s="158" t="n">
        <f aca="false">AJ17*Assumption!$E$410</f>
        <v>0</v>
      </c>
      <c r="AK72" s="158" t="n">
        <f aca="false">AK17*Assumption!$E$410</f>
        <v>0</v>
      </c>
      <c r="AL72" s="158" t="n">
        <f aca="false">AL17*Assumption!$E$410</f>
        <v>0</v>
      </c>
      <c r="AM72" s="158" t="n">
        <f aca="false">AM17*Assumption!$E$410</f>
        <v>0</v>
      </c>
      <c r="AN72" s="158" t="n">
        <f aca="false">AN17*Assumption!$E$410</f>
        <v>0</v>
      </c>
      <c r="AO72" s="158" t="n">
        <f aca="false">AO17*Assumption!$E$410</f>
        <v>0</v>
      </c>
      <c r="AP72" s="158" t="n">
        <f aca="false">AP17*Assumption!$E$410</f>
        <v>0</v>
      </c>
      <c r="AQ72" s="158" t="n">
        <f aca="false">AQ17*Assumption!$E$410</f>
        <v>0</v>
      </c>
      <c r="AR72" s="158" t="n">
        <f aca="false">AR17*Assumption!$E$410</f>
        <v>0</v>
      </c>
      <c r="AS72" s="158" t="n">
        <f aca="false">AS17*Assumption!$E$410</f>
        <v>0</v>
      </c>
      <c r="AT72" s="158" t="n">
        <f aca="false">AT17*Assumption!$E$410</f>
        <v>0</v>
      </c>
      <c r="AU72" s="158" t="n">
        <f aca="false">AU17*Assumption!$E$410</f>
        <v>0</v>
      </c>
      <c r="AV72" s="158" t="n">
        <f aca="false">AV17*Assumption!$E$410</f>
        <v>0</v>
      </c>
      <c r="AW72" s="158" t="n">
        <f aca="false">AW17*Assumption!$E$410</f>
        <v>0</v>
      </c>
      <c r="AX72" s="158" t="n">
        <f aca="false">AX17*Assumption!$E$410</f>
        <v>0</v>
      </c>
      <c r="AY72" s="158" t="n">
        <f aca="false">AY17*Assumption!$E$410</f>
        <v>0</v>
      </c>
      <c r="AZ72" s="158" t="n">
        <f aca="false">AZ17*Assumption!$E$410</f>
        <v>0</v>
      </c>
      <c r="BA72" s="158" t="n">
        <f aca="false">BA17*Assumption!$E$410</f>
        <v>0</v>
      </c>
      <c r="BB72" s="158" t="n">
        <f aca="false">BB17*Assumption!$E$410</f>
        <v>0</v>
      </c>
      <c r="BC72" s="158" t="n">
        <f aca="false">BC17*Assumption!$E$410</f>
        <v>0</v>
      </c>
      <c r="BD72" s="158" t="n">
        <f aca="false">BD17*Assumption!$E$410</f>
        <v>0</v>
      </c>
      <c r="BE72" s="158" t="n">
        <f aca="false">BE17*Assumption!$E$410</f>
        <v>0</v>
      </c>
      <c r="BF72" s="158" t="n">
        <f aca="false">BF17*Assumption!$E$410</f>
        <v>0</v>
      </c>
      <c r="BG72" s="158" t="n">
        <f aca="false">BG17*Assumption!$E$410</f>
        <v>0</v>
      </c>
      <c r="BH72" s="158" t="n">
        <f aca="false">BH17*Assumption!$E$410</f>
        <v>0</v>
      </c>
      <c r="BI72" s="158" t="n">
        <f aca="false">BI17*Assumption!$E$410</f>
        <v>0</v>
      </c>
      <c r="BJ72" s="158" t="n">
        <f aca="false">BJ17*Assumption!$E$410</f>
        <v>0</v>
      </c>
      <c r="BK72" s="158" t="n">
        <f aca="false">BK17*Assumption!$E$410</f>
        <v>0</v>
      </c>
      <c r="BL72" s="158" t="n">
        <f aca="false">BL17*Assumption!$E$410</f>
        <v>0</v>
      </c>
      <c r="BM72" s="158" t="n">
        <f aca="false">BM17*Assumption!$E$410</f>
        <v>110.094883374248</v>
      </c>
      <c r="BN72" s="158" t="n">
        <f aca="false">BN17*Assumption!$E$410</f>
        <v>110.094883374248</v>
      </c>
      <c r="BO72" s="158" t="n">
        <f aca="false">BO17*Assumption!$E$410</f>
        <v>110.094883374248</v>
      </c>
      <c r="BP72" s="158" t="n">
        <f aca="false">BP17*Assumption!$E$410</f>
        <v>110.094883374248</v>
      </c>
      <c r="BQ72" s="158" t="n">
        <f aca="false">BQ17*Assumption!$E$410</f>
        <v>110.094883374248</v>
      </c>
      <c r="BR72" s="158" t="n">
        <f aca="false">BR17*Assumption!$E$410</f>
        <v>110.094883374248</v>
      </c>
      <c r="BS72" s="158" t="n">
        <f aca="false">BS17*Assumption!$E$410</f>
        <v>110.094883374248</v>
      </c>
      <c r="BT72" s="158" t="n">
        <f aca="false">BT17*Assumption!$E$410</f>
        <v>110.094883374248</v>
      </c>
      <c r="BU72" s="158" t="n">
        <f aca="false">BU17*Assumption!$E$410</f>
        <v>110.094883374248</v>
      </c>
      <c r="BV72" s="158" t="n">
        <f aca="false">BV17*Assumption!$E$410</f>
        <v>110.094883374248</v>
      </c>
      <c r="BW72" s="158" t="n">
        <f aca="false">BW17*Assumption!$E$410</f>
        <v>110.094883374248</v>
      </c>
      <c r="BX72" s="158" t="n">
        <f aca="false">BX17*Assumption!$E$410</f>
        <v>110.094883374248</v>
      </c>
      <c r="BY72" s="158" t="n">
        <f aca="false">BY17*Assumption!$E$410</f>
        <v>110.094883374248</v>
      </c>
      <c r="BZ72" s="158" t="n">
        <f aca="false">BZ17*Assumption!$E$410</f>
        <v>110.094883374248</v>
      </c>
      <c r="CA72" s="158" t="n">
        <f aca="false">CA17*Assumption!$E$410</f>
        <v>110.094883374248</v>
      </c>
      <c r="CB72" s="158" t="n">
        <f aca="false">CB17*Assumption!$E$410</f>
        <v>110.094883374248</v>
      </c>
      <c r="CC72" s="158" t="n">
        <f aca="false">CC17*Assumption!$E$410</f>
        <v>110.094883374248</v>
      </c>
      <c r="CD72" s="158" t="n">
        <f aca="false">CD17*Assumption!$E$410</f>
        <v>110.094883374248</v>
      </c>
      <c r="CE72" s="158" t="n">
        <f aca="false">CE17*Assumption!$E$410</f>
        <v>110.094883374248</v>
      </c>
      <c r="CF72" s="158" t="n">
        <f aca="false">CF17*Assumption!$E$410</f>
        <v>110.094883374248</v>
      </c>
      <c r="CG72" s="158" t="n">
        <f aca="false">CG17*Assumption!$E$410</f>
        <v>110.094883374248</v>
      </c>
      <c r="CH72" s="158" t="n">
        <f aca="false">CH17*Assumption!$E$410</f>
        <v>110.094883374248</v>
      </c>
      <c r="CI72" s="158" t="n">
        <f aca="false">CI17*Assumption!$E$410</f>
        <v>110.094883374248</v>
      </c>
      <c r="CJ72" s="158" t="n">
        <f aca="false">CJ17*Assumption!$E$410</f>
        <v>110.094883374248</v>
      </c>
      <c r="CK72" s="158" t="n">
        <f aca="false">CK17*Assumption!$E$410</f>
        <v>110.094883374248</v>
      </c>
      <c r="CL72" s="158" t="n">
        <f aca="false">CL17*Assumption!$E$410</f>
        <v>110.094883374248</v>
      </c>
      <c r="CM72" s="158" t="n">
        <f aca="false">CM17*Assumption!$E$410</f>
        <v>110.094883374248</v>
      </c>
      <c r="CN72" s="158" t="n">
        <f aca="false">CN17*Assumption!$E$410</f>
        <v>110.094883374248</v>
      </c>
      <c r="CO72" s="158" t="n">
        <f aca="false">CO17*Assumption!$E$410</f>
        <v>110.094883374248</v>
      </c>
      <c r="CP72" s="158" t="n">
        <f aca="false">CP17*Assumption!$E$410</f>
        <v>110.094883374248</v>
      </c>
      <c r="CQ72" s="158" t="n">
        <f aca="false">CQ17*Assumption!$E$410</f>
        <v>110.094883374248</v>
      </c>
      <c r="CR72" s="158" t="n">
        <f aca="false">CR17*Assumption!$E$410</f>
        <v>110.094883374248</v>
      </c>
      <c r="CS72" s="158" t="n">
        <f aca="false">CS17*Assumption!$E$410</f>
        <v>110.094883374248</v>
      </c>
      <c r="CT72" s="158" t="n">
        <f aca="false">CT17*Assumption!$E$410</f>
        <v>110.094883374248</v>
      </c>
      <c r="CU72" s="158" t="n">
        <f aca="false">CU17*Assumption!$E$410</f>
        <v>110.094883374248</v>
      </c>
      <c r="CV72" s="158" t="n">
        <f aca="false">CV17*Assumption!$E$410</f>
        <v>110.094883374248</v>
      </c>
      <c r="CW72" s="158" t="n">
        <f aca="false">CW17*Assumption!$E$410</f>
        <v>110.094883374248</v>
      </c>
      <c r="CX72" s="158" t="n">
        <f aca="false">CX17*Assumption!$E$410</f>
        <v>110.094883374248</v>
      </c>
      <c r="CY72" s="158" t="n">
        <f aca="false">CY17*Assumption!$E$410</f>
        <v>110.094883374248</v>
      </c>
      <c r="CZ72" s="158" t="n">
        <f aca="false">CZ17*Assumption!$E$410</f>
        <v>110.094883374248</v>
      </c>
      <c r="DA72" s="158" t="n">
        <f aca="false">DA17*Assumption!$E$410</f>
        <v>110.094883374248</v>
      </c>
      <c r="DB72" s="158" t="n">
        <f aca="false">DB17*Assumption!$E$410</f>
        <v>110.094883374248</v>
      </c>
      <c r="DC72" s="158" t="n">
        <f aca="false">DC17*Assumption!$E$410</f>
        <v>110.094883374248</v>
      </c>
      <c r="DD72" s="158" t="n">
        <f aca="false">DD17*Assumption!$E$410</f>
        <v>110.094883374248</v>
      </c>
      <c r="DE72" s="158" t="n">
        <f aca="false">DE17*Assumption!$E$410</f>
        <v>110.094883374248</v>
      </c>
      <c r="DF72" s="158" t="n">
        <f aca="false">DF17*Assumption!$E$410</f>
        <v>110.094883374248</v>
      </c>
      <c r="DG72" s="158" t="n">
        <f aca="false">DG17*Assumption!$E$410</f>
        <v>110.094883374248</v>
      </c>
      <c r="DH72" s="158" t="n">
        <f aca="false">DH17*Assumption!$E$410</f>
        <v>110.094883374248</v>
      </c>
      <c r="DI72" s="158" t="n">
        <f aca="false">DI17*Assumption!$E$410</f>
        <v>110.094883374248</v>
      </c>
      <c r="DJ72" s="158" t="n">
        <f aca="false">DJ17*Assumption!$E$410</f>
        <v>110.094883374248</v>
      </c>
      <c r="DK72" s="158" t="n">
        <f aca="false">DK17*Assumption!$E$410</f>
        <v>110.094883374248</v>
      </c>
      <c r="DL72" s="158" t="n">
        <f aca="false">DL17*Assumption!$E$410</f>
        <v>110.094883374248</v>
      </c>
      <c r="DM72" s="158" t="n">
        <f aca="false">DM17*Assumption!$E$410</f>
        <v>110.094883374248</v>
      </c>
      <c r="DN72" s="158" t="n">
        <f aca="false">DN17*Assumption!$E$410</f>
        <v>110.094883374248</v>
      </c>
      <c r="DO72" s="158" t="n">
        <f aca="false">DO17*Assumption!$E$410</f>
        <v>110.094883374248</v>
      </c>
      <c r="DP72" s="158" t="n">
        <f aca="false">DP17*Assumption!$E$410</f>
        <v>110.094883374248</v>
      </c>
      <c r="DQ72" s="158" t="n">
        <f aca="false">DQ17*Assumption!$E$410</f>
        <v>110.094883374248</v>
      </c>
      <c r="DR72" s="158" t="n">
        <f aca="false">DR17*Assumption!$E$410</f>
        <v>110.094883374248</v>
      </c>
      <c r="DS72" s="158" t="n">
        <f aca="false">DS17*Assumption!$E$410</f>
        <v>110.094883374248</v>
      </c>
      <c r="DT72" s="158" t="n">
        <f aca="false">DT17*Assumption!$E$410</f>
        <v>110.094883374248</v>
      </c>
      <c r="DU72" s="158" t="n">
        <f aca="false">DU17*Assumption!$E$410</f>
        <v>110.094883374248</v>
      </c>
      <c r="DV72" s="158" t="n">
        <f aca="false">DV17*Assumption!$E$410</f>
        <v>110.094883374248</v>
      </c>
      <c r="DW72" s="158" t="n">
        <f aca="false">DW17*Assumption!$E$410</f>
        <v>110.094883374248</v>
      </c>
      <c r="DX72" s="158" t="n">
        <f aca="false">DX17*Assumption!$E$410</f>
        <v>0</v>
      </c>
      <c r="DY72" s="158" t="n">
        <f aca="false">DY17*Assumption!$E$410</f>
        <v>0</v>
      </c>
      <c r="DZ72" s="158" t="n">
        <f aca="false">DZ17*Assumption!$E$410</f>
        <v>0</v>
      </c>
      <c r="EA72" s="158" t="n">
        <f aca="false">EA17*Assumption!$E$410</f>
        <v>0</v>
      </c>
      <c r="EB72" s="158" t="n">
        <f aca="false">EB17*Assumption!$E$410</f>
        <v>0</v>
      </c>
      <c r="EC72" s="158" t="n">
        <f aca="false">EC17*Assumption!$E$410</f>
        <v>0</v>
      </c>
      <c r="ED72" s="158" t="n">
        <f aca="false">ED17*Assumption!$E$410</f>
        <v>0</v>
      </c>
      <c r="EE72" s="158" t="n">
        <f aca="false">EE17*Assumption!$E$410</f>
        <v>0</v>
      </c>
      <c r="EF72" s="158" t="n">
        <f aca="false">EF17*Assumption!$E$410</f>
        <v>0</v>
      </c>
    </row>
    <row r="73" customFormat="false" ht="15" hidden="false" customHeight="false" outlineLevel="0" collapsed="false">
      <c r="A73" s="35" t="s">
        <v>348</v>
      </c>
      <c r="B73" s="241" t="s">
        <v>116</v>
      </c>
      <c r="C73" s="242" t="n">
        <f aca="false">SUM(E73:EF73)</f>
        <v>9377.69817790405</v>
      </c>
      <c r="E73" s="158" t="n">
        <f aca="false">IF(E6=Assumption!$E$22,Assumption!$R$404,0)</f>
        <v>0</v>
      </c>
      <c r="F73" s="158" t="n">
        <f aca="false">IF(F6=Assumption!$E$22,Assumption!$R$404,0)</f>
        <v>0</v>
      </c>
      <c r="G73" s="158" t="n">
        <f aca="false">IF(G6=Assumption!$E$22,Assumption!$R$404,0)</f>
        <v>0</v>
      </c>
      <c r="H73" s="158" t="n">
        <f aca="false">IF(H6=Assumption!$E$22,Assumption!$R$404,0)</f>
        <v>0</v>
      </c>
      <c r="I73" s="158" t="n">
        <f aca="false">IF(I6=Assumption!$E$22,Assumption!$R$404,0)</f>
        <v>0</v>
      </c>
      <c r="J73" s="158" t="n">
        <f aca="false">IF(J6=Assumption!$E$22,Assumption!$R$404,0)</f>
        <v>0</v>
      </c>
      <c r="K73" s="158" t="n">
        <f aca="false">IF(K6=Assumption!$E$22,Assumption!$R$404,0)</f>
        <v>0</v>
      </c>
      <c r="L73" s="158" t="n">
        <f aca="false">IF(L6=Assumption!$E$22,Assumption!$R$404,0)</f>
        <v>0</v>
      </c>
      <c r="M73" s="158" t="n">
        <f aca="false">IF(M6=Assumption!$E$22,Assumption!$R$404,0)</f>
        <v>0</v>
      </c>
      <c r="N73" s="158" t="n">
        <f aca="false">IF(N6=Assumption!$E$22,Assumption!$R$404,0)</f>
        <v>0</v>
      </c>
      <c r="O73" s="158" t="n">
        <f aca="false">IF(O6=Assumption!$E$22,Assumption!$R$404,0)</f>
        <v>0</v>
      </c>
      <c r="P73" s="158" t="n">
        <f aca="false">IF(P6=Assumption!$E$22,Assumption!$R$404,0)</f>
        <v>0</v>
      </c>
      <c r="Q73" s="158" t="n">
        <f aca="false">IF(Q6=Assumption!$E$22,Assumption!$R$404,0)</f>
        <v>0</v>
      </c>
      <c r="R73" s="158" t="n">
        <f aca="false">IF(R6=Assumption!$E$22,Assumption!$R$404,0)</f>
        <v>0</v>
      </c>
      <c r="S73" s="158" t="n">
        <f aca="false">IF(S6=Assumption!$E$22,Assumption!$R$404,0)</f>
        <v>0</v>
      </c>
      <c r="T73" s="158" t="n">
        <f aca="false">IF(T6=Assumption!$E$22,Assumption!$R$404,0)</f>
        <v>0</v>
      </c>
      <c r="U73" s="158" t="n">
        <f aca="false">IF(U6=Assumption!$E$22,Assumption!$R$404,0)</f>
        <v>0</v>
      </c>
      <c r="V73" s="158" t="n">
        <f aca="false">IF(V6=Assumption!$E$22,Assumption!$R$404,0)</f>
        <v>0</v>
      </c>
      <c r="W73" s="158" t="n">
        <f aca="false">IF(W6=Assumption!$E$22,Assumption!$R$404,0)</f>
        <v>0</v>
      </c>
      <c r="X73" s="158" t="n">
        <f aca="false">IF(X6=Assumption!$E$22,Assumption!$R$404,0)</f>
        <v>0</v>
      </c>
      <c r="Y73" s="158" t="n">
        <f aca="false">IF(Y6=Assumption!$E$22,Assumption!$R$404,0)</f>
        <v>0</v>
      </c>
      <c r="Z73" s="158" t="n">
        <f aca="false">IF(Z6=Assumption!$E$22,Assumption!$R$404,0)</f>
        <v>0</v>
      </c>
      <c r="AA73" s="158" t="n">
        <f aca="false">IF(AA6=Assumption!$E$22,Assumption!$R$404,0)</f>
        <v>0</v>
      </c>
      <c r="AB73" s="158" t="n">
        <f aca="false">IF(AB6=Assumption!$E$22,Assumption!$R$404,0)</f>
        <v>0</v>
      </c>
      <c r="AC73" s="158" t="n">
        <f aca="false">IF(AC6=Assumption!$E$22,Assumption!$R$404,0)</f>
        <v>0</v>
      </c>
      <c r="AD73" s="158" t="n">
        <f aca="false">IF(AD6=Assumption!$E$22,Assumption!$R$404,0)</f>
        <v>0</v>
      </c>
      <c r="AE73" s="158" t="n">
        <f aca="false">IF(AE6=Assumption!$E$22,Assumption!$R$404,0)</f>
        <v>0</v>
      </c>
      <c r="AF73" s="158" t="n">
        <f aca="false">IF(AF6=Assumption!$E$22,Assumption!$R$404,0)</f>
        <v>0</v>
      </c>
      <c r="AG73" s="158" t="n">
        <f aca="false">IF(AG6=Assumption!$E$22,Assumption!$R$404,0)</f>
        <v>0</v>
      </c>
      <c r="AH73" s="158" t="n">
        <f aca="false">IF(AH6=Assumption!$E$22,Assumption!$R$404,0)</f>
        <v>0</v>
      </c>
      <c r="AI73" s="158" t="n">
        <f aca="false">IF(AI6=Assumption!$E$22,Assumption!$R$404,0)</f>
        <v>0</v>
      </c>
      <c r="AJ73" s="158" t="n">
        <f aca="false">IF(AJ6=Assumption!$E$22,Assumption!$R$404,0)</f>
        <v>0</v>
      </c>
      <c r="AK73" s="158" t="n">
        <f aca="false">IF(AK6=Assumption!$E$22,Assumption!$R$404,0)</f>
        <v>0</v>
      </c>
      <c r="AL73" s="158" t="n">
        <f aca="false">IF(AL6=Assumption!$E$22,Assumption!$R$404,0)</f>
        <v>0</v>
      </c>
      <c r="AM73" s="158" t="n">
        <f aca="false">IF(AM6=Assumption!$E$22,Assumption!$R$404,0)</f>
        <v>0</v>
      </c>
      <c r="AN73" s="158" t="n">
        <f aca="false">IF(AN6=Assumption!$E$22,Assumption!$R$404,0)</f>
        <v>0</v>
      </c>
      <c r="AO73" s="158" t="n">
        <f aca="false">IF(AO6=Assumption!$E$22,Assumption!$R$404,0)</f>
        <v>0</v>
      </c>
      <c r="AP73" s="158" t="n">
        <f aca="false">IF(AP6=Assumption!$E$22,Assumption!$R$404,0)</f>
        <v>0</v>
      </c>
      <c r="AQ73" s="158" t="n">
        <f aca="false">IF(AQ6=Assumption!$E$22,Assumption!$R$404,0)</f>
        <v>0</v>
      </c>
      <c r="AR73" s="158" t="n">
        <f aca="false">IF(AR6=Assumption!$E$22,Assumption!$R$404,0)</f>
        <v>0</v>
      </c>
      <c r="AS73" s="158" t="n">
        <f aca="false">IF(AS6=Assumption!$E$22,Assumption!$R$404,0)</f>
        <v>0</v>
      </c>
      <c r="AT73" s="158" t="n">
        <f aca="false">IF(AT6=Assumption!$E$22,Assumption!$R$404,0)</f>
        <v>0</v>
      </c>
      <c r="AU73" s="158" t="n">
        <f aca="false">IF(AU6=Assumption!$E$22,Assumption!$R$404,0)</f>
        <v>0</v>
      </c>
      <c r="AV73" s="158" t="n">
        <f aca="false">IF(AV6=Assumption!$E$22,Assumption!$R$404,0)</f>
        <v>0</v>
      </c>
      <c r="AW73" s="158" t="n">
        <f aca="false">IF(AW6=Assumption!$E$22,Assumption!$R$404,0)</f>
        <v>0</v>
      </c>
      <c r="AX73" s="158" t="n">
        <f aca="false">IF(AX6=Assumption!$E$22,Assumption!$R$404,0)</f>
        <v>0</v>
      </c>
      <c r="AY73" s="158" t="n">
        <f aca="false">IF(AY6=Assumption!$E$22,Assumption!$R$404,0)</f>
        <v>0</v>
      </c>
      <c r="AZ73" s="158" t="n">
        <f aca="false">IF(AZ6=Assumption!$E$22,Assumption!$R$404,0)</f>
        <v>0</v>
      </c>
      <c r="BA73" s="158" t="n">
        <f aca="false">IF(BA6=Assumption!$E$22,Assumption!$R$404,0)</f>
        <v>0</v>
      </c>
      <c r="BB73" s="158" t="n">
        <f aca="false">IF(BB6=Assumption!$E$22,Assumption!$R$404,0)</f>
        <v>0</v>
      </c>
      <c r="BC73" s="158" t="n">
        <f aca="false">IF(BC6=Assumption!$E$22,Assumption!$R$404,0)</f>
        <v>0</v>
      </c>
      <c r="BD73" s="158" t="n">
        <f aca="false">IF(BD6=Assumption!$E$22,Assumption!$R$404,0)</f>
        <v>0</v>
      </c>
      <c r="BE73" s="158" t="n">
        <f aca="false">IF(BE6=Assumption!$E$22,Assumption!$R$404,0)</f>
        <v>0</v>
      </c>
      <c r="BF73" s="158" t="n">
        <f aca="false">IF(BF6=Assumption!$E$22,Assumption!$R$404,0)</f>
        <v>0</v>
      </c>
      <c r="BG73" s="158" t="n">
        <f aca="false">IF(BG6=Assumption!$E$22,Assumption!$R$404,0)</f>
        <v>0</v>
      </c>
      <c r="BH73" s="158" t="n">
        <f aca="false">IF(BH6=Assumption!$E$22,Assumption!$R$404,0)</f>
        <v>0</v>
      </c>
      <c r="BI73" s="158" t="n">
        <f aca="false">IF(BI6=Assumption!$E$22,Assumption!$R$404,0)</f>
        <v>0</v>
      </c>
      <c r="BJ73" s="158" t="n">
        <f aca="false">IF(BJ6=Assumption!$E$22,Assumption!$R$404,0)</f>
        <v>0</v>
      </c>
      <c r="BK73" s="158" t="n">
        <f aca="false">IF(BK6=Assumption!$E$22,Assumption!$R$404,0)</f>
        <v>0</v>
      </c>
      <c r="BL73" s="158" t="n">
        <f aca="false">IF(BL6=Assumption!$E$22,Assumption!$R$404,0)</f>
        <v>0</v>
      </c>
      <c r="BM73" s="158" t="n">
        <f aca="false">IF(BM6=Assumption!$E$22,Assumption!$R$404,0)</f>
        <v>0</v>
      </c>
      <c r="BN73" s="158" t="n">
        <f aca="false">IF(BN6=Assumption!$E$22,Assumption!$R$404,0)</f>
        <v>0</v>
      </c>
      <c r="BO73" s="158" t="n">
        <f aca="false">IF(BO6=Assumption!$E$22,Assumption!$R$404,0)</f>
        <v>0</v>
      </c>
      <c r="BP73" s="158" t="n">
        <f aca="false">IF(BP6=Assumption!$E$22,Assumption!$R$404,0)</f>
        <v>0</v>
      </c>
      <c r="BQ73" s="158" t="n">
        <f aca="false">IF(BQ6=Assumption!$E$22,Assumption!$R$404,0)</f>
        <v>0</v>
      </c>
      <c r="BR73" s="158" t="n">
        <f aca="false">IF(BR6=Assumption!$E$22,Assumption!$R$404,0)</f>
        <v>0</v>
      </c>
      <c r="BS73" s="158" t="n">
        <f aca="false">IF(BS6=Assumption!$E$22,Assumption!$R$404,0)</f>
        <v>0</v>
      </c>
      <c r="BT73" s="158" t="n">
        <f aca="false">IF(BT6=Assumption!$E$22,Assumption!$R$404,0)</f>
        <v>0</v>
      </c>
      <c r="BU73" s="158" t="n">
        <f aca="false">IF(BU6=Assumption!$E$22,Assumption!$R$404,0)</f>
        <v>0</v>
      </c>
      <c r="BV73" s="158" t="n">
        <f aca="false">IF(BV6=Assumption!$E$22,Assumption!$R$404,0)</f>
        <v>0</v>
      </c>
      <c r="BW73" s="158" t="n">
        <f aca="false">IF(BW6=Assumption!$E$22,Assumption!$R$404,0)</f>
        <v>0</v>
      </c>
      <c r="BX73" s="158" t="n">
        <f aca="false">IF(BX6=Assumption!$E$22,Assumption!$R$404,0)</f>
        <v>0</v>
      </c>
      <c r="BY73" s="158" t="n">
        <f aca="false">IF(BY6=Assumption!$E$22,Assumption!$R$404,0)</f>
        <v>0</v>
      </c>
      <c r="BZ73" s="158" t="n">
        <f aca="false">IF(BZ6=Assumption!$E$22,Assumption!$R$404,0)</f>
        <v>0</v>
      </c>
      <c r="CA73" s="158" t="n">
        <f aca="false">IF(CA6=Assumption!$E$22,Assumption!$R$404,0)</f>
        <v>0</v>
      </c>
      <c r="CB73" s="158" t="n">
        <f aca="false">IF(CB6=Assumption!$E$22,Assumption!$R$404,0)</f>
        <v>0</v>
      </c>
      <c r="CC73" s="158" t="n">
        <f aca="false">IF(CC6=Assumption!$E$22,Assumption!$R$404,0)</f>
        <v>0</v>
      </c>
      <c r="CD73" s="158" t="n">
        <f aca="false">IF(CD6=Assumption!$E$22,Assumption!$R$404,0)</f>
        <v>0</v>
      </c>
      <c r="CE73" s="158" t="n">
        <f aca="false">IF(CE6=Assumption!$E$22,Assumption!$R$404,0)</f>
        <v>0</v>
      </c>
      <c r="CF73" s="158" t="n">
        <f aca="false">IF(CF6=Assumption!$E$22,Assumption!$R$404,0)</f>
        <v>0</v>
      </c>
      <c r="CG73" s="158" t="n">
        <f aca="false">IF(CG6=Assumption!$E$22,Assumption!$R$404,0)</f>
        <v>0</v>
      </c>
      <c r="CH73" s="158" t="n">
        <f aca="false">IF(CH6=Assumption!$E$22,Assumption!$R$404,0)</f>
        <v>0</v>
      </c>
      <c r="CI73" s="158" t="n">
        <f aca="false">IF(CI6=Assumption!$E$22,Assumption!$R$404,0)</f>
        <v>0</v>
      </c>
      <c r="CJ73" s="158" t="n">
        <f aca="false">IF(CJ6=Assumption!$E$22,Assumption!$R$404,0)</f>
        <v>0</v>
      </c>
      <c r="CK73" s="158" t="n">
        <f aca="false">IF(CK6=Assumption!$E$22,Assumption!$R$404,0)</f>
        <v>0</v>
      </c>
      <c r="CL73" s="158" t="n">
        <f aca="false">IF(CL6=Assumption!$E$22,Assumption!$R$404,0)</f>
        <v>0</v>
      </c>
      <c r="CM73" s="158" t="n">
        <f aca="false">IF(CM6=Assumption!$E$22,Assumption!$R$404,0)</f>
        <v>0</v>
      </c>
      <c r="CN73" s="158" t="n">
        <f aca="false">IF(CN6=Assumption!$E$22,Assumption!$R$404,0)</f>
        <v>0</v>
      </c>
      <c r="CO73" s="158" t="n">
        <f aca="false">IF(CO6=Assumption!$E$22,Assumption!$R$404,0)</f>
        <v>0</v>
      </c>
      <c r="CP73" s="158" t="n">
        <f aca="false">IF(CP6=Assumption!$E$22,Assumption!$R$404,0)</f>
        <v>0</v>
      </c>
      <c r="CQ73" s="158" t="n">
        <f aca="false">IF(CQ6=Assumption!$E$22,Assumption!$R$404,0)</f>
        <v>0</v>
      </c>
      <c r="CR73" s="158" t="n">
        <f aca="false">IF(CR6=Assumption!$E$22,Assumption!$R$404,0)</f>
        <v>0</v>
      </c>
      <c r="CS73" s="158" t="n">
        <f aca="false">IF(CS6=Assumption!$E$22,Assumption!$R$404,0)</f>
        <v>0</v>
      </c>
      <c r="CT73" s="158" t="n">
        <f aca="false">IF(CT6=Assumption!$E$22,Assumption!$R$404,0)</f>
        <v>0</v>
      </c>
      <c r="CU73" s="158" t="n">
        <f aca="false">IF(CU6=Assumption!$E$22,Assumption!$R$404,0)</f>
        <v>0</v>
      </c>
      <c r="CV73" s="158" t="n">
        <f aca="false">IF(CV6=Assumption!$E$22,Assumption!$R$404,0)</f>
        <v>0</v>
      </c>
      <c r="CW73" s="158" t="n">
        <f aca="false">IF(CW6=Assumption!$E$22,Assumption!$R$404,0)</f>
        <v>0</v>
      </c>
      <c r="CX73" s="158" t="n">
        <f aca="false">IF(CX6=Assumption!$E$22,Assumption!$R$404,0)</f>
        <v>0</v>
      </c>
      <c r="CY73" s="158" t="n">
        <f aca="false">IF(CY6=Assumption!$E$22,Assumption!$R$404,0)</f>
        <v>0</v>
      </c>
      <c r="CZ73" s="158" t="n">
        <f aca="false">IF(CZ6=Assumption!$E$22,Assumption!$R$404,0)</f>
        <v>0</v>
      </c>
      <c r="DA73" s="158" t="n">
        <f aca="false">IF(DA6=Assumption!$E$22,Assumption!$R$404,0)</f>
        <v>0</v>
      </c>
      <c r="DB73" s="158" t="n">
        <f aca="false">IF(DB6=Assumption!$E$22,Assumption!$R$404,0)</f>
        <v>0</v>
      </c>
      <c r="DC73" s="158" t="n">
        <f aca="false">IF(DC6=Assumption!$E$22,Assumption!$R$404,0)</f>
        <v>0</v>
      </c>
      <c r="DD73" s="158" t="n">
        <f aca="false">IF(DD6=Assumption!$E$22,Assumption!$R$404,0)</f>
        <v>0</v>
      </c>
      <c r="DE73" s="158" t="n">
        <f aca="false">IF(DE6=Assumption!$E$22,Assumption!$R$404,0)</f>
        <v>0</v>
      </c>
      <c r="DF73" s="158" t="n">
        <f aca="false">IF(DF6=Assumption!$E$22,Assumption!$R$404,0)</f>
        <v>0</v>
      </c>
      <c r="DG73" s="158" t="n">
        <f aca="false">IF(DG6=Assumption!$E$22,Assumption!$R$404,0)</f>
        <v>0</v>
      </c>
      <c r="DH73" s="158" t="n">
        <f aca="false">IF(DH6=Assumption!$E$22,Assumption!$R$404,0)</f>
        <v>0</v>
      </c>
      <c r="DI73" s="158" t="n">
        <f aca="false">IF(DI6=Assumption!$E$22,Assumption!$R$404,0)</f>
        <v>0</v>
      </c>
      <c r="DJ73" s="158" t="n">
        <f aca="false">IF(DJ6=Assumption!$E$22,Assumption!$R$404,0)</f>
        <v>0</v>
      </c>
      <c r="DK73" s="158" t="n">
        <f aca="false">IF(DK6=Assumption!$E$22,Assumption!$R$404,0)</f>
        <v>0</v>
      </c>
      <c r="DL73" s="158" t="n">
        <f aca="false">IF(DL6=Assumption!$E$22,Assumption!$R$404,0)</f>
        <v>0</v>
      </c>
      <c r="DM73" s="158" t="n">
        <f aca="false">IF(DM6=Assumption!$E$22,Assumption!$R$404,0)</f>
        <v>0</v>
      </c>
      <c r="DN73" s="158" t="n">
        <f aca="false">IF(DN6=Assumption!$E$22,Assumption!$R$404,0)</f>
        <v>0</v>
      </c>
      <c r="DO73" s="158" t="n">
        <f aca="false">IF(DO6=Assumption!$E$22,Assumption!$R$404,0)</f>
        <v>0</v>
      </c>
      <c r="DP73" s="158" t="n">
        <f aca="false">IF(DP6=Assumption!$E$22,Assumption!$R$404,0)</f>
        <v>0</v>
      </c>
      <c r="DQ73" s="158" t="n">
        <f aca="false">IF(DQ6=Assumption!$E$22,Assumption!$R$404,0)</f>
        <v>0</v>
      </c>
      <c r="DR73" s="158" t="n">
        <f aca="false">IF(DR6=Assumption!$E$22,Assumption!$R$404,0)</f>
        <v>0</v>
      </c>
      <c r="DS73" s="158" t="n">
        <f aca="false">IF(DS6=Assumption!$E$22,Assumption!$R$404,0)</f>
        <v>0</v>
      </c>
      <c r="DT73" s="158" t="n">
        <f aca="false">IF(DT6=Assumption!$E$22,Assumption!$R$404,0)</f>
        <v>9377.69817790405</v>
      </c>
      <c r="DU73" s="158" t="n">
        <f aca="false">IF(DU6=Assumption!$E$22,Assumption!$R$404,0)</f>
        <v>0</v>
      </c>
      <c r="DV73" s="158" t="n">
        <f aca="false">IF(DV6=Assumption!$E$22,Assumption!$R$404,0)</f>
        <v>0</v>
      </c>
      <c r="DW73" s="158" t="n">
        <f aca="false">IF(DW6=Assumption!$E$22,Assumption!$R$404,0)</f>
        <v>0</v>
      </c>
      <c r="DX73" s="158" t="n">
        <f aca="false">IF(DX6=Assumption!$E$22,Assumption!$R$404,0)</f>
        <v>0</v>
      </c>
      <c r="DY73" s="158" t="n">
        <f aca="false">IF(DY6=Assumption!$E$22,Assumption!$R$404,0)</f>
        <v>0</v>
      </c>
      <c r="DZ73" s="158" t="n">
        <f aca="false">IF(DZ6=Assumption!$E$22,Assumption!$R$404,0)</f>
        <v>0</v>
      </c>
      <c r="EA73" s="158" t="n">
        <f aca="false">IF(EA6=Assumption!$E$22,Assumption!$R$404,0)</f>
        <v>0</v>
      </c>
      <c r="EB73" s="158" t="n">
        <f aca="false">IF(EB6=Assumption!$E$22,Assumption!$R$404,0)</f>
        <v>0</v>
      </c>
      <c r="EC73" s="158" t="n">
        <f aca="false">IF(EC6=Assumption!$E$22,Assumption!$R$404,0)</f>
        <v>0</v>
      </c>
      <c r="ED73" s="158" t="n">
        <f aca="false">IF(ED6=Assumption!$E$22,Assumption!$R$404,0)</f>
        <v>0</v>
      </c>
      <c r="EE73" s="158" t="n">
        <f aca="false">IF(EE6=Assumption!$E$22,Assumption!$R$404,0)</f>
        <v>0</v>
      </c>
      <c r="EF73" s="158" t="n">
        <f aca="false">IF(EF6=Assumption!$E$22,Assumption!$R$404,0)</f>
        <v>0</v>
      </c>
    </row>
    <row r="74" customFormat="false" ht="15" hidden="false" customHeight="false" outlineLevel="0" collapsed="false">
      <c r="A74" s="243" t="s">
        <v>535</v>
      </c>
      <c r="B74" s="244" t="s">
        <v>116</v>
      </c>
      <c r="C74" s="245" t="n">
        <f aca="false">SUM(E74:EF74)</f>
        <v>63114.7895222759</v>
      </c>
      <c r="D74" s="13"/>
      <c r="E74" s="246" t="n">
        <f aca="false">SUM(E67:E73)</f>
        <v>0</v>
      </c>
      <c r="F74" s="246" t="n">
        <f aca="false">SUM(F67:F73)</f>
        <v>0</v>
      </c>
      <c r="G74" s="246" t="n">
        <f aca="false">SUM(G67:G73)</f>
        <v>0</v>
      </c>
      <c r="H74" s="246" t="n">
        <f aca="false">SUM(H67:H73)</f>
        <v>0</v>
      </c>
      <c r="I74" s="246" t="n">
        <f aca="false">SUM(I67:I73)</f>
        <v>0</v>
      </c>
      <c r="J74" s="246" t="n">
        <f aca="false">SUM(J67:J73)</f>
        <v>0</v>
      </c>
      <c r="K74" s="246" t="n">
        <f aca="false">SUM(K67:K73)</f>
        <v>0</v>
      </c>
      <c r="L74" s="246" t="n">
        <f aca="false">SUM(L67:L73)</f>
        <v>0</v>
      </c>
      <c r="M74" s="246" t="n">
        <f aca="false">SUM(M67:M73)</f>
        <v>0</v>
      </c>
      <c r="N74" s="246" t="n">
        <f aca="false">SUM(N67:N73)</f>
        <v>0</v>
      </c>
      <c r="O74" s="246" t="n">
        <f aca="false">SUM(O67:O73)</f>
        <v>0</v>
      </c>
      <c r="P74" s="246" t="n">
        <f aca="false">SUM(P67:P73)</f>
        <v>0</v>
      </c>
      <c r="Q74" s="246" t="n">
        <f aca="false">SUM(Q67:Q73)</f>
        <v>0</v>
      </c>
      <c r="R74" s="246" t="n">
        <f aca="false">SUM(R67:R73)</f>
        <v>0</v>
      </c>
      <c r="S74" s="246" t="n">
        <f aca="false">SUM(S67:S73)</f>
        <v>0</v>
      </c>
      <c r="T74" s="246" t="n">
        <f aca="false">SUM(T67:T73)</f>
        <v>0</v>
      </c>
      <c r="U74" s="246" t="n">
        <f aca="false">SUM(U67:U73)</f>
        <v>0</v>
      </c>
      <c r="V74" s="246" t="n">
        <f aca="false">SUM(V67:V73)</f>
        <v>0</v>
      </c>
      <c r="W74" s="246" t="n">
        <f aca="false">SUM(W67:W73)</f>
        <v>0</v>
      </c>
      <c r="X74" s="246" t="n">
        <f aca="false">SUM(X67:X73)</f>
        <v>0</v>
      </c>
      <c r="Y74" s="246" t="n">
        <f aca="false">SUM(Y67:Y73)</f>
        <v>0</v>
      </c>
      <c r="Z74" s="246" t="n">
        <f aca="false">SUM(Z67:Z73)</f>
        <v>0</v>
      </c>
      <c r="AA74" s="246" t="n">
        <f aca="false">SUM(AA67:AA73)</f>
        <v>0</v>
      </c>
      <c r="AB74" s="246" t="n">
        <f aca="false">SUM(AB67:AB73)</f>
        <v>0</v>
      </c>
      <c r="AC74" s="246" t="n">
        <f aca="false">SUM(AC67:AC73)</f>
        <v>0</v>
      </c>
      <c r="AD74" s="246" t="n">
        <f aca="false">SUM(AD67:AD73)</f>
        <v>0</v>
      </c>
      <c r="AE74" s="246" t="n">
        <f aca="false">SUM(AE67:AE73)</f>
        <v>0</v>
      </c>
      <c r="AF74" s="246" t="n">
        <f aca="false">SUM(AF67:AF73)</f>
        <v>0</v>
      </c>
      <c r="AG74" s="246" t="n">
        <f aca="false">SUM(AG67:AG73)</f>
        <v>0</v>
      </c>
      <c r="AH74" s="246" t="n">
        <f aca="false">SUM(AH67:AH73)</f>
        <v>0</v>
      </c>
      <c r="AI74" s="246" t="n">
        <f aca="false">SUM(AI67:AI73)</f>
        <v>0</v>
      </c>
      <c r="AJ74" s="246" t="n">
        <f aca="false">SUM(AJ67:AJ73)</f>
        <v>0</v>
      </c>
      <c r="AK74" s="246" t="n">
        <f aca="false">SUM(AK67:AK73)</f>
        <v>0</v>
      </c>
      <c r="AL74" s="246" t="n">
        <f aca="false">SUM(AL67:AL73)</f>
        <v>0</v>
      </c>
      <c r="AM74" s="246" t="n">
        <f aca="false">SUM(AM67:AM73)</f>
        <v>0</v>
      </c>
      <c r="AN74" s="246" t="n">
        <f aca="false">SUM(AN67:AN73)</f>
        <v>0</v>
      </c>
      <c r="AO74" s="246" t="n">
        <f aca="false">SUM(AO67:AO73)</f>
        <v>0</v>
      </c>
      <c r="AP74" s="246" t="n">
        <f aca="false">SUM(AP67:AP73)</f>
        <v>0</v>
      </c>
      <c r="AQ74" s="246" t="n">
        <f aca="false">SUM(AQ67:AQ73)</f>
        <v>0</v>
      </c>
      <c r="AR74" s="246" t="n">
        <f aca="false">SUM(AR67:AR73)</f>
        <v>0</v>
      </c>
      <c r="AS74" s="246" t="n">
        <f aca="false">SUM(AS67:AS73)</f>
        <v>0</v>
      </c>
      <c r="AT74" s="246" t="n">
        <f aca="false">SUM(AT67:AT73)</f>
        <v>0</v>
      </c>
      <c r="AU74" s="246" t="n">
        <f aca="false">SUM(AU67:AU73)</f>
        <v>0</v>
      </c>
      <c r="AV74" s="246" t="n">
        <f aca="false">SUM(AV67:AV73)</f>
        <v>0</v>
      </c>
      <c r="AW74" s="246" t="n">
        <f aca="false">SUM(AW67:AW73)</f>
        <v>0</v>
      </c>
      <c r="AX74" s="246" t="n">
        <f aca="false">SUM(AX67:AX73)</f>
        <v>0</v>
      </c>
      <c r="AY74" s="246" t="n">
        <f aca="false">SUM(AY67:AY73)</f>
        <v>0</v>
      </c>
      <c r="AZ74" s="246" t="n">
        <f aca="false">SUM(AZ67:AZ73)</f>
        <v>0</v>
      </c>
      <c r="BA74" s="246" t="n">
        <f aca="false">SUM(BA67:BA73)</f>
        <v>0</v>
      </c>
      <c r="BB74" s="246" t="n">
        <f aca="false">SUM(BB67:BB73)</f>
        <v>0</v>
      </c>
      <c r="BC74" s="246" t="n">
        <f aca="false">SUM(BC67:BC73)</f>
        <v>0</v>
      </c>
      <c r="BD74" s="246" t="n">
        <f aca="false">SUM(BD67:BD73)</f>
        <v>0</v>
      </c>
      <c r="BE74" s="246" t="n">
        <f aca="false">SUM(BE67:BE73)</f>
        <v>0</v>
      </c>
      <c r="BF74" s="246" t="n">
        <f aca="false">SUM(BF67:BF73)</f>
        <v>0</v>
      </c>
      <c r="BG74" s="246" t="n">
        <f aca="false">SUM(BG67:BG73)</f>
        <v>0</v>
      </c>
      <c r="BH74" s="246" t="n">
        <f aca="false">SUM(BH67:BH73)</f>
        <v>0</v>
      </c>
      <c r="BI74" s="246" t="n">
        <f aca="false">SUM(BI67:BI73)</f>
        <v>0</v>
      </c>
      <c r="BJ74" s="246" t="n">
        <f aca="false">SUM(BJ67:BJ73)</f>
        <v>0</v>
      </c>
      <c r="BK74" s="246" t="n">
        <f aca="false">SUM(BK67:BK73)</f>
        <v>0</v>
      </c>
      <c r="BL74" s="246" t="n">
        <f aca="false">SUM(BL67:BL73)</f>
        <v>0</v>
      </c>
      <c r="BM74" s="246" t="n">
        <f aca="false">SUM(BM67:BM73)</f>
        <v>748.452453511748</v>
      </c>
      <c r="BN74" s="246" t="n">
        <f aca="false">SUM(BN67:BN73)</f>
        <v>826.905093511748</v>
      </c>
      <c r="BO74" s="246" t="n">
        <f aca="false">SUM(BO67:BO73)</f>
        <v>826.905093511748</v>
      </c>
      <c r="BP74" s="246" t="n">
        <f aca="false">SUM(BP67:BP73)</f>
        <v>826.905093511748</v>
      </c>
      <c r="BQ74" s="246" t="n">
        <f aca="false">SUM(BQ67:BQ73)</f>
        <v>826.905093511748</v>
      </c>
      <c r="BR74" s="246" t="n">
        <f aca="false">SUM(BR67:BR73)</f>
        <v>826.905093511748</v>
      </c>
      <c r="BS74" s="246" t="n">
        <f aca="false">SUM(BS67:BS73)</f>
        <v>826.905093511748</v>
      </c>
      <c r="BT74" s="246" t="n">
        <f aca="false">SUM(BT67:BT73)</f>
        <v>826.905093511748</v>
      </c>
      <c r="BU74" s="246" t="n">
        <f aca="false">SUM(BU67:BU73)</f>
        <v>826.905093511748</v>
      </c>
      <c r="BV74" s="246" t="n">
        <f aca="false">SUM(BV67:BV73)</f>
        <v>826.905093511748</v>
      </c>
      <c r="BW74" s="246" t="n">
        <f aca="false">SUM(BW67:BW73)</f>
        <v>826.905093511748</v>
      </c>
      <c r="BX74" s="246" t="n">
        <f aca="false">SUM(BX67:BX73)</f>
        <v>826.905093511748</v>
      </c>
      <c r="BY74" s="246" t="n">
        <f aca="false">SUM(BY67:BY73)</f>
        <v>836.893121714498</v>
      </c>
      <c r="BZ74" s="246" t="n">
        <f aca="false">SUM(BZ67:BZ73)</f>
        <v>890.370321714498</v>
      </c>
      <c r="CA74" s="246" t="n">
        <f aca="false">SUM(CA67:CA73)</f>
        <v>890.370321714498</v>
      </c>
      <c r="CB74" s="246" t="n">
        <f aca="false">SUM(CB67:CB73)</f>
        <v>890.370321714498</v>
      </c>
      <c r="CC74" s="246" t="n">
        <f aca="false">SUM(CC67:CC73)</f>
        <v>890.370321714498</v>
      </c>
      <c r="CD74" s="246" t="n">
        <f aca="false">SUM(CD67:CD73)</f>
        <v>890.370321714498</v>
      </c>
      <c r="CE74" s="246" t="n">
        <f aca="false">SUM(CE67:CE73)</f>
        <v>890.370321714498</v>
      </c>
      <c r="CF74" s="246" t="n">
        <f aca="false">SUM(CF67:CF73)</f>
        <v>890.370321714498</v>
      </c>
      <c r="CG74" s="246" t="n">
        <f aca="false">SUM(CG67:CG73)</f>
        <v>890.370321714498</v>
      </c>
      <c r="CH74" s="246" t="n">
        <f aca="false">SUM(CH67:CH73)</f>
        <v>890.370321714498</v>
      </c>
      <c r="CI74" s="246" t="n">
        <f aca="false">SUM(CI67:CI73)</f>
        <v>890.370321714498</v>
      </c>
      <c r="CJ74" s="246" t="n">
        <f aca="false">SUM(CJ67:CJ73)</f>
        <v>890.370321714498</v>
      </c>
      <c r="CK74" s="246" t="n">
        <f aca="false">SUM(CK67:CK73)</f>
        <v>900.558110481303</v>
      </c>
      <c r="CL74" s="246" t="n">
        <f aca="false">SUM(CL67:CL73)</f>
        <v>904.408110481303</v>
      </c>
      <c r="CM74" s="246" t="n">
        <f aca="false">SUM(CM67:CM73)</f>
        <v>904.408110481303</v>
      </c>
      <c r="CN74" s="246" t="n">
        <f aca="false">SUM(CN67:CN73)</f>
        <v>904.408110481303</v>
      </c>
      <c r="CO74" s="246" t="n">
        <f aca="false">SUM(CO67:CO73)</f>
        <v>904.408110481303</v>
      </c>
      <c r="CP74" s="246" t="n">
        <f aca="false">SUM(CP67:CP73)</f>
        <v>904.408110481303</v>
      </c>
      <c r="CQ74" s="246" t="n">
        <f aca="false">SUM(CQ67:CQ73)</f>
        <v>904.408110481303</v>
      </c>
      <c r="CR74" s="246" t="n">
        <f aca="false">SUM(CR67:CR73)</f>
        <v>904.408110481303</v>
      </c>
      <c r="CS74" s="246" t="n">
        <f aca="false">SUM(CS67:CS73)</f>
        <v>904.408110481303</v>
      </c>
      <c r="CT74" s="246" t="n">
        <f aca="false">SUM(CT67:CT73)</f>
        <v>904.408110481303</v>
      </c>
      <c r="CU74" s="246" t="n">
        <f aca="false">SUM(CU67:CU73)</f>
        <v>904.408110481303</v>
      </c>
      <c r="CV74" s="246" t="n">
        <f aca="false">SUM(CV67:CV73)</f>
        <v>904.408110481303</v>
      </c>
      <c r="CW74" s="246" t="n">
        <f aca="false">SUM(CW67:CW73)</f>
        <v>914.799655023445</v>
      </c>
      <c r="CX74" s="246" t="n">
        <f aca="false">SUM(CX67:CX73)</f>
        <v>914.799655023445</v>
      </c>
      <c r="CY74" s="246" t="n">
        <f aca="false">SUM(CY67:CY73)</f>
        <v>914.799655023445</v>
      </c>
      <c r="CZ74" s="246" t="n">
        <f aca="false">SUM(CZ67:CZ73)</f>
        <v>914.799655023445</v>
      </c>
      <c r="DA74" s="246" t="n">
        <f aca="false">SUM(DA67:DA73)</f>
        <v>914.799655023445</v>
      </c>
      <c r="DB74" s="246" t="n">
        <f aca="false">SUM(DB67:DB73)</f>
        <v>914.799655023445</v>
      </c>
      <c r="DC74" s="246" t="n">
        <f aca="false">SUM(DC67:DC73)</f>
        <v>914.799655023445</v>
      </c>
      <c r="DD74" s="246" t="n">
        <f aca="false">SUM(DD67:DD73)</f>
        <v>914.799655023445</v>
      </c>
      <c r="DE74" s="246" t="n">
        <f aca="false">SUM(DE67:DE73)</f>
        <v>914.799655023445</v>
      </c>
      <c r="DF74" s="246" t="n">
        <f aca="false">SUM(DF67:DF73)</f>
        <v>914.799655023445</v>
      </c>
      <c r="DG74" s="246" t="n">
        <f aca="false">SUM(DG67:DG73)</f>
        <v>914.799655023445</v>
      </c>
      <c r="DH74" s="246" t="n">
        <f aca="false">SUM(DH67:DH73)</f>
        <v>914.799655023445</v>
      </c>
      <c r="DI74" s="246" t="n">
        <f aca="false">SUM(DI67:DI73)</f>
        <v>925.399030456428</v>
      </c>
      <c r="DJ74" s="246" t="n">
        <f aca="false">SUM(DJ67:DJ73)</f>
        <v>925.399030456428</v>
      </c>
      <c r="DK74" s="246" t="n">
        <f aca="false">SUM(DK67:DK73)</f>
        <v>925.399030456428</v>
      </c>
      <c r="DL74" s="246" t="n">
        <f aca="false">SUM(DL67:DL73)</f>
        <v>925.399030456428</v>
      </c>
      <c r="DM74" s="246" t="n">
        <f aca="false">SUM(DM67:DM73)</f>
        <v>925.399030456428</v>
      </c>
      <c r="DN74" s="246" t="n">
        <f aca="false">SUM(DN67:DN73)</f>
        <v>925.399030456428</v>
      </c>
      <c r="DO74" s="246" t="n">
        <f aca="false">SUM(DO67:DO73)</f>
        <v>925.399030456428</v>
      </c>
      <c r="DP74" s="246" t="n">
        <f aca="false">SUM(DP67:DP73)</f>
        <v>925.399030456428</v>
      </c>
      <c r="DQ74" s="246" t="n">
        <f aca="false">SUM(DQ67:DQ73)</f>
        <v>925.399030456428</v>
      </c>
      <c r="DR74" s="246" t="n">
        <f aca="false">SUM(DR67:DR73)</f>
        <v>925.399030456428</v>
      </c>
      <c r="DS74" s="246" t="n">
        <f aca="false">SUM(DS67:DS73)</f>
        <v>925.399030456428</v>
      </c>
      <c r="DT74" s="246" t="n">
        <f aca="false">SUM(DT67:DT73)</f>
        <v>10303.0972083605</v>
      </c>
      <c r="DU74" s="246" t="n">
        <f aca="false">SUM(DU67:DU73)</f>
        <v>110.094883374248</v>
      </c>
      <c r="DV74" s="246" t="n">
        <f aca="false">SUM(DV67:DV73)</f>
        <v>110.094883374248</v>
      </c>
      <c r="DW74" s="246" t="n">
        <f aca="false">SUM(DW67:DW73)</f>
        <v>110.094883374248</v>
      </c>
      <c r="DX74" s="246" t="n">
        <f aca="false">SUM(DX67:DX73)</f>
        <v>0</v>
      </c>
      <c r="DY74" s="246" t="n">
        <f aca="false">SUM(DY67:DY73)</f>
        <v>0</v>
      </c>
      <c r="DZ74" s="246" t="n">
        <f aca="false">SUM(DZ67:DZ73)</f>
        <v>0</v>
      </c>
      <c r="EA74" s="246" t="n">
        <f aca="false">SUM(EA67:EA73)</f>
        <v>0</v>
      </c>
      <c r="EB74" s="246" t="n">
        <f aca="false">SUM(EB67:EB73)</f>
        <v>0</v>
      </c>
      <c r="EC74" s="246" t="n">
        <f aca="false">SUM(EC67:EC73)</f>
        <v>0</v>
      </c>
      <c r="ED74" s="246" t="n">
        <f aca="false">SUM(ED67:ED73)</f>
        <v>0</v>
      </c>
      <c r="EE74" s="246" t="n">
        <f aca="false">SUM(EE67:EE73)</f>
        <v>0</v>
      </c>
      <c r="EF74" s="246" t="n">
        <f aca="false">SUM(EF67:EF73)</f>
        <v>0</v>
      </c>
    </row>
    <row r="75" customFormat="false" ht="15" hidden="false" customHeight="false" outlineLevel="0" collapsed="false">
      <c r="A75" s="243" t="s">
        <v>536</v>
      </c>
      <c r="B75" s="244" t="s">
        <v>116</v>
      </c>
      <c r="C75" s="245" t="n">
        <f aca="false">SUM(E75:EF75)</f>
        <v>252838.487969735</v>
      </c>
      <c r="D75" s="13"/>
      <c r="E75" s="246" t="n">
        <f aca="false">E64-E74</f>
        <v>0</v>
      </c>
      <c r="F75" s="246" t="n">
        <f aca="false">F64-F74</f>
        <v>0</v>
      </c>
      <c r="G75" s="246" t="n">
        <f aca="false">G64-G74</f>
        <v>0</v>
      </c>
      <c r="H75" s="246" t="n">
        <f aca="false">H64-H74</f>
        <v>0</v>
      </c>
      <c r="I75" s="246" t="n">
        <f aca="false">I64-I74</f>
        <v>0</v>
      </c>
      <c r="J75" s="246" t="n">
        <f aca="false">J64-J74</f>
        <v>0</v>
      </c>
      <c r="K75" s="246" t="n">
        <f aca="false">K64-K74</f>
        <v>0</v>
      </c>
      <c r="L75" s="246" t="n">
        <f aca="false">L64-L74</f>
        <v>0</v>
      </c>
      <c r="M75" s="246" t="n">
        <f aca="false">M64-M74</f>
        <v>0</v>
      </c>
      <c r="N75" s="246" t="n">
        <f aca="false">N64-N74</f>
        <v>0</v>
      </c>
      <c r="O75" s="246" t="n">
        <f aca="false">O64-O74</f>
        <v>0</v>
      </c>
      <c r="P75" s="246" t="n">
        <f aca="false">P64-P74</f>
        <v>0</v>
      </c>
      <c r="Q75" s="246" t="n">
        <f aca="false">Q64-Q74</f>
        <v>0</v>
      </c>
      <c r="R75" s="246" t="n">
        <f aca="false">R64-R74</f>
        <v>0</v>
      </c>
      <c r="S75" s="246" t="n">
        <f aca="false">S64-S74</f>
        <v>0</v>
      </c>
      <c r="T75" s="246" t="n">
        <f aca="false">T64-T74</f>
        <v>0</v>
      </c>
      <c r="U75" s="246" t="n">
        <f aca="false">U64-U74</f>
        <v>0</v>
      </c>
      <c r="V75" s="246" t="n">
        <f aca="false">V64-V74</f>
        <v>0</v>
      </c>
      <c r="W75" s="246" t="n">
        <f aca="false">W64-W74</f>
        <v>0</v>
      </c>
      <c r="X75" s="246" t="n">
        <f aca="false">X64-X74</f>
        <v>0</v>
      </c>
      <c r="Y75" s="246" t="n">
        <f aca="false">Y64-Y74</f>
        <v>0</v>
      </c>
      <c r="Z75" s="246" t="n">
        <f aca="false">Z64-Z74</f>
        <v>0</v>
      </c>
      <c r="AA75" s="246" t="n">
        <f aca="false">AA64-AA74</f>
        <v>0</v>
      </c>
      <c r="AB75" s="246" t="n">
        <f aca="false">AB64-AB74</f>
        <v>0</v>
      </c>
      <c r="AC75" s="246" t="n">
        <f aca="false">AC64-AC74</f>
        <v>0</v>
      </c>
      <c r="AD75" s="246" t="n">
        <f aca="false">AD64-AD74</f>
        <v>0</v>
      </c>
      <c r="AE75" s="246" t="n">
        <f aca="false">AE64-AE74</f>
        <v>0</v>
      </c>
      <c r="AF75" s="246" t="n">
        <f aca="false">AF64-AF74</f>
        <v>0</v>
      </c>
      <c r="AG75" s="246" t="n">
        <f aca="false">AG64-AG74</f>
        <v>0</v>
      </c>
      <c r="AH75" s="246" t="n">
        <f aca="false">AH64-AH74</f>
        <v>0</v>
      </c>
      <c r="AI75" s="246" t="n">
        <f aca="false">AI64-AI74</f>
        <v>0</v>
      </c>
      <c r="AJ75" s="246" t="n">
        <f aca="false">AJ64-AJ74</f>
        <v>0</v>
      </c>
      <c r="AK75" s="246" t="n">
        <f aca="false">AK64-AK74</f>
        <v>0</v>
      </c>
      <c r="AL75" s="246" t="n">
        <f aca="false">AL64-AL74</f>
        <v>0</v>
      </c>
      <c r="AM75" s="246" t="n">
        <f aca="false">AM64-AM74</f>
        <v>0</v>
      </c>
      <c r="AN75" s="246" t="n">
        <f aca="false">AN64-AN74</f>
        <v>0</v>
      </c>
      <c r="AO75" s="246" t="n">
        <f aca="false">AO64-AO74</f>
        <v>0</v>
      </c>
      <c r="AP75" s="246" t="n">
        <f aca="false">AP64-AP74</f>
        <v>0</v>
      </c>
      <c r="AQ75" s="246" t="n">
        <f aca="false">AQ64-AQ74</f>
        <v>0</v>
      </c>
      <c r="AR75" s="246" t="n">
        <f aca="false">AR64-AR74</f>
        <v>0</v>
      </c>
      <c r="AS75" s="246" t="n">
        <f aca="false">AS64-AS74</f>
        <v>0</v>
      </c>
      <c r="AT75" s="246" t="n">
        <f aca="false">AT64-AT74</f>
        <v>0</v>
      </c>
      <c r="AU75" s="246" t="n">
        <f aca="false">AU64-AU74</f>
        <v>0</v>
      </c>
      <c r="AV75" s="246" t="n">
        <f aca="false">AV64-AV74</f>
        <v>0</v>
      </c>
      <c r="AW75" s="246" t="n">
        <f aca="false">AW64-AW74</f>
        <v>0</v>
      </c>
      <c r="AX75" s="246" t="n">
        <f aca="false">AX64-AX74</f>
        <v>0</v>
      </c>
      <c r="AY75" s="246" t="n">
        <f aca="false">AY64-AY74</f>
        <v>0</v>
      </c>
      <c r="AZ75" s="246" t="n">
        <f aca="false">AZ64-AZ74</f>
        <v>0</v>
      </c>
      <c r="BA75" s="246" t="n">
        <f aca="false">BA64-BA74</f>
        <v>0</v>
      </c>
      <c r="BB75" s="246" t="n">
        <f aca="false">BB64-BB74</f>
        <v>0</v>
      </c>
      <c r="BC75" s="246" t="n">
        <f aca="false">BC64-BC74</f>
        <v>0</v>
      </c>
      <c r="BD75" s="246" t="n">
        <f aca="false">BD64-BD74</f>
        <v>0</v>
      </c>
      <c r="BE75" s="246" t="n">
        <f aca="false">BE64-BE74</f>
        <v>0</v>
      </c>
      <c r="BF75" s="246" t="n">
        <f aca="false">BF64-BF74</f>
        <v>0</v>
      </c>
      <c r="BG75" s="246" t="n">
        <f aca="false">BG64-BG74</f>
        <v>0</v>
      </c>
      <c r="BH75" s="246" t="n">
        <f aca="false">BH64-BH74</f>
        <v>0</v>
      </c>
      <c r="BI75" s="246" t="n">
        <f aca="false">BI64-BI74</f>
        <v>0</v>
      </c>
      <c r="BJ75" s="246" t="n">
        <f aca="false">BJ64-BJ74</f>
        <v>0</v>
      </c>
      <c r="BK75" s="246" t="n">
        <f aca="false">BK64-BK74</f>
        <v>0</v>
      </c>
      <c r="BL75" s="246" t="n">
        <f aca="false">BL64-BL74</f>
        <v>0</v>
      </c>
      <c r="BM75" s="246" t="n">
        <f aca="false">BM64-BM74</f>
        <v>3634.75907828338</v>
      </c>
      <c r="BN75" s="246" t="n">
        <f aca="false">BN64-BN74</f>
        <v>3474.06476596741</v>
      </c>
      <c r="BO75" s="246" t="n">
        <f aca="false">BO64-BO74</f>
        <v>3556.30643828338</v>
      </c>
      <c r="BP75" s="246" t="n">
        <f aca="false">BP64-BP74</f>
        <v>3474.06476596741</v>
      </c>
      <c r="BQ75" s="246" t="n">
        <f aca="false">BQ64-BQ74</f>
        <v>3556.30643828338</v>
      </c>
      <c r="BR75" s="246" t="n">
        <f aca="false">BR64-BR74</f>
        <v>3556.30643828338</v>
      </c>
      <c r="BS75" s="246" t="n">
        <f aca="false">BS64-BS74</f>
        <v>3474.06476596741</v>
      </c>
      <c r="BT75" s="246" t="n">
        <f aca="false">BT64-BT74</f>
        <v>3556.30643828338</v>
      </c>
      <c r="BU75" s="246" t="n">
        <f aca="false">BU64-BU74</f>
        <v>3474.06476596741</v>
      </c>
      <c r="BV75" s="246" t="n">
        <f aca="false">BV64-BV74</f>
        <v>3556.30643828338</v>
      </c>
      <c r="BW75" s="246" t="n">
        <f aca="false">BW64-BW74</f>
        <v>3556.30643828338</v>
      </c>
      <c r="BX75" s="246" t="n">
        <f aca="false">BX64-BX74</f>
        <v>3391.82309365144</v>
      </c>
      <c r="BY75" s="246" t="n">
        <f aca="false">BY64-BY74</f>
        <v>4552.14530822383</v>
      </c>
      <c r="BZ75" s="246" t="n">
        <f aca="false">BZ64-BZ74</f>
        <v>4401.87598619042</v>
      </c>
      <c r="CA75" s="246" t="n">
        <f aca="false">CA64-CA74</f>
        <v>4498.66810822383</v>
      </c>
      <c r="CB75" s="246" t="n">
        <f aca="false">CB64-CB74</f>
        <v>4401.87598619042</v>
      </c>
      <c r="CC75" s="246" t="n">
        <f aca="false">CC64-CC74</f>
        <v>4498.66810822383</v>
      </c>
      <c r="CD75" s="246" t="n">
        <f aca="false">CD64-CD74</f>
        <v>4498.66810822383</v>
      </c>
      <c r="CE75" s="246" t="n">
        <f aca="false">CE64-CE74</f>
        <v>4401.87598619042</v>
      </c>
      <c r="CF75" s="246" t="n">
        <f aca="false">CF64-CF74</f>
        <v>4498.66810822383</v>
      </c>
      <c r="CG75" s="246" t="n">
        <f aca="false">CG64-CG74</f>
        <v>4401.87598619042</v>
      </c>
      <c r="CH75" s="246" t="n">
        <f aca="false">CH64-CH74</f>
        <v>4498.66810822383</v>
      </c>
      <c r="CI75" s="246" t="n">
        <f aca="false">CI64-CI74</f>
        <v>4498.66810822383</v>
      </c>
      <c r="CJ75" s="246" t="n">
        <f aca="false">CJ64-CJ74</f>
        <v>4208.29174212359</v>
      </c>
      <c r="CK75" s="246" t="n">
        <f aca="false">CK64-CK74</f>
        <v>4596.26108805579</v>
      </c>
      <c r="CL75" s="246" t="n">
        <f aca="false">CL64-CL74</f>
        <v>4493.68312358171</v>
      </c>
      <c r="CM75" s="246" t="n">
        <f aca="false">CM64-CM74</f>
        <v>4592.41108805579</v>
      </c>
      <c r="CN75" s="246" t="n">
        <f aca="false">CN64-CN74</f>
        <v>4493.68312358171</v>
      </c>
      <c r="CO75" s="246" t="n">
        <f aca="false">CO64-CO74</f>
        <v>4592.41108805579</v>
      </c>
      <c r="CP75" s="246" t="n">
        <f aca="false">CP64-CP74</f>
        <v>4592.41108805579</v>
      </c>
      <c r="CQ75" s="246" t="n">
        <f aca="false">CQ64-CQ74</f>
        <v>4493.68312358171</v>
      </c>
      <c r="CR75" s="246" t="n">
        <f aca="false">CR64-CR74</f>
        <v>4592.41108805579</v>
      </c>
      <c r="CS75" s="246" t="n">
        <f aca="false">CS64-CS74</f>
        <v>4493.68312358171</v>
      </c>
      <c r="CT75" s="246" t="n">
        <f aca="false">CT64-CT74</f>
        <v>4592.41108805579</v>
      </c>
      <c r="CU75" s="246" t="n">
        <f aca="false">CU64-CU74</f>
        <v>4592.41108805579</v>
      </c>
      <c r="CV75" s="246" t="n">
        <f aca="false">CV64-CV74</f>
        <v>4296.22719463355</v>
      </c>
      <c r="CW75" s="246" t="n">
        <f aca="false">CW64-CW74</f>
        <v>4691.95592748439</v>
      </c>
      <c r="CX75" s="246" t="n">
        <f aca="false">CX64-CX74</f>
        <v>4591.25340372083</v>
      </c>
      <c r="CY75" s="246" t="n">
        <f aca="false">CY64-CY74</f>
        <v>4691.95592748439</v>
      </c>
      <c r="CZ75" s="246" t="n">
        <f aca="false">CZ64-CZ74</f>
        <v>4591.25340372083</v>
      </c>
      <c r="DA75" s="246" t="n">
        <f aca="false">DA64-DA74</f>
        <v>4691.95592748439</v>
      </c>
      <c r="DB75" s="246" t="n">
        <f aca="false">DB64-DB74</f>
        <v>4691.95592748439</v>
      </c>
      <c r="DC75" s="246" t="n">
        <f aca="false">DC64-DC74</f>
        <v>4591.25340372083</v>
      </c>
      <c r="DD75" s="246" t="n">
        <f aca="false">DD64-DD74</f>
        <v>4691.95592748439</v>
      </c>
      <c r="DE75" s="246" t="n">
        <f aca="false">DE64-DE74</f>
        <v>4591.25340372083</v>
      </c>
      <c r="DF75" s="246" t="n">
        <f aca="false">DF64-DF74</f>
        <v>4691.95592748439</v>
      </c>
      <c r="DG75" s="246" t="n">
        <f aca="false">DG64-DG74</f>
        <v>4691.95592748439</v>
      </c>
      <c r="DH75" s="246" t="n">
        <f aca="false">DH64-DH74</f>
        <v>4389.8483561937</v>
      </c>
      <c r="DI75" s="246" t="n">
        <f aca="false">DI64-DI74</f>
        <v>4793.49166370157</v>
      </c>
      <c r="DJ75" s="246" t="n">
        <f aca="false">DJ64-DJ74</f>
        <v>4690.77508946273</v>
      </c>
      <c r="DK75" s="246" t="n">
        <f aca="false">DK64-DK74</f>
        <v>4793.49166370157</v>
      </c>
      <c r="DL75" s="246" t="n">
        <f aca="false">DL64-DL74</f>
        <v>4690.77508946273</v>
      </c>
      <c r="DM75" s="246" t="n">
        <f aca="false">DM64-DM74</f>
        <v>4793.49166370157</v>
      </c>
      <c r="DN75" s="246" t="n">
        <f aca="false">DN64-DN74</f>
        <v>4793.49166370157</v>
      </c>
      <c r="DO75" s="246" t="n">
        <f aca="false">DO64-DO74</f>
        <v>4690.77508946273</v>
      </c>
      <c r="DP75" s="246" t="n">
        <f aca="false">DP64-DP74</f>
        <v>4793.49166370157</v>
      </c>
      <c r="DQ75" s="246" t="n">
        <f aca="false">DQ64-DQ74</f>
        <v>4690.77508946273</v>
      </c>
      <c r="DR75" s="246" t="n">
        <f aca="false">DR64-DR74</f>
        <v>4793.49166370157</v>
      </c>
      <c r="DS75" s="246" t="n">
        <f aca="false">DS64-DS74</f>
        <v>4793.49166370157</v>
      </c>
      <c r="DT75" s="246" t="n">
        <f aca="false">DT64-DT74</f>
        <v>-4789.63966268015</v>
      </c>
      <c r="DU75" s="246" t="n">
        <f aca="false">DU64-DU74</f>
        <v>-110.094883374248</v>
      </c>
      <c r="DV75" s="246" t="n">
        <f aca="false">DV64-DV74</f>
        <v>-110.094883374248</v>
      </c>
      <c r="DW75" s="246" t="n">
        <f aca="false">DW64-DW74</f>
        <v>-110.094883374248</v>
      </c>
      <c r="DX75" s="246" t="n">
        <f aca="false">DX64-DX74</f>
        <v>0</v>
      </c>
      <c r="DY75" s="246" t="n">
        <f aca="false">DY64-DY74</f>
        <v>0</v>
      </c>
      <c r="DZ75" s="246" t="n">
        <f aca="false">DZ64-DZ74</f>
        <v>0</v>
      </c>
      <c r="EA75" s="246" t="n">
        <f aca="false">EA64-EA74</f>
        <v>0</v>
      </c>
      <c r="EB75" s="246" t="n">
        <f aca="false">EB64-EB74</f>
        <v>0</v>
      </c>
      <c r="EC75" s="246" t="n">
        <f aca="false">EC64-EC74</f>
        <v>0</v>
      </c>
      <c r="ED75" s="246" t="n">
        <f aca="false">ED64-ED74</f>
        <v>0</v>
      </c>
      <c r="EE75" s="246" t="n">
        <f aca="false">EE64-EE74</f>
        <v>0</v>
      </c>
      <c r="EF75" s="246" t="n">
        <f aca="false">EF64-EF74</f>
        <v>0</v>
      </c>
    </row>
    <row r="77" customFormat="false" ht="15" hidden="false" customHeight="false" outlineLevel="0" collapsed="false">
      <c r="A77" s="176" t="s">
        <v>537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6"/>
      <c r="DT77" s="86"/>
      <c r="DU77" s="86"/>
      <c r="DV77" s="86"/>
      <c r="DW77" s="86"/>
      <c r="DX77" s="86"/>
      <c r="DY77" s="86"/>
      <c r="DZ77" s="86"/>
      <c r="EA77" s="86"/>
      <c r="EB77" s="86"/>
      <c r="EC77" s="86"/>
      <c r="ED77" s="86"/>
      <c r="EE77" s="86"/>
      <c r="EF77" s="86"/>
    </row>
    <row r="78" customFormat="false" ht="15" hidden="false" customHeight="false" outlineLevel="0" collapsed="false">
      <c r="A78" s="35" t="s">
        <v>538</v>
      </c>
      <c r="B78" s="241" t="s">
        <v>116</v>
      </c>
      <c r="C78" s="242" t="n">
        <f aca="false">SUM(E78:EF78)</f>
        <v>540000</v>
      </c>
      <c r="E78" s="158" t="n">
        <f aca="false">Assumption!$E$84*(Assumption!$E$90*SUMIF(Assumption!$J$83:$J$87,E6,Assumption!$I$83:$I$87)+IF(E15=13,Assumption!$E$91-Assumption!$E$90,0)+IF(E15=25,Assumption!$E$92-Assumption!$E$91,0))</f>
        <v>0</v>
      </c>
      <c r="F78" s="158" t="n">
        <f aca="false">Assumption!$E$84*(Assumption!$E$90*SUMIF(Assumption!$J$83:$J$87,F6,Assumption!$I$83:$I$87)+IF(F15=13,Assumption!$E$91-Assumption!$E$90,0)+IF(F15=25,Assumption!$E$92-Assumption!$E$91,0))</f>
        <v>0</v>
      </c>
      <c r="G78" s="158" t="n">
        <f aca="false">Assumption!$E$84*(Assumption!$E$90*SUMIF(Assumption!$J$83:$J$87,G6,Assumption!$I$83:$I$87)+IF(G15=13,Assumption!$E$91-Assumption!$E$90,0)+IF(G15=25,Assumption!$E$92-Assumption!$E$91,0))</f>
        <v>0</v>
      </c>
      <c r="H78" s="158" t="n">
        <f aca="false">Assumption!$E$84*(Assumption!$E$90*SUMIF(Assumption!$J$83:$J$87,H6,Assumption!$I$83:$I$87)+IF(H15=13,Assumption!$E$91-Assumption!$E$90,0)+IF(H15=25,Assumption!$E$92-Assumption!$E$91,0))</f>
        <v>0</v>
      </c>
      <c r="I78" s="158" t="n">
        <f aca="false">Assumption!$E$84*(Assumption!$E$90*SUMIF(Assumption!$J$83:$J$87,I6,Assumption!$I$83:$I$87)+IF(I15=13,Assumption!$E$91-Assumption!$E$90,0)+IF(I15=25,Assumption!$E$92-Assumption!$E$91,0))</f>
        <v>0</v>
      </c>
      <c r="J78" s="158" t="n">
        <f aca="false">Assumption!$E$84*(Assumption!$E$90*SUMIF(Assumption!$J$83:$J$87,J6,Assumption!$I$83:$I$87)+IF(J15=13,Assumption!$E$91-Assumption!$E$90,0)+IF(J15=25,Assumption!$E$92-Assumption!$E$91,0))</f>
        <v>0</v>
      </c>
      <c r="K78" s="158" t="n">
        <f aca="false">Assumption!$E$84*(Assumption!$E$90*SUMIF(Assumption!$J$83:$J$87,K6,Assumption!$I$83:$I$87)+IF(K15=13,Assumption!$E$91-Assumption!$E$90,0)+IF(K15=25,Assumption!$E$92-Assumption!$E$91,0))</f>
        <v>0</v>
      </c>
      <c r="L78" s="158" t="n">
        <f aca="false">Assumption!$E$84*(Assumption!$E$90*SUMIF(Assumption!$J$83:$J$87,L6,Assumption!$I$83:$I$87)+IF(L15=13,Assumption!$E$91-Assumption!$E$90,0)+IF(L15=25,Assumption!$E$92-Assumption!$E$91,0))</f>
        <v>0</v>
      </c>
      <c r="M78" s="158" t="n">
        <f aca="false">Assumption!$E$84*(Assumption!$E$90*SUMIF(Assumption!$J$83:$J$87,M6,Assumption!$I$83:$I$87)+IF(M15=13,Assumption!$E$91-Assumption!$E$90,0)+IF(M15=25,Assumption!$E$92-Assumption!$E$91,0))</f>
        <v>0</v>
      </c>
      <c r="N78" s="158" t="n">
        <f aca="false">Assumption!$E$84*(Assumption!$E$90*SUMIF(Assumption!$J$83:$J$87,N6,Assumption!$I$83:$I$87)+IF(N15=13,Assumption!$E$91-Assumption!$E$90,0)+IF(N15=25,Assumption!$E$92-Assumption!$E$91,0))</f>
        <v>0</v>
      </c>
      <c r="O78" s="158" t="n">
        <f aca="false">Assumption!$E$84*(Assumption!$E$90*SUMIF(Assumption!$J$83:$J$87,O6,Assumption!$I$83:$I$87)+IF(O15=13,Assumption!$E$91-Assumption!$E$90,0)+IF(O15=25,Assumption!$E$92-Assumption!$E$91,0))</f>
        <v>0</v>
      </c>
      <c r="P78" s="158" t="n">
        <f aca="false">Assumption!$E$84*(Assumption!$E$90*SUMIF(Assumption!$J$83:$J$87,P6,Assumption!$I$83:$I$87)+IF(P15=13,Assumption!$E$91-Assumption!$E$90,0)+IF(P15=25,Assumption!$E$92-Assumption!$E$91,0))</f>
        <v>0</v>
      </c>
      <c r="Q78" s="158" t="n">
        <f aca="false">Assumption!$E$84*(Assumption!$E$90*SUMIF(Assumption!$J$83:$J$87,Q6,Assumption!$I$83:$I$87)+IF(Q15=13,Assumption!$E$91-Assumption!$E$90,0)+IF(Q15=25,Assumption!$E$92-Assumption!$E$91,0))</f>
        <v>43200</v>
      </c>
      <c r="R78" s="158" t="n">
        <f aca="false">Assumption!$E$84*(Assumption!$E$90*SUMIF(Assumption!$J$83:$J$87,R6,Assumption!$I$83:$I$87)+IF(R15=13,Assumption!$E$91-Assumption!$E$90,0)+IF(R15=25,Assumption!$E$92-Assumption!$E$91,0))</f>
        <v>0</v>
      </c>
      <c r="S78" s="158" t="n">
        <f aca="false">Assumption!$E$84*(Assumption!$E$90*SUMIF(Assumption!$J$83:$J$87,S6,Assumption!$I$83:$I$87)+IF(S15=13,Assumption!$E$91-Assumption!$E$90,0)+IF(S15=25,Assumption!$E$92-Assumption!$E$91,0))</f>
        <v>0</v>
      </c>
      <c r="T78" s="158" t="n">
        <f aca="false">Assumption!$E$84*(Assumption!$E$90*SUMIF(Assumption!$J$83:$J$87,T6,Assumption!$I$83:$I$87)+IF(T15=13,Assumption!$E$91-Assumption!$E$90,0)+IF(T15=25,Assumption!$E$92-Assumption!$E$91,0))</f>
        <v>0</v>
      </c>
      <c r="U78" s="158" t="n">
        <f aca="false">Assumption!$E$84*(Assumption!$E$90*SUMIF(Assumption!$J$83:$J$87,U6,Assumption!$I$83:$I$87)+IF(U15=13,Assumption!$E$91-Assumption!$E$90,0)+IF(U15=25,Assumption!$E$92-Assumption!$E$91,0))</f>
        <v>0</v>
      </c>
      <c r="V78" s="158" t="n">
        <f aca="false">Assumption!$E$84*(Assumption!$E$90*SUMIF(Assumption!$J$83:$J$87,V6,Assumption!$I$83:$I$87)+IF(V15=13,Assumption!$E$91-Assumption!$E$90,0)+IF(V15=25,Assumption!$E$92-Assumption!$E$91,0))</f>
        <v>0</v>
      </c>
      <c r="W78" s="158" t="n">
        <f aca="false">Assumption!$E$84*(Assumption!$E$90*SUMIF(Assumption!$J$83:$J$87,W6,Assumption!$I$83:$I$87)+IF(W15=13,Assumption!$E$91-Assumption!$E$90,0)+IF(W15=25,Assumption!$E$92-Assumption!$E$91,0))</f>
        <v>0</v>
      </c>
      <c r="X78" s="158" t="n">
        <f aca="false">Assumption!$E$84*(Assumption!$E$90*SUMIF(Assumption!$J$83:$J$87,X6,Assumption!$I$83:$I$87)+IF(X15=13,Assumption!$E$91-Assumption!$E$90,0)+IF(X15=25,Assumption!$E$92-Assumption!$E$91,0))</f>
        <v>0</v>
      </c>
      <c r="Y78" s="158" t="n">
        <f aca="false">Assumption!$E$84*(Assumption!$E$90*SUMIF(Assumption!$J$83:$J$87,Y6,Assumption!$I$83:$I$87)+IF(Y15=13,Assumption!$E$91-Assumption!$E$90,0)+IF(Y15=25,Assumption!$E$92-Assumption!$E$91,0))</f>
        <v>0</v>
      </c>
      <c r="Z78" s="158" t="n">
        <f aca="false">Assumption!$E$84*(Assumption!$E$90*SUMIF(Assumption!$J$83:$J$87,Z6,Assumption!$I$83:$I$87)+IF(Z15=13,Assumption!$E$91-Assumption!$E$90,0)+IF(Z15=25,Assumption!$E$92-Assumption!$E$91,0))</f>
        <v>0</v>
      </c>
      <c r="AA78" s="158" t="n">
        <f aca="false">Assumption!$E$84*(Assumption!$E$90*SUMIF(Assumption!$J$83:$J$87,AA6,Assumption!$I$83:$I$87)+IF(AA15=13,Assumption!$E$91-Assumption!$E$90,0)+IF(AA15=25,Assumption!$E$92-Assumption!$E$91,0))</f>
        <v>0</v>
      </c>
      <c r="AB78" s="158" t="n">
        <f aca="false">Assumption!$E$84*(Assumption!$E$90*SUMIF(Assumption!$J$83:$J$87,AB6,Assumption!$I$83:$I$87)+IF(AB15=13,Assumption!$E$91-Assumption!$E$90,0)+IF(AB15=25,Assumption!$E$92-Assumption!$E$91,0))</f>
        <v>0</v>
      </c>
      <c r="AC78" s="158" t="n">
        <f aca="false">Assumption!$E$84*(Assumption!$E$90*SUMIF(Assumption!$J$83:$J$87,AC6,Assumption!$I$83:$I$87)+IF(AC15=13,Assumption!$E$91-Assumption!$E$90,0)+IF(AC15=25,Assumption!$E$92-Assumption!$E$91,0))</f>
        <v>86400</v>
      </c>
      <c r="AD78" s="158" t="n">
        <f aca="false">Assumption!$E$84*(Assumption!$E$90*SUMIF(Assumption!$J$83:$J$87,AD6,Assumption!$I$83:$I$87)+IF(AD15=13,Assumption!$E$91-Assumption!$E$90,0)+IF(AD15=25,Assumption!$E$92-Assumption!$E$91,0))</f>
        <v>0</v>
      </c>
      <c r="AE78" s="158" t="n">
        <f aca="false">Assumption!$E$84*(Assumption!$E$90*SUMIF(Assumption!$J$83:$J$87,AE6,Assumption!$I$83:$I$87)+IF(AE15=13,Assumption!$E$91-Assumption!$E$90,0)+IF(AE15=25,Assumption!$E$92-Assumption!$E$91,0))</f>
        <v>0</v>
      </c>
      <c r="AF78" s="158" t="n">
        <f aca="false">Assumption!$E$84*(Assumption!$E$90*SUMIF(Assumption!$J$83:$J$87,AF6,Assumption!$I$83:$I$87)+IF(AF15=13,Assumption!$E$91-Assumption!$E$90,0)+IF(AF15=25,Assumption!$E$92-Assumption!$E$91,0))</f>
        <v>0</v>
      </c>
      <c r="AG78" s="158" t="n">
        <f aca="false">Assumption!$E$84*(Assumption!$E$90*SUMIF(Assumption!$J$83:$J$87,AG6,Assumption!$I$83:$I$87)+IF(AG15=13,Assumption!$E$91-Assumption!$E$90,0)+IF(AG15=25,Assumption!$E$92-Assumption!$E$91,0))</f>
        <v>0</v>
      </c>
      <c r="AH78" s="158" t="n">
        <f aca="false">Assumption!$E$84*(Assumption!$E$90*SUMIF(Assumption!$J$83:$J$87,AH6,Assumption!$I$83:$I$87)+IF(AH15=13,Assumption!$E$91-Assumption!$E$90,0)+IF(AH15=25,Assumption!$E$92-Assumption!$E$91,0))</f>
        <v>0</v>
      </c>
      <c r="AI78" s="158" t="n">
        <f aca="false">Assumption!$E$84*(Assumption!$E$90*SUMIF(Assumption!$J$83:$J$87,AI6,Assumption!$I$83:$I$87)+IF(AI15=13,Assumption!$E$91-Assumption!$E$90,0)+IF(AI15=25,Assumption!$E$92-Assumption!$E$91,0))</f>
        <v>0</v>
      </c>
      <c r="AJ78" s="158" t="n">
        <f aca="false">Assumption!$E$84*(Assumption!$E$90*SUMIF(Assumption!$J$83:$J$87,AJ6,Assumption!$I$83:$I$87)+IF(AJ15=13,Assumption!$E$91-Assumption!$E$90,0)+IF(AJ15=25,Assumption!$E$92-Assumption!$E$91,0))</f>
        <v>0</v>
      </c>
      <c r="AK78" s="158" t="n">
        <f aca="false">Assumption!$E$84*(Assumption!$E$90*SUMIF(Assumption!$J$83:$J$87,AK6,Assumption!$I$83:$I$87)+IF(AK15=13,Assumption!$E$91-Assumption!$E$90,0)+IF(AK15=25,Assumption!$E$92-Assumption!$E$91,0))</f>
        <v>0</v>
      </c>
      <c r="AL78" s="158" t="n">
        <f aca="false">Assumption!$E$84*(Assumption!$E$90*SUMIF(Assumption!$J$83:$J$87,AL6,Assumption!$I$83:$I$87)+IF(AL15=13,Assumption!$E$91-Assumption!$E$90,0)+IF(AL15=25,Assumption!$E$92-Assumption!$E$91,0))</f>
        <v>0</v>
      </c>
      <c r="AM78" s="158" t="n">
        <f aca="false">Assumption!$E$84*(Assumption!$E$90*SUMIF(Assumption!$J$83:$J$87,AM6,Assumption!$I$83:$I$87)+IF(AM15=13,Assumption!$E$91-Assumption!$E$90,0)+IF(AM15=25,Assumption!$E$92-Assumption!$E$91,0))</f>
        <v>0</v>
      </c>
      <c r="AN78" s="158" t="n">
        <f aca="false">Assumption!$E$84*(Assumption!$E$90*SUMIF(Assumption!$J$83:$J$87,AN6,Assumption!$I$83:$I$87)+IF(AN15=13,Assumption!$E$91-Assumption!$E$90,0)+IF(AN15=25,Assumption!$E$92-Assumption!$E$91,0))</f>
        <v>0</v>
      </c>
      <c r="AO78" s="158" t="n">
        <f aca="false">Assumption!$E$84*(Assumption!$E$90*SUMIF(Assumption!$J$83:$J$87,AO6,Assumption!$I$83:$I$87)+IF(AO15=13,Assumption!$E$91-Assumption!$E$90,0)+IF(AO15=25,Assumption!$E$92-Assumption!$E$91,0))</f>
        <v>86400</v>
      </c>
      <c r="AP78" s="158" t="n">
        <f aca="false">Assumption!$E$84*(Assumption!$E$90*SUMIF(Assumption!$J$83:$J$87,AP6,Assumption!$I$83:$I$87)+IF(AP15=13,Assumption!$E$91-Assumption!$E$90,0)+IF(AP15=25,Assumption!$E$92-Assumption!$E$91,0))</f>
        <v>0</v>
      </c>
      <c r="AQ78" s="158" t="n">
        <f aca="false">Assumption!$E$84*(Assumption!$E$90*SUMIF(Assumption!$J$83:$J$87,AQ6,Assumption!$I$83:$I$87)+IF(AQ15=13,Assumption!$E$91-Assumption!$E$90,0)+IF(AQ15=25,Assumption!$E$92-Assumption!$E$91,0))</f>
        <v>0</v>
      </c>
      <c r="AR78" s="158" t="n">
        <f aca="false">Assumption!$E$84*(Assumption!$E$90*SUMIF(Assumption!$J$83:$J$87,AR6,Assumption!$I$83:$I$87)+IF(AR15=13,Assumption!$E$91-Assumption!$E$90,0)+IF(AR15=25,Assumption!$E$92-Assumption!$E$91,0))</f>
        <v>0</v>
      </c>
      <c r="AS78" s="158" t="n">
        <f aca="false">Assumption!$E$84*(Assumption!$E$90*SUMIF(Assumption!$J$83:$J$87,AS6,Assumption!$I$83:$I$87)+IF(AS15=13,Assumption!$E$91-Assumption!$E$90,0)+IF(AS15=25,Assumption!$E$92-Assumption!$E$91,0))</f>
        <v>0</v>
      </c>
      <c r="AT78" s="158" t="n">
        <f aca="false">Assumption!$E$84*(Assumption!$E$90*SUMIF(Assumption!$J$83:$J$87,AT6,Assumption!$I$83:$I$87)+IF(AT15=13,Assumption!$E$91-Assumption!$E$90,0)+IF(AT15=25,Assumption!$E$92-Assumption!$E$91,0))</f>
        <v>0</v>
      </c>
      <c r="AU78" s="158" t="n">
        <f aca="false">Assumption!$E$84*(Assumption!$E$90*SUMIF(Assumption!$J$83:$J$87,AU6,Assumption!$I$83:$I$87)+IF(AU15=13,Assumption!$E$91-Assumption!$E$90,0)+IF(AU15=25,Assumption!$E$92-Assumption!$E$91,0))</f>
        <v>0</v>
      </c>
      <c r="AV78" s="158" t="n">
        <f aca="false">Assumption!$E$84*(Assumption!$E$90*SUMIF(Assumption!$J$83:$J$87,AV6,Assumption!$I$83:$I$87)+IF(AV15=13,Assumption!$E$91-Assumption!$E$90,0)+IF(AV15=25,Assumption!$E$92-Assumption!$E$91,0))</f>
        <v>0</v>
      </c>
      <c r="AW78" s="158" t="n">
        <f aca="false">Assumption!$E$84*(Assumption!$E$90*SUMIF(Assumption!$J$83:$J$87,AW6,Assumption!$I$83:$I$87)+IF(AW15=13,Assumption!$E$91-Assumption!$E$90,0)+IF(AW15=25,Assumption!$E$92-Assumption!$E$91,0))</f>
        <v>0</v>
      </c>
      <c r="AX78" s="158" t="n">
        <f aca="false">Assumption!$E$84*(Assumption!$E$90*SUMIF(Assumption!$J$83:$J$87,AX6,Assumption!$I$83:$I$87)+IF(AX15=13,Assumption!$E$91-Assumption!$E$90,0)+IF(AX15=25,Assumption!$E$92-Assumption!$E$91,0))</f>
        <v>0</v>
      </c>
      <c r="AY78" s="158" t="n">
        <f aca="false">Assumption!$E$84*(Assumption!$E$90*SUMIF(Assumption!$J$83:$J$87,AY6,Assumption!$I$83:$I$87)+IF(AY15=13,Assumption!$E$91-Assumption!$E$90,0)+IF(AY15=25,Assumption!$E$92-Assumption!$E$91,0))</f>
        <v>0</v>
      </c>
      <c r="AZ78" s="158" t="n">
        <f aca="false">Assumption!$E$84*(Assumption!$E$90*SUMIF(Assumption!$J$83:$J$87,AZ6,Assumption!$I$83:$I$87)+IF(AZ15=13,Assumption!$E$91-Assumption!$E$90,0)+IF(AZ15=25,Assumption!$E$92-Assumption!$E$91,0))</f>
        <v>0</v>
      </c>
      <c r="BA78" s="158" t="n">
        <f aca="false">Assumption!$E$84*(Assumption!$E$90*SUMIF(Assumption!$J$83:$J$87,BA6,Assumption!$I$83:$I$87)+IF(BA15=13,Assumption!$E$91-Assumption!$E$90,0)+IF(BA15=25,Assumption!$E$92-Assumption!$E$91,0))</f>
        <v>86400</v>
      </c>
      <c r="BB78" s="158" t="n">
        <f aca="false">Assumption!$E$84*(Assumption!$E$90*SUMIF(Assumption!$J$83:$J$87,BB6,Assumption!$I$83:$I$87)+IF(BB15=13,Assumption!$E$91-Assumption!$E$90,0)+IF(BB15=25,Assumption!$E$92-Assumption!$E$91,0))</f>
        <v>0</v>
      </c>
      <c r="BC78" s="158" t="n">
        <f aca="false">Assumption!$E$84*(Assumption!$E$90*SUMIF(Assumption!$J$83:$J$87,BC6,Assumption!$I$83:$I$87)+IF(BC15=13,Assumption!$E$91-Assumption!$E$90,0)+IF(BC15=25,Assumption!$E$92-Assumption!$E$91,0))</f>
        <v>0</v>
      </c>
      <c r="BD78" s="158" t="n">
        <f aca="false">Assumption!$E$84*(Assumption!$E$90*SUMIF(Assumption!$J$83:$J$87,BD6,Assumption!$I$83:$I$87)+IF(BD15=13,Assumption!$E$91-Assumption!$E$90,0)+IF(BD15=25,Assumption!$E$92-Assumption!$E$91,0))</f>
        <v>0</v>
      </c>
      <c r="BE78" s="158" t="n">
        <f aca="false">Assumption!$E$84*(Assumption!$E$90*SUMIF(Assumption!$J$83:$J$87,BE6,Assumption!$I$83:$I$87)+IF(BE15=13,Assumption!$E$91-Assumption!$E$90,0)+IF(BE15=25,Assumption!$E$92-Assumption!$E$91,0))</f>
        <v>0</v>
      </c>
      <c r="BF78" s="158" t="n">
        <f aca="false">Assumption!$E$84*(Assumption!$E$90*SUMIF(Assumption!$J$83:$J$87,BF6,Assumption!$I$83:$I$87)+IF(BF15=13,Assumption!$E$91-Assumption!$E$90,0)+IF(BF15=25,Assumption!$E$92-Assumption!$E$91,0))</f>
        <v>0</v>
      </c>
      <c r="BG78" s="158" t="n">
        <f aca="false">Assumption!$E$84*(Assumption!$E$90*SUMIF(Assumption!$J$83:$J$87,BG6,Assumption!$I$83:$I$87)+IF(BG15=13,Assumption!$E$91-Assumption!$E$90,0)+IF(BG15=25,Assumption!$E$92-Assumption!$E$91,0))</f>
        <v>0</v>
      </c>
      <c r="BH78" s="158" t="n">
        <f aca="false">Assumption!$E$84*(Assumption!$E$90*SUMIF(Assumption!$J$83:$J$87,BH6,Assumption!$I$83:$I$87)+IF(BH15=13,Assumption!$E$91-Assumption!$E$90,0)+IF(BH15=25,Assumption!$E$92-Assumption!$E$91,0))</f>
        <v>0</v>
      </c>
      <c r="BI78" s="158" t="n">
        <f aca="false">Assumption!$E$84*(Assumption!$E$90*SUMIF(Assumption!$J$83:$J$87,BI6,Assumption!$I$83:$I$87)+IF(BI15=13,Assumption!$E$91-Assumption!$E$90,0)+IF(BI15=25,Assumption!$E$92-Assumption!$E$91,0))</f>
        <v>0</v>
      </c>
      <c r="BJ78" s="158" t="n">
        <f aca="false">Assumption!$E$84*(Assumption!$E$90*SUMIF(Assumption!$J$83:$J$87,BJ6,Assumption!$I$83:$I$87)+IF(BJ15=13,Assumption!$E$91-Assumption!$E$90,0)+IF(BJ15=25,Assumption!$E$92-Assumption!$E$91,0))</f>
        <v>0</v>
      </c>
      <c r="BK78" s="158" t="n">
        <f aca="false">Assumption!$E$84*(Assumption!$E$90*SUMIF(Assumption!$J$83:$J$87,BK6,Assumption!$I$83:$I$87)+IF(BK15=13,Assumption!$E$91-Assumption!$E$90,0)+IF(BK15=25,Assumption!$E$92-Assumption!$E$91,0))</f>
        <v>0</v>
      </c>
      <c r="BL78" s="158" t="n">
        <f aca="false">Assumption!$E$84*(Assumption!$E$90*SUMIF(Assumption!$J$83:$J$87,BL6,Assumption!$I$83:$I$87)+IF(BL15=13,Assumption!$E$91-Assumption!$E$90,0)+IF(BL15=25,Assumption!$E$92-Assumption!$E$91,0))</f>
        <v>0</v>
      </c>
      <c r="BM78" s="158" t="n">
        <f aca="false">Assumption!$E$84*(Assumption!$E$90*SUMIF(Assumption!$J$83:$J$87,BM6,Assumption!$I$83:$I$87)+IF(BM15=13,Assumption!$E$91-Assumption!$E$90,0)+IF(BM15=25,Assumption!$E$92-Assumption!$E$91,0))</f>
        <v>129600</v>
      </c>
      <c r="BN78" s="158" t="n">
        <f aca="false">Assumption!$E$84*(Assumption!$E$90*SUMIF(Assumption!$J$83:$J$87,BN6,Assumption!$I$83:$I$87)+IF(BN15=13,Assumption!$E$91-Assumption!$E$90,0)+IF(BN15=25,Assumption!$E$92-Assumption!$E$91,0))</f>
        <v>0</v>
      </c>
      <c r="BO78" s="158" t="n">
        <f aca="false">Assumption!$E$84*(Assumption!$E$90*SUMIF(Assumption!$J$83:$J$87,BO6,Assumption!$I$83:$I$87)+IF(BO15=13,Assumption!$E$91-Assumption!$E$90,0)+IF(BO15=25,Assumption!$E$92-Assumption!$E$91,0))</f>
        <v>0</v>
      </c>
      <c r="BP78" s="158" t="n">
        <f aca="false">Assumption!$E$84*(Assumption!$E$90*SUMIF(Assumption!$J$83:$J$87,BP6,Assumption!$I$83:$I$87)+IF(BP15=13,Assumption!$E$91-Assumption!$E$90,0)+IF(BP15=25,Assumption!$E$92-Assumption!$E$91,0))</f>
        <v>0</v>
      </c>
      <c r="BQ78" s="158" t="n">
        <f aca="false">Assumption!$E$84*(Assumption!$E$90*SUMIF(Assumption!$J$83:$J$87,BQ6,Assumption!$I$83:$I$87)+IF(BQ15=13,Assumption!$E$91-Assumption!$E$90,0)+IF(BQ15=25,Assumption!$E$92-Assumption!$E$91,0))</f>
        <v>0</v>
      </c>
      <c r="BR78" s="158" t="n">
        <f aca="false">Assumption!$E$84*(Assumption!$E$90*SUMIF(Assumption!$J$83:$J$87,BR6,Assumption!$I$83:$I$87)+IF(BR15=13,Assumption!$E$91-Assumption!$E$90,0)+IF(BR15=25,Assumption!$E$92-Assumption!$E$91,0))</f>
        <v>0</v>
      </c>
      <c r="BS78" s="158" t="n">
        <f aca="false">Assumption!$E$84*(Assumption!$E$90*SUMIF(Assumption!$J$83:$J$87,BS6,Assumption!$I$83:$I$87)+IF(BS15=13,Assumption!$E$91-Assumption!$E$90,0)+IF(BS15=25,Assumption!$E$92-Assumption!$E$91,0))</f>
        <v>0</v>
      </c>
      <c r="BT78" s="158" t="n">
        <f aca="false">Assumption!$E$84*(Assumption!$E$90*SUMIF(Assumption!$J$83:$J$87,BT6,Assumption!$I$83:$I$87)+IF(BT15=13,Assumption!$E$91-Assumption!$E$90,0)+IF(BT15=25,Assumption!$E$92-Assumption!$E$91,0))</f>
        <v>0</v>
      </c>
      <c r="BU78" s="158" t="n">
        <f aca="false">Assumption!$E$84*(Assumption!$E$90*SUMIF(Assumption!$J$83:$J$87,BU6,Assumption!$I$83:$I$87)+IF(BU15=13,Assumption!$E$91-Assumption!$E$90,0)+IF(BU15=25,Assumption!$E$92-Assumption!$E$91,0))</f>
        <v>0</v>
      </c>
      <c r="BV78" s="158" t="n">
        <f aca="false">Assumption!$E$84*(Assumption!$E$90*SUMIF(Assumption!$J$83:$J$87,BV6,Assumption!$I$83:$I$87)+IF(BV15=13,Assumption!$E$91-Assumption!$E$90,0)+IF(BV15=25,Assumption!$E$92-Assumption!$E$91,0))</f>
        <v>0</v>
      </c>
      <c r="BW78" s="158" t="n">
        <f aca="false">Assumption!$E$84*(Assumption!$E$90*SUMIF(Assumption!$J$83:$J$87,BW6,Assumption!$I$83:$I$87)+IF(BW15=13,Assumption!$E$91-Assumption!$E$90,0)+IF(BW15=25,Assumption!$E$92-Assumption!$E$91,0))</f>
        <v>0</v>
      </c>
      <c r="BX78" s="158" t="n">
        <f aca="false">Assumption!$E$84*(Assumption!$E$90*SUMIF(Assumption!$J$83:$J$87,BX6,Assumption!$I$83:$I$87)+IF(BX15=13,Assumption!$E$91-Assumption!$E$90,0)+IF(BX15=25,Assumption!$E$92-Assumption!$E$91,0))</f>
        <v>0</v>
      </c>
      <c r="BY78" s="158" t="n">
        <f aca="false">Assumption!$E$84*(Assumption!$E$90*SUMIF(Assumption!$J$83:$J$87,BY6,Assumption!$I$83:$I$87)+IF(BY15=13,Assumption!$E$91-Assumption!$E$90,0)+IF(BY15=25,Assumption!$E$92-Assumption!$E$91,0))</f>
        <v>108000</v>
      </c>
      <c r="BZ78" s="158" t="n">
        <f aca="false">Assumption!$E$84*(Assumption!$E$90*SUMIF(Assumption!$J$83:$J$87,BZ6,Assumption!$I$83:$I$87)+IF(BZ15=13,Assumption!$E$91-Assumption!$E$90,0)+IF(BZ15=25,Assumption!$E$92-Assumption!$E$91,0))</f>
        <v>0</v>
      </c>
      <c r="CA78" s="158" t="n">
        <f aca="false">Assumption!$E$84*(Assumption!$E$90*SUMIF(Assumption!$J$83:$J$87,CA6,Assumption!$I$83:$I$87)+IF(CA15=13,Assumption!$E$91-Assumption!$E$90,0)+IF(CA15=25,Assumption!$E$92-Assumption!$E$91,0))</f>
        <v>0</v>
      </c>
      <c r="CB78" s="158" t="n">
        <f aca="false">Assumption!$E$84*(Assumption!$E$90*SUMIF(Assumption!$J$83:$J$87,CB6,Assumption!$I$83:$I$87)+IF(CB15=13,Assumption!$E$91-Assumption!$E$90,0)+IF(CB15=25,Assumption!$E$92-Assumption!$E$91,0))</f>
        <v>0</v>
      </c>
      <c r="CC78" s="158" t="n">
        <f aca="false">Assumption!$E$84*(Assumption!$E$90*SUMIF(Assumption!$J$83:$J$87,CC6,Assumption!$I$83:$I$87)+IF(CC15=13,Assumption!$E$91-Assumption!$E$90,0)+IF(CC15=25,Assumption!$E$92-Assumption!$E$91,0))</f>
        <v>0</v>
      </c>
      <c r="CD78" s="158" t="n">
        <f aca="false">Assumption!$E$84*(Assumption!$E$90*SUMIF(Assumption!$J$83:$J$87,CD6,Assumption!$I$83:$I$87)+IF(CD15=13,Assumption!$E$91-Assumption!$E$90,0)+IF(CD15=25,Assumption!$E$92-Assumption!$E$91,0))</f>
        <v>0</v>
      </c>
      <c r="CE78" s="158" t="n">
        <f aca="false">Assumption!$E$84*(Assumption!$E$90*SUMIF(Assumption!$J$83:$J$87,CE6,Assumption!$I$83:$I$87)+IF(CE15=13,Assumption!$E$91-Assumption!$E$90,0)+IF(CE15=25,Assumption!$E$92-Assumption!$E$91,0))</f>
        <v>0</v>
      </c>
      <c r="CF78" s="158" t="n">
        <f aca="false">Assumption!$E$84*(Assumption!$E$90*SUMIF(Assumption!$J$83:$J$87,CF6,Assumption!$I$83:$I$87)+IF(CF15=13,Assumption!$E$91-Assumption!$E$90,0)+IF(CF15=25,Assumption!$E$92-Assumption!$E$91,0))</f>
        <v>0</v>
      </c>
      <c r="CG78" s="158" t="n">
        <f aca="false">Assumption!$E$84*(Assumption!$E$90*SUMIF(Assumption!$J$83:$J$87,CG6,Assumption!$I$83:$I$87)+IF(CG15=13,Assumption!$E$91-Assumption!$E$90,0)+IF(CG15=25,Assumption!$E$92-Assumption!$E$91,0))</f>
        <v>0</v>
      </c>
      <c r="CH78" s="158" t="n">
        <f aca="false">Assumption!$E$84*(Assumption!$E$90*SUMIF(Assumption!$J$83:$J$87,CH6,Assumption!$I$83:$I$87)+IF(CH15=13,Assumption!$E$91-Assumption!$E$90,0)+IF(CH15=25,Assumption!$E$92-Assumption!$E$91,0))</f>
        <v>0</v>
      </c>
      <c r="CI78" s="158" t="n">
        <f aca="false">Assumption!$E$84*(Assumption!$E$90*SUMIF(Assumption!$J$83:$J$87,CI6,Assumption!$I$83:$I$87)+IF(CI15=13,Assumption!$E$91-Assumption!$E$90,0)+IF(CI15=25,Assumption!$E$92-Assumption!$E$91,0))</f>
        <v>0</v>
      </c>
      <c r="CJ78" s="158" t="n">
        <f aca="false">Assumption!$E$84*(Assumption!$E$90*SUMIF(Assumption!$J$83:$J$87,CJ6,Assumption!$I$83:$I$87)+IF(CJ15=13,Assumption!$E$91-Assumption!$E$90,0)+IF(CJ15=25,Assumption!$E$92-Assumption!$E$91,0))</f>
        <v>0</v>
      </c>
      <c r="CK78" s="158" t="n">
        <f aca="false">Assumption!$E$84*(Assumption!$E$90*SUMIF(Assumption!$J$83:$J$87,CK6,Assumption!$I$83:$I$87)+IF(CK15=13,Assumption!$E$91-Assumption!$E$90,0)+IF(CK15=25,Assumption!$E$92-Assumption!$E$91,0))</f>
        <v>0</v>
      </c>
      <c r="CL78" s="158" t="n">
        <f aca="false">Assumption!$E$84*(Assumption!$E$90*SUMIF(Assumption!$J$83:$J$87,CL6,Assumption!$I$83:$I$87)+IF(CL15=13,Assumption!$E$91-Assumption!$E$90,0)+IF(CL15=25,Assumption!$E$92-Assumption!$E$91,0))</f>
        <v>0</v>
      </c>
      <c r="CM78" s="158" t="n">
        <f aca="false">Assumption!$E$84*(Assumption!$E$90*SUMIF(Assumption!$J$83:$J$87,CM6,Assumption!$I$83:$I$87)+IF(CM15=13,Assumption!$E$91-Assumption!$E$90,0)+IF(CM15=25,Assumption!$E$92-Assumption!$E$91,0))</f>
        <v>0</v>
      </c>
      <c r="CN78" s="158" t="n">
        <f aca="false">Assumption!$E$84*(Assumption!$E$90*SUMIF(Assumption!$J$83:$J$87,CN6,Assumption!$I$83:$I$87)+IF(CN15=13,Assumption!$E$91-Assumption!$E$90,0)+IF(CN15=25,Assumption!$E$92-Assumption!$E$91,0))</f>
        <v>0</v>
      </c>
      <c r="CO78" s="158" t="n">
        <f aca="false">Assumption!$E$84*(Assumption!$E$90*SUMIF(Assumption!$J$83:$J$87,CO6,Assumption!$I$83:$I$87)+IF(CO15=13,Assumption!$E$91-Assumption!$E$90,0)+IF(CO15=25,Assumption!$E$92-Assumption!$E$91,0))</f>
        <v>0</v>
      </c>
      <c r="CP78" s="158" t="n">
        <f aca="false">Assumption!$E$84*(Assumption!$E$90*SUMIF(Assumption!$J$83:$J$87,CP6,Assumption!$I$83:$I$87)+IF(CP15=13,Assumption!$E$91-Assumption!$E$90,0)+IF(CP15=25,Assumption!$E$92-Assumption!$E$91,0))</f>
        <v>0</v>
      </c>
      <c r="CQ78" s="158" t="n">
        <f aca="false">Assumption!$E$84*(Assumption!$E$90*SUMIF(Assumption!$J$83:$J$87,CQ6,Assumption!$I$83:$I$87)+IF(CQ15=13,Assumption!$E$91-Assumption!$E$90,0)+IF(CQ15=25,Assumption!$E$92-Assumption!$E$91,0))</f>
        <v>0</v>
      </c>
      <c r="CR78" s="158" t="n">
        <f aca="false">Assumption!$E$84*(Assumption!$E$90*SUMIF(Assumption!$J$83:$J$87,CR6,Assumption!$I$83:$I$87)+IF(CR15=13,Assumption!$E$91-Assumption!$E$90,0)+IF(CR15=25,Assumption!$E$92-Assumption!$E$91,0))</f>
        <v>0</v>
      </c>
      <c r="CS78" s="158" t="n">
        <f aca="false">Assumption!$E$84*(Assumption!$E$90*SUMIF(Assumption!$J$83:$J$87,CS6,Assumption!$I$83:$I$87)+IF(CS15=13,Assumption!$E$91-Assumption!$E$90,0)+IF(CS15=25,Assumption!$E$92-Assumption!$E$91,0))</f>
        <v>0</v>
      </c>
      <c r="CT78" s="158" t="n">
        <f aca="false">Assumption!$E$84*(Assumption!$E$90*SUMIF(Assumption!$J$83:$J$87,CT6,Assumption!$I$83:$I$87)+IF(CT15=13,Assumption!$E$91-Assumption!$E$90,0)+IF(CT15=25,Assumption!$E$92-Assumption!$E$91,0))</f>
        <v>0</v>
      </c>
      <c r="CU78" s="158" t="n">
        <f aca="false">Assumption!$E$84*(Assumption!$E$90*SUMIF(Assumption!$J$83:$J$87,CU6,Assumption!$I$83:$I$87)+IF(CU15=13,Assumption!$E$91-Assumption!$E$90,0)+IF(CU15=25,Assumption!$E$92-Assumption!$E$91,0))</f>
        <v>0</v>
      </c>
      <c r="CV78" s="158" t="n">
        <f aca="false">Assumption!$E$84*(Assumption!$E$90*SUMIF(Assumption!$J$83:$J$87,CV6,Assumption!$I$83:$I$87)+IF(CV15=13,Assumption!$E$91-Assumption!$E$90,0)+IF(CV15=25,Assumption!$E$92-Assumption!$E$91,0))</f>
        <v>0</v>
      </c>
      <c r="CW78" s="158" t="n">
        <f aca="false">Assumption!$E$84*(Assumption!$E$90*SUMIF(Assumption!$J$83:$J$87,CW6,Assumption!$I$83:$I$87)+IF(CW15=13,Assumption!$E$91-Assumption!$E$90,0)+IF(CW15=25,Assumption!$E$92-Assumption!$E$91,0))</f>
        <v>0</v>
      </c>
      <c r="CX78" s="158" t="n">
        <f aca="false">Assumption!$E$84*(Assumption!$E$90*SUMIF(Assumption!$J$83:$J$87,CX6,Assumption!$I$83:$I$87)+IF(CX15=13,Assumption!$E$91-Assumption!$E$90,0)+IF(CX15=25,Assumption!$E$92-Assumption!$E$91,0))</f>
        <v>0</v>
      </c>
      <c r="CY78" s="158" t="n">
        <f aca="false">Assumption!$E$84*(Assumption!$E$90*SUMIF(Assumption!$J$83:$J$87,CY6,Assumption!$I$83:$I$87)+IF(CY15=13,Assumption!$E$91-Assumption!$E$90,0)+IF(CY15=25,Assumption!$E$92-Assumption!$E$91,0))</f>
        <v>0</v>
      </c>
      <c r="CZ78" s="158" t="n">
        <f aca="false">Assumption!$E$84*(Assumption!$E$90*SUMIF(Assumption!$J$83:$J$87,CZ6,Assumption!$I$83:$I$87)+IF(CZ15=13,Assumption!$E$91-Assumption!$E$90,0)+IF(CZ15=25,Assumption!$E$92-Assumption!$E$91,0))</f>
        <v>0</v>
      </c>
      <c r="DA78" s="158" t="n">
        <f aca="false">Assumption!$E$84*(Assumption!$E$90*SUMIF(Assumption!$J$83:$J$87,DA6,Assumption!$I$83:$I$87)+IF(DA15=13,Assumption!$E$91-Assumption!$E$90,0)+IF(DA15=25,Assumption!$E$92-Assumption!$E$91,0))</f>
        <v>0</v>
      </c>
      <c r="DB78" s="158" t="n">
        <f aca="false">Assumption!$E$84*(Assumption!$E$90*SUMIF(Assumption!$J$83:$J$87,DB6,Assumption!$I$83:$I$87)+IF(DB15=13,Assumption!$E$91-Assumption!$E$90,0)+IF(DB15=25,Assumption!$E$92-Assumption!$E$91,0))</f>
        <v>0</v>
      </c>
      <c r="DC78" s="158" t="n">
        <f aca="false">Assumption!$E$84*(Assumption!$E$90*SUMIF(Assumption!$J$83:$J$87,DC6,Assumption!$I$83:$I$87)+IF(DC15=13,Assumption!$E$91-Assumption!$E$90,0)+IF(DC15=25,Assumption!$E$92-Assumption!$E$91,0))</f>
        <v>0</v>
      </c>
      <c r="DD78" s="158" t="n">
        <f aca="false">Assumption!$E$84*(Assumption!$E$90*SUMIF(Assumption!$J$83:$J$87,DD6,Assumption!$I$83:$I$87)+IF(DD15=13,Assumption!$E$91-Assumption!$E$90,0)+IF(DD15=25,Assumption!$E$92-Assumption!$E$91,0))</f>
        <v>0</v>
      </c>
      <c r="DE78" s="158" t="n">
        <f aca="false">Assumption!$E$84*(Assumption!$E$90*SUMIF(Assumption!$J$83:$J$87,DE6,Assumption!$I$83:$I$87)+IF(DE15=13,Assumption!$E$91-Assumption!$E$90,0)+IF(DE15=25,Assumption!$E$92-Assumption!$E$91,0))</f>
        <v>0</v>
      </c>
      <c r="DF78" s="158" t="n">
        <f aca="false">Assumption!$E$84*(Assumption!$E$90*SUMIF(Assumption!$J$83:$J$87,DF6,Assumption!$I$83:$I$87)+IF(DF15=13,Assumption!$E$91-Assumption!$E$90,0)+IF(DF15=25,Assumption!$E$92-Assumption!$E$91,0))</f>
        <v>0</v>
      </c>
      <c r="DG78" s="158" t="n">
        <f aca="false">Assumption!$E$84*(Assumption!$E$90*SUMIF(Assumption!$J$83:$J$87,DG6,Assumption!$I$83:$I$87)+IF(DG15=13,Assumption!$E$91-Assumption!$E$90,0)+IF(DG15=25,Assumption!$E$92-Assumption!$E$91,0))</f>
        <v>0</v>
      </c>
      <c r="DH78" s="158" t="n">
        <f aca="false">Assumption!$E$84*(Assumption!$E$90*SUMIF(Assumption!$J$83:$J$87,DH6,Assumption!$I$83:$I$87)+IF(DH15=13,Assumption!$E$91-Assumption!$E$90,0)+IF(DH15=25,Assumption!$E$92-Assumption!$E$91,0))</f>
        <v>0</v>
      </c>
      <c r="DI78" s="158" t="n">
        <f aca="false">Assumption!$E$84*(Assumption!$E$90*SUMIF(Assumption!$J$83:$J$87,DI6,Assumption!$I$83:$I$87)+IF(DI15=13,Assumption!$E$91-Assumption!$E$90,0)+IF(DI15=25,Assumption!$E$92-Assumption!$E$91,0))</f>
        <v>0</v>
      </c>
      <c r="DJ78" s="158" t="n">
        <f aca="false">Assumption!$E$84*(Assumption!$E$90*SUMIF(Assumption!$J$83:$J$87,DJ6,Assumption!$I$83:$I$87)+IF(DJ15=13,Assumption!$E$91-Assumption!$E$90,0)+IF(DJ15=25,Assumption!$E$92-Assumption!$E$91,0))</f>
        <v>0</v>
      </c>
      <c r="DK78" s="158" t="n">
        <f aca="false">Assumption!$E$84*(Assumption!$E$90*SUMIF(Assumption!$J$83:$J$87,DK6,Assumption!$I$83:$I$87)+IF(DK15=13,Assumption!$E$91-Assumption!$E$90,0)+IF(DK15=25,Assumption!$E$92-Assumption!$E$91,0))</f>
        <v>0</v>
      </c>
      <c r="DL78" s="158" t="n">
        <f aca="false">Assumption!$E$84*(Assumption!$E$90*SUMIF(Assumption!$J$83:$J$87,DL6,Assumption!$I$83:$I$87)+IF(DL15=13,Assumption!$E$91-Assumption!$E$90,0)+IF(DL15=25,Assumption!$E$92-Assumption!$E$91,0))</f>
        <v>0</v>
      </c>
      <c r="DM78" s="158" t="n">
        <f aca="false">Assumption!$E$84*(Assumption!$E$90*SUMIF(Assumption!$J$83:$J$87,DM6,Assumption!$I$83:$I$87)+IF(DM15=13,Assumption!$E$91-Assumption!$E$90,0)+IF(DM15=25,Assumption!$E$92-Assumption!$E$91,0))</f>
        <v>0</v>
      </c>
      <c r="DN78" s="158" t="n">
        <f aca="false">Assumption!$E$84*(Assumption!$E$90*SUMIF(Assumption!$J$83:$J$87,DN6,Assumption!$I$83:$I$87)+IF(DN15=13,Assumption!$E$91-Assumption!$E$90,0)+IF(DN15=25,Assumption!$E$92-Assumption!$E$91,0))</f>
        <v>0</v>
      </c>
      <c r="DO78" s="158" t="n">
        <f aca="false">Assumption!$E$84*(Assumption!$E$90*SUMIF(Assumption!$J$83:$J$87,DO6,Assumption!$I$83:$I$87)+IF(DO15=13,Assumption!$E$91-Assumption!$E$90,0)+IF(DO15=25,Assumption!$E$92-Assumption!$E$91,0))</f>
        <v>0</v>
      </c>
      <c r="DP78" s="158" t="n">
        <f aca="false">Assumption!$E$84*(Assumption!$E$90*SUMIF(Assumption!$J$83:$J$87,DP6,Assumption!$I$83:$I$87)+IF(DP15=13,Assumption!$E$91-Assumption!$E$90,0)+IF(DP15=25,Assumption!$E$92-Assumption!$E$91,0))</f>
        <v>0</v>
      </c>
      <c r="DQ78" s="158" t="n">
        <f aca="false">Assumption!$E$84*(Assumption!$E$90*SUMIF(Assumption!$J$83:$J$87,DQ6,Assumption!$I$83:$I$87)+IF(DQ15=13,Assumption!$E$91-Assumption!$E$90,0)+IF(DQ15=25,Assumption!$E$92-Assumption!$E$91,0))</f>
        <v>0</v>
      </c>
      <c r="DR78" s="158" t="n">
        <f aca="false">Assumption!$E$84*(Assumption!$E$90*SUMIF(Assumption!$J$83:$J$87,DR6,Assumption!$I$83:$I$87)+IF(DR15=13,Assumption!$E$91-Assumption!$E$90,0)+IF(DR15=25,Assumption!$E$92-Assumption!$E$91,0))</f>
        <v>0</v>
      </c>
      <c r="DS78" s="158" t="n">
        <f aca="false">Assumption!$E$84*(Assumption!$E$90*SUMIF(Assumption!$J$83:$J$87,DS6,Assumption!$I$83:$I$87)+IF(DS15=13,Assumption!$E$91-Assumption!$E$90,0)+IF(DS15=25,Assumption!$E$92-Assumption!$E$91,0))</f>
        <v>0</v>
      </c>
      <c r="DT78" s="158" t="n">
        <f aca="false">Assumption!$E$84*(Assumption!$E$90*SUMIF(Assumption!$J$83:$J$87,DT6,Assumption!$I$83:$I$87)+IF(DT15=13,Assumption!$E$91-Assumption!$E$90,0)+IF(DT15=25,Assumption!$E$92-Assumption!$E$91,0))</f>
        <v>0</v>
      </c>
      <c r="DU78" s="158" t="n">
        <f aca="false">Assumption!$E$84*(Assumption!$E$90*SUMIF(Assumption!$J$83:$J$87,DU6,Assumption!$I$83:$I$87)+IF(DU15=13,Assumption!$E$91-Assumption!$E$90,0)+IF(DU15=25,Assumption!$E$92-Assumption!$E$91,0))</f>
        <v>0</v>
      </c>
      <c r="DV78" s="158" t="n">
        <f aca="false">Assumption!$E$84*(Assumption!$E$90*SUMIF(Assumption!$J$83:$J$87,DV6,Assumption!$I$83:$I$87)+IF(DV15=13,Assumption!$E$91-Assumption!$E$90,0)+IF(DV15=25,Assumption!$E$92-Assumption!$E$91,0))</f>
        <v>0</v>
      </c>
      <c r="DW78" s="158" t="n">
        <f aca="false">Assumption!$E$84*(Assumption!$E$90*SUMIF(Assumption!$J$83:$J$87,DW6,Assumption!$I$83:$I$87)+IF(DW15=13,Assumption!$E$91-Assumption!$E$90,0)+IF(DW15=25,Assumption!$E$92-Assumption!$E$91,0))</f>
        <v>0</v>
      </c>
      <c r="DX78" s="158" t="n">
        <f aca="false">Assumption!$E$84*(Assumption!$E$90*SUMIF(Assumption!$J$83:$J$87,DX6,Assumption!$I$83:$I$87)+IF(DX15=13,Assumption!$E$91-Assumption!$E$90,0)+IF(DX15=25,Assumption!$E$92-Assumption!$E$91,0))</f>
        <v>0</v>
      </c>
      <c r="DY78" s="158" t="n">
        <f aca="false">Assumption!$E$84*(Assumption!$E$90*SUMIF(Assumption!$J$83:$J$87,DY6,Assumption!$I$83:$I$87)+IF(DY15=13,Assumption!$E$91-Assumption!$E$90,0)+IF(DY15=25,Assumption!$E$92-Assumption!$E$91,0))</f>
        <v>0</v>
      </c>
      <c r="DZ78" s="158" t="n">
        <f aca="false">Assumption!$E$84*(Assumption!$E$90*SUMIF(Assumption!$J$83:$J$87,DZ6,Assumption!$I$83:$I$87)+IF(DZ15=13,Assumption!$E$91-Assumption!$E$90,0)+IF(DZ15=25,Assumption!$E$92-Assumption!$E$91,0))</f>
        <v>0</v>
      </c>
      <c r="EA78" s="158" t="n">
        <f aca="false">Assumption!$E$84*(Assumption!$E$90*SUMIF(Assumption!$J$83:$J$87,EA6,Assumption!$I$83:$I$87)+IF(EA15=13,Assumption!$E$91-Assumption!$E$90,0)+IF(EA15=25,Assumption!$E$92-Assumption!$E$91,0))</f>
        <v>0</v>
      </c>
      <c r="EB78" s="158" t="n">
        <f aca="false">Assumption!$E$84*(Assumption!$E$90*SUMIF(Assumption!$J$83:$J$87,EB6,Assumption!$I$83:$I$87)+IF(EB15=13,Assumption!$E$91-Assumption!$E$90,0)+IF(EB15=25,Assumption!$E$92-Assumption!$E$91,0))</f>
        <v>0</v>
      </c>
      <c r="EC78" s="158" t="n">
        <f aca="false">Assumption!$E$84*(Assumption!$E$90*SUMIF(Assumption!$J$83:$J$87,EC6,Assumption!$I$83:$I$87)+IF(EC15=13,Assumption!$E$91-Assumption!$E$90,0)+IF(EC15=25,Assumption!$E$92-Assumption!$E$91,0))</f>
        <v>0</v>
      </c>
      <c r="ED78" s="158" t="n">
        <f aca="false">Assumption!$E$84*(Assumption!$E$90*SUMIF(Assumption!$J$83:$J$87,ED6,Assumption!$I$83:$I$87)+IF(ED15=13,Assumption!$E$91-Assumption!$E$90,0)+IF(ED15=25,Assumption!$E$92-Assumption!$E$91,0))</f>
        <v>0</v>
      </c>
      <c r="EE78" s="158" t="n">
        <f aca="false">Assumption!$E$84*(Assumption!$E$90*SUMIF(Assumption!$J$83:$J$87,EE6,Assumption!$I$83:$I$87)+IF(EE15=13,Assumption!$E$91-Assumption!$E$90,0)+IF(EE15=25,Assumption!$E$92-Assumption!$E$91,0))</f>
        <v>0</v>
      </c>
      <c r="EF78" s="158" t="n">
        <f aca="false">Assumption!$E$84*(Assumption!$E$90*SUMIF(Assumption!$J$83:$J$87,EF6,Assumption!$I$83:$I$87)+IF(EF15=13,Assumption!$E$91-Assumption!$E$90,0)+IF(EF15=25,Assumption!$E$92-Assumption!$E$91,0))</f>
        <v>0</v>
      </c>
    </row>
    <row r="79" customFormat="false" ht="15" hidden="false" customHeight="false" outlineLevel="0" collapsed="false">
      <c r="A79" s="35" t="s">
        <v>539</v>
      </c>
      <c r="B79" s="241" t="s">
        <v>116</v>
      </c>
      <c r="C79" s="242" t="n">
        <f aca="false">SUM(E79:EF79)</f>
        <v>310752</v>
      </c>
      <c r="E79" s="158" t="n">
        <f aca="false">Assumption!$E$115*(Assumption!$E$119*SUMIF(Assumption!$L$110:$L$114,E6,Assumption!$K$110:$K$114)+IF(E15=13,Assumption!$E$120-Assumption!$E$119,0)+IF(E15=25,Assumption!$E$121-Assumption!$E$120,0))</f>
        <v>0</v>
      </c>
      <c r="F79" s="158" t="n">
        <f aca="false">Assumption!$E$115*(Assumption!$E$119*SUMIF(Assumption!$L$110:$L$114,F6,Assumption!$K$110:$K$114)+IF(F15=13,Assumption!$E$120-Assumption!$E$119,0)+IF(F15=25,Assumption!$E$121-Assumption!$E$120,0))</f>
        <v>0</v>
      </c>
      <c r="G79" s="158" t="n">
        <f aca="false">Assumption!$E$115*(Assumption!$E$119*SUMIF(Assumption!$L$110:$L$114,G6,Assumption!$K$110:$K$114)+IF(G15=13,Assumption!$E$120-Assumption!$E$119,0)+IF(G15=25,Assumption!$E$121-Assumption!$E$120,0))</f>
        <v>0</v>
      </c>
      <c r="H79" s="158" t="n">
        <f aca="false">Assumption!$E$115*(Assumption!$E$119*SUMIF(Assumption!$L$110:$L$114,H6,Assumption!$K$110:$K$114)+IF(H15=13,Assumption!$E$120-Assumption!$E$119,0)+IF(H15=25,Assumption!$E$121-Assumption!$E$120,0))</f>
        <v>0</v>
      </c>
      <c r="I79" s="158" t="n">
        <f aca="false">Assumption!$E$115*(Assumption!$E$119*SUMIF(Assumption!$L$110:$L$114,I6,Assumption!$K$110:$K$114)+IF(I15=13,Assumption!$E$120-Assumption!$E$119,0)+IF(I15=25,Assumption!$E$121-Assumption!$E$120,0))</f>
        <v>0</v>
      </c>
      <c r="J79" s="158" t="n">
        <f aca="false">Assumption!$E$115*(Assumption!$E$119*SUMIF(Assumption!$L$110:$L$114,J6,Assumption!$K$110:$K$114)+IF(J15=13,Assumption!$E$120-Assumption!$E$119,0)+IF(J15=25,Assumption!$E$121-Assumption!$E$120,0))</f>
        <v>0</v>
      </c>
      <c r="K79" s="158" t="n">
        <f aca="false">Assumption!$E$115*(Assumption!$E$119*SUMIF(Assumption!$L$110:$L$114,K6,Assumption!$K$110:$K$114)+IF(K15=13,Assumption!$E$120-Assumption!$E$119,0)+IF(K15=25,Assumption!$E$121-Assumption!$E$120,0))</f>
        <v>0</v>
      </c>
      <c r="L79" s="158" t="n">
        <f aca="false">Assumption!$E$115*(Assumption!$E$119*SUMIF(Assumption!$L$110:$L$114,L6,Assumption!$K$110:$K$114)+IF(L15=13,Assumption!$E$120-Assumption!$E$119,0)+IF(L15=25,Assumption!$E$121-Assumption!$E$120,0))</f>
        <v>0</v>
      </c>
      <c r="M79" s="158" t="n">
        <f aca="false">Assumption!$E$115*(Assumption!$E$119*SUMIF(Assumption!$L$110:$L$114,M6,Assumption!$K$110:$K$114)+IF(M15=13,Assumption!$E$120-Assumption!$E$119,0)+IF(M15=25,Assumption!$E$121-Assumption!$E$120,0))</f>
        <v>0</v>
      </c>
      <c r="N79" s="158" t="n">
        <f aca="false">Assumption!$E$115*(Assumption!$E$119*SUMIF(Assumption!$L$110:$L$114,N6,Assumption!$K$110:$K$114)+IF(N15=13,Assumption!$E$120-Assumption!$E$119,0)+IF(N15=25,Assumption!$E$121-Assumption!$E$120,0))</f>
        <v>0</v>
      </c>
      <c r="O79" s="158" t="n">
        <f aca="false">Assumption!$E$115*(Assumption!$E$119*SUMIF(Assumption!$L$110:$L$114,O6,Assumption!$K$110:$K$114)+IF(O15=13,Assumption!$E$120-Assumption!$E$119,0)+IF(O15=25,Assumption!$E$121-Assumption!$E$120,0))</f>
        <v>0</v>
      </c>
      <c r="P79" s="158" t="n">
        <f aca="false">Assumption!$E$115*(Assumption!$E$119*SUMIF(Assumption!$L$110:$L$114,P6,Assumption!$K$110:$K$114)+IF(P15=13,Assumption!$E$120-Assumption!$E$119,0)+IF(P15=25,Assumption!$E$121-Assumption!$E$120,0))</f>
        <v>0</v>
      </c>
      <c r="Q79" s="158" t="n">
        <f aca="false">Assumption!$E$115*(Assumption!$E$119*SUMIF(Assumption!$L$110:$L$114,Q6,Assumption!$K$110:$K$114)+IF(Q15=13,Assumption!$E$120-Assumption!$E$119,0)+IF(Q15=25,Assumption!$E$121-Assumption!$E$120,0))</f>
        <v>24860.16</v>
      </c>
      <c r="R79" s="158" t="n">
        <f aca="false">Assumption!$E$115*(Assumption!$E$119*SUMIF(Assumption!$L$110:$L$114,R6,Assumption!$K$110:$K$114)+IF(R15=13,Assumption!$E$120-Assumption!$E$119,0)+IF(R15=25,Assumption!$E$121-Assumption!$E$120,0))</f>
        <v>0</v>
      </c>
      <c r="S79" s="158" t="n">
        <f aca="false">Assumption!$E$115*(Assumption!$E$119*SUMIF(Assumption!$L$110:$L$114,S6,Assumption!$K$110:$K$114)+IF(S15=13,Assumption!$E$120-Assumption!$E$119,0)+IF(S15=25,Assumption!$E$121-Assumption!$E$120,0))</f>
        <v>0</v>
      </c>
      <c r="T79" s="158" t="n">
        <f aca="false">Assumption!$E$115*(Assumption!$E$119*SUMIF(Assumption!$L$110:$L$114,T6,Assumption!$K$110:$K$114)+IF(T15=13,Assumption!$E$120-Assumption!$E$119,0)+IF(T15=25,Assumption!$E$121-Assumption!$E$120,0))</f>
        <v>0</v>
      </c>
      <c r="U79" s="158" t="n">
        <f aca="false">Assumption!$E$115*(Assumption!$E$119*SUMIF(Assumption!$L$110:$L$114,U6,Assumption!$K$110:$K$114)+IF(U15=13,Assumption!$E$120-Assumption!$E$119,0)+IF(U15=25,Assumption!$E$121-Assumption!$E$120,0))</f>
        <v>0</v>
      </c>
      <c r="V79" s="158" t="n">
        <f aca="false">Assumption!$E$115*(Assumption!$E$119*SUMIF(Assumption!$L$110:$L$114,V6,Assumption!$K$110:$K$114)+IF(V15=13,Assumption!$E$120-Assumption!$E$119,0)+IF(V15=25,Assumption!$E$121-Assumption!$E$120,0))</f>
        <v>0</v>
      </c>
      <c r="W79" s="158" t="n">
        <f aca="false">Assumption!$E$115*(Assumption!$E$119*SUMIF(Assumption!$L$110:$L$114,W6,Assumption!$K$110:$K$114)+IF(W15=13,Assumption!$E$120-Assumption!$E$119,0)+IF(W15=25,Assumption!$E$121-Assumption!$E$120,0))</f>
        <v>0</v>
      </c>
      <c r="X79" s="158" t="n">
        <f aca="false">Assumption!$E$115*(Assumption!$E$119*SUMIF(Assumption!$L$110:$L$114,X6,Assumption!$K$110:$K$114)+IF(X15=13,Assumption!$E$120-Assumption!$E$119,0)+IF(X15=25,Assumption!$E$121-Assumption!$E$120,0))</f>
        <v>0</v>
      </c>
      <c r="Y79" s="158" t="n">
        <f aca="false">Assumption!$E$115*(Assumption!$E$119*SUMIF(Assumption!$L$110:$L$114,Y6,Assumption!$K$110:$K$114)+IF(Y15=13,Assumption!$E$120-Assumption!$E$119,0)+IF(Y15=25,Assumption!$E$121-Assumption!$E$120,0))</f>
        <v>0</v>
      </c>
      <c r="Z79" s="158" t="n">
        <f aca="false">Assumption!$E$115*(Assumption!$E$119*SUMIF(Assumption!$L$110:$L$114,Z6,Assumption!$K$110:$K$114)+IF(Z15=13,Assumption!$E$120-Assumption!$E$119,0)+IF(Z15=25,Assumption!$E$121-Assumption!$E$120,0))</f>
        <v>0</v>
      </c>
      <c r="AA79" s="158" t="n">
        <f aca="false">Assumption!$E$115*(Assumption!$E$119*SUMIF(Assumption!$L$110:$L$114,AA6,Assumption!$K$110:$K$114)+IF(AA15=13,Assumption!$E$120-Assumption!$E$119,0)+IF(AA15=25,Assumption!$E$121-Assumption!$E$120,0))</f>
        <v>0</v>
      </c>
      <c r="AB79" s="158" t="n">
        <f aca="false">Assumption!$E$115*(Assumption!$E$119*SUMIF(Assumption!$L$110:$L$114,AB6,Assumption!$K$110:$K$114)+IF(AB15=13,Assumption!$E$120-Assumption!$E$119,0)+IF(AB15=25,Assumption!$E$121-Assumption!$E$120,0))</f>
        <v>0</v>
      </c>
      <c r="AC79" s="158" t="n">
        <f aca="false">Assumption!$E$115*(Assumption!$E$119*SUMIF(Assumption!$L$110:$L$114,AC6,Assumption!$K$110:$K$114)+IF(AC15=13,Assumption!$E$120-Assumption!$E$119,0)+IF(AC15=25,Assumption!$E$121-Assumption!$E$120,0))</f>
        <v>49720.32</v>
      </c>
      <c r="AD79" s="158" t="n">
        <f aca="false">Assumption!$E$115*(Assumption!$E$119*SUMIF(Assumption!$L$110:$L$114,AD6,Assumption!$K$110:$K$114)+IF(AD15=13,Assumption!$E$120-Assumption!$E$119,0)+IF(AD15=25,Assumption!$E$121-Assumption!$E$120,0))</f>
        <v>0</v>
      </c>
      <c r="AE79" s="158" t="n">
        <f aca="false">Assumption!$E$115*(Assumption!$E$119*SUMIF(Assumption!$L$110:$L$114,AE6,Assumption!$K$110:$K$114)+IF(AE15=13,Assumption!$E$120-Assumption!$E$119,0)+IF(AE15=25,Assumption!$E$121-Assumption!$E$120,0))</f>
        <v>0</v>
      </c>
      <c r="AF79" s="158" t="n">
        <f aca="false">Assumption!$E$115*(Assumption!$E$119*SUMIF(Assumption!$L$110:$L$114,AF6,Assumption!$K$110:$K$114)+IF(AF15=13,Assumption!$E$120-Assumption!$E$119,0)+IF(AF15=25,Assumption!$E$121-Assumption!$E$120,0))</f>
        <v>0</v>
      </c>
      <c r="AG79" s="158" t="n">
        <f aca="false">Assumption!$E$115*(Assumption!$E$119*SUMIF(Assumption!$L$110:$L$114,AG6,Assumption!$K$110:$K$114)+IF(AG15=13,Assumption!$E$120-Assumption!$E$119,0)+IF(AG15=25,Assumption!$E$121-Assumption!$E$120,0))</f>
        <v>0</v>
      </c>
      <c r="AH79" s="158" t="n">
        <f aca="false">Assumption!$E$115*(Assumption!$E$119*SUMIF(Assumption!$L$110:$L$114,AH6,Assumption!$K$110:$K$114)+IF(AH15=13,Assumption!$E$120-Assumption!$E$119,0)+IF(AH15=25,Assumption!$E$121-Assumption!$E$120,0))</f>
        <v>0</v>
      </c>
      <c r="AI79" s="158" t="n">
        <f aca="false">Assumption!$E$115*(Assumption!$E$119*SUMIF(Assumption!$L$110:$L$114,AI6,Assumption!$K$110:$K$114)+IF(AI15=13,Assumption!$E$120-Assumption!$E$119,0)+IF(AI15=25,Assumption!$E$121-Assumption!$E$120,0))</f>
        <v>0</v>
      </c>
      <c r="AJ79" s="158" t="n">
        <f aca="false">Assumption!$E$115*(Assumption!$E$119*SUMIF(Assumption!$L$110:$L$114,AJ6,Assumption!$K$110:$K$114)+IF(AJ15=13,Assumption!$E$120-Assumption!$E$119,0)+IF(AJ15=25,Assumption!$E$121-Assumption!$E$120,0))</f>
        <v>0</v>
      </c>
      <c r="AK79" s="158" t="n">
        <f aca="false">Assumption!$E$115*(Assumption!$E$119*SUMIF(Assumption!$L$110:$L$114,AK6,Assumption!$K$110:$K$114)+IF(AK15=13,Assumption!$E$120-Assumption!$E$119,0)+IF(AK15=25,Assumption!$E$121-Assumption!$E$120,0))</f>
        <v>0</v>
      </c>
      <c r="AL79" s="158" t="n">
        <f aca="false">Assumption!$E$115*(Assumption!$E$119*SUMIF(Assumption!$L$110:$L$114,AL6,Assumption!$K$110:$K$114)+IF(AL15=13,Assumption!$E$120-Assumption!$E$119,0)+IF(AL15=25,Assumption!$E$121-Assumption!$E$120,0))</f>
        <v>0</v>
      </c>
      <c r="AM79" s="158" t="n">
        <f aca="false">Assumption!$E$115*(Assumption!$E$119*SUMIF(Assumption!$L$110:$L$114,AM6,Assumption!$K$110:$K$114)+IF(AM15=13,Assumption!$E$120-Assumption!$E$119,0)+IF(AM15=25,Assumption!$E$121-Assumption!$E$120,0))</f>
        <v>0</v>
      </c>
      <c r="AN79" s="158" t="n">
        <f aca="false">Assumption!$E$115*(Assumption!$E$119*SUMIF(Assumption!$L$110:$L$114,AN6,Assumption!$K$110:$K$114)+IF(AN15=13,Assumption!$E$120-Assumption!$E$119,0)+IF(AN15=25,Assumption!$E$121-Assumption!$E$120,0))</f>
        <v>0</v>
      </c>
      <c r="AO79" s="158" t="n">
        <f aca="false">Assumption!$E$115*(Assumption!$E$119*SUMIF(Assumption!$L$110:$L$114,AO6,Assumption!$K$110:$K$114)+IF(AO15=13,Assumption!$E$120-Assumption!$E$119,0)+IF(AO15=25,Assumption!$E$121-Assumption!$E$120,0))</f>
        <v>49720.32</v>
      </c>
      <c r="AP79" s="158" t="n">
        <f aca="false">Assumption!$E$115*(Assumption!$E$119*SUMIF(Assumption!$L$110:$L$114,AP6,Assumption!$K$110:$K$114)+IF(AP15=13,Assumption!$E$120-Assumption!$E$119,0)+IF(AP15=25,Assumption!$E$121-Assumption!$E$120,0))</f>
        <v>0</v>
      </c>
      <c r="AQ79" s="158" t="n">
        <f aca="false">Assumption!$E$115*(Assumption!$E$119*SUMIF(Assumption!$L$110:$L$114,AQ6,Assumption!$K$110:$K$114)+IF(AQ15=13,Assumption!$E$120-Assumption!$E$119,0)+IF(AQ15=25,Assumption!$E$121-Assumption!$E$120,0))</f>
        <v>0</v>
      </c>
      <c r="AR79" s="158" t="n">
        <f aca="false">Assumption!$E$115*(Assumption!$E$119*SUMIF(Assumption!$L$110:$L$114,AR6,Assumption!$K$110:$K$114)+IF(AR15=13,Assumption!$E$120-Assumption!$E$119,0)+IF(AR15=25,Assumption!$E$121-Assumption!$E$120,0))</f>
        <v>0</v>
      </c>
      <c r="AS79" s="158" t="n">
        <f aca="false">Assumption!$E$115*(Assumption!$E$119*SUMIF(Assumption!$L$110:$L$114,AS6,Assumption!$K$110:$K$114)+IF(AS15=13,Assumption!$E$120-Assumption!$E$119,0)+IF(AS15=25,Assumption!$E$121-Assumption!$E$120,0))</f>
        <v>0</v>
      </c>
      <c r="AT79" s="158" t="n">
        <f aca="false">Assumption!$E$115*(Assumption!$E$119*SUMIF(Assumption!$L$110:$L$114,AT6,Assumption!$K$110:$K$114)+IF(AT15=13,Assumption!$E$120-Assumption!$E$119,0)+IF(AT15=25,Assumption!$E$121-Assumption!$E$120,0))</f>
        <v>0</v>
      </c>
      <c r="AU79" s="158" t="n">
        <f aca="false">Assumption!$E$115*(Assumption!$E$119*SUMIF(Assumption!$L$110:$L$114,AU6,Assumption!$K$110:$K$114)+IF(AU15=13,Assumption!$E$120-Assumption!$E$119,0)+IF(AU15=25,Assumption!$E$121-Assumption!$E$120,0))</f>
        <v>0</v>
      </c>
      <c r="AV79" s="158" t="n">
        <f aca="false">Assumption!$E$115*(Assumption!$E$119*SUMIF(Assumption!$L$110:$L$114,AV6,Assumption!$K$110:$K$114)+IF(AV15=13,Assumption!$E$120-Assumption!$E$119,0)+IF(AV15=25,Assumption!$E$121-Assumption!$E$120,0))</f>
        <v>0</v>
      </c>
      <c r="AW79" s="158" t="n">
        <f aca="false">Assumption!$E$115*(Assumption!$E$119*SUMIF(Assumption!$L$110:$L$114,AW6,Assumption!$K$110:$K$114)+IF(AW15=13,Assumption!$E$120-Assumption!$E$119,0)+IF(AW15=25,Assumption!$E$121-Assumption!$E$120,0))</f>
        <v>0</v>
      </c>
      <c r="AX79" s="158" t="n">
        <f aca="false">Assumption!$E$115*(Assumption!$E$119*SUMIF(Assumption!$L$110:$L$114,AX6,Assumption!$K$110:$K$114)+IF(AX15=13,Assumption!$E$120-Assumption!$E$119,0)+IF(AX15=25,Assumption!$E$121-Assumption!$E$120,0))</f>
        <v>0</v>
      </c>
      <c r="AY79" s="158" t="n">
        <f aca="false">Assumption!$E$115*(Assumption!$E$119*SUMIF(Assumption!$L$110:$L$114,AY6,Assumption!$K$110:$K$114)+IF(AY15=13,Assumption!$E$120-Assumption!$E$119,0)+IF(AY15=25,Assumption!$E$121-Assumption!$E$120,0))</f>
        <v>0</v>
      </c>
      <c r="AZ79" s="158" t="n">
        <f aca="false">Assumption!$E$115*(Assumption!$E$119*SUMIF(Assumption!$L$110:$L$114,AZ6,Assumption!$K$110:$K$114)+IF(AZ15=13,Assumption!$E$120-Assumption!$E$119,0)+IF(AZ15=25,Assumption!$E$121-Assumption!$E$120,0))</f>
        <v>0</v>
      </c>
      <c r="BA79" s="158" t="n">
        <f aca="false">Assumption!$E$115*(Assumption!$E$119*SUMIF(Assumption!$L$110:$L$114,BA6,Assumption!$K$110:$K$114)+IF(BA15=13,Assumption!$E$120-Assumption!$E$119,0)+IF(BA15=25,Assumption!$E$121-Assumption!$E$120,0))</f>
        <v>49720.32</v>
      </c>
      <c r="BB79" s="158" t="n">
        <f aca="false">Assumption!$E$115*(Assumption!$E$119*SUMIF(Assumption!$L$110:$L$114,BB6,Assumption!$K$110:$K$114)+IF(BB15=13,Assumption!$E$120-Assumption!$E$119,0)+IF(BB15=25,Assumption!$E$121-Assumption!$E$120,0))</f>
        <v>0</v>
      </c>
      <c r="BC79" s="158" t="n">
        <f aca="false">Assumption!$E$115*(Assumption!$E$119*SUMIF(Assumption!$L$110:$L$114,BC6,Assumption!$K$110:$K$114)+IF(BC15=13,Assumption!$E$120-Assumption!$E$119,0)+IF(BC15=25,Assumption!$E$121-Assumption!$E$120,0))</f>
        <v>0</v>
      </c>
      <c r="BD79" s="158" t="n">
        <f aca="false">Assumption!$E$115*(Assumption!$E$119*SUMIF(Assumption!$L$110:$L$114,BD6,Assumption!$K$110:$K$114)+IF(BD15=13,Assumption!$E$120-Assumption!$E$119,0)+IF(BD15=25,Assumption!$E$121-Assumption!$E$120,0))</f>
        <v>0</v>
      </c>
      <c r="BE79" s="158" t="n">
        <f aca="false">Assumption!$E$115*(Assumption!$E$119*SUMIF(Assumption!$L$110:$L$114,BE6,Assumption!$K$110:$K$114)+IF(BE15=13,Assumption!$E$120-Assumption!$E$119,0)+IF(BE15=25,Assumption!$E$121-Assumption!$E$120,0))</f>
        <v>0</v>
      </c>
      <c r="BF79" s="158" t="n">
        <f aca="false">Assumption!$E$115*(Assumption!$E$119*SUMIF(Assumption!$L$110:$L$114,BF6,Assumption!$K$110:$K$114)+IF(BF15=13,Assumption!$E$120-Assumption!$E$119,0)+IF(BF15=25,Assumption!$E$121-Assumption!$E$120,0))</f>
        <v>0</v>
      </c>
      <c r="BG79" s="158" t="n">
        <f aca="false">Assumption!$E$115*(Assumption!$E$119*SUMIF(Assumption!$L$110:$L$114,BG6,Assumption!$K$110:$K$114)+IF(BG15=13,Assumption!$E$120-Assumption!$E$119,0)+IF(BG15=25,Assumption!$E$121-Assumption!$E$120,0))</f>
        <v>0</v>
      </c>
      <c r="BH79" s="158" t="n">
        <f aca="false">Assumption!$E$115*(Assumption!$E$119*SUMIF(Assumption!$L$110:$L$114,BH6,Assumption!$K$110:$K$114)+IF(BH15=13,Assumption!$E$120-Assumption!$E$119,0)+IF(BH15=25,Assumption!$E$121-Assumption!$E$120,0))</f>
        <v>0</v>
      </c>
      <c r="BI79" s="158" t="n">
        <f aca="false">Assumption!$E$115*(Assumption!$E$119*SUMIF(Assumption!$L$110:$L$114,BI6,Assumption!$K$110:$K$114)+IF(BI15=13,Assumption!$E$120-Assumption!$E$119,0)+IF(BI15=25,Assumption!$E$121-Assumption!$E$120,0))</f>
        <v>0</v>
      </c>
      <c r="BJ79" s="158" t="n">
        <f aca="false">Assumption!$E$115*(Assumption!$E$119*SUMIF(Assumption!$L$110:$L$114,BJ6,Assumption!$K$110:$K$114)+IF(BJ15=13,Assumption!$E$120-Assumption!$E$119,0)+IF(BJ15=25,Assumption!$E$121-Assumption!$E$120,0))</f>
        <v>0</v>
      </c>
      <c r="BK79" s="158" t="n">
        <f aca="false">Assumption!$E$115*(Assumption!$E$119*SUMIF(Assumption!$L$110:$L$114,BK6,Assumption!$K$110:$K$114)+IF(BK15=13,Assumption!$E$120-Assumption!$E$119,0)+IF(BK15=25,Assumption!$E$121-Assumption!$E$120,0))</f>
        <v>0</v>
      </c>
      <c r="BL79" s="158" t="n">
        <f aca="false">Assumption!$E$115*(Assumption!$E$119*SUMIF(Assumption!$L$110:$L$114,BL6,Assumption!$K$110:$K$114)+IF(BL15=13,Assumption!$E$120-Assumption!$E$119,0)+IF(BL15=25,Assumption!$E$121-Assumption!$E$120,0))</f>
        <v>0</v>
      </c>
      <c r="BM79" s="158" t="n">
        <f aca="false">Assumption!$E$115*(Assumption!$E$119*SUMIF(Assumption!$L$110:$L$114,BM6,Assumption!$K$110:$K$114)+IF(BM15=13,Assumption!$E$120-Assumption!$E$119,0)+IF(BM15=25,Assumption!$E$121-Assumption!$E$120,0))</f>
        <v>74580.48</v>
      </c>
      <c r="BN79" s="158" t="n">
        <f aca="false">Assumption!$E$115*(Assumption!$E$119*SUMIF(Assumption!$L$110:$L$114,BN6,Assumption!$K$110:$K$114)+IF(BN15=13,Assumption!$E$120-Assumption!$E$119,0)+IF(BN15=25,Assumption!$E$121-Assumption!$E$120,0))</f>
        <v>0</v>
      </c>
      <c r="BO79" s="158" t="n">
        <f aca="false">Assumption!$E$115*(Assumption!$E$119*SUMIF(Assumption!$L$110:$L$114,BO6,Assumption!$K$110:$K$114)+IF(BO15=13,Assumption!$E$120-Assumption!$E$119,0)+IF(BO15=25,Assumption!$E$121-Assumption!$E$120,0))</f>
        <v>0</v>
      </c>
      <c r="BP79" s="158" t="n">
        <f aca="false">Assumption!$E$115*(Assumption!$E$119*SUMIF(Assumption!$L$110:$L$114,BP6,Assumption!$K$110:$K$114)+IF(BP15=13,Assumption!$E$120-Assumption!$E$119,0)+IF(BP15=25,Assumption!$E$121-Assumption!$E$120,0))</f>
        <v>0</v>
      </c>
      <c r="BQ79" s="158" t="n">
        <f aca="false">Assumption!$E$115*(Assumption!$E$119*SUMIF(Assumption!$L$110:$L$114,BQ6,Assumption!$K$110:$K$114)+IF(BQ15=13,Assumption!$E$120-Assumption!$E$119,0)+IF(BQ15=25,Assumption!$E$121-Assumption!$E$120,0))</f>
        <v>0</v>
      </c>
      <c r="BR79" s="158" t="n">
        <f aca="false">Assumption!$E$115*(Assumption!$E$119*SUMIF(Assumption!$L$110:$L$114,BR6,Assumption!$K$110:$K$114)+IF(BR15=13,Assumption!$E$120-Assumption!$E$119,0)+IF(BR15=25,Assumption!$E$121-Assumption!$E$120,0))</f>
        <v>0</v>
      </c>
      <c r="BS79" s="158" t="n">
        <f aca="false">Assumption!$E$115*(Assumption!$E$119*SUMIF(Assumption!$L$110:$L$114,BS6,Assumption!$K$110:$K$114)+IF(BS15=13,Assumption!$E$120-Assumption!$E$119,0)+IF(BS15=25,Assumption!$E$121-Assumption!$E$120,0))</f>
        <v>0</v>
      </c>
      <c r="BT79" s="158" t="n">
        <f aca="false">Assumption!$E$115*(Assumption!$E$119*SUMIF(Assumption!$L$110:$L$114,BT6,Assumption!$K$110:$K$114)+IF(BT15=13,Assumption!$E$120-Assumption!$E$119,0)+IF(BT15=25,Assumption!$E$121-Assumption!$E$120,0))</f>
        <v>0</v>
      </c>
      <c r="BU79" s="158" t="n">
        <f aca="false">Assumption!$E$115*(Assumption!$E$119*SUMIF(Assumption!$L$110:$L$114,BU6,Assumption!$K$110:$K$114)+IF(BU15=13,Assumption!$E$120-Assumption!$E$119,0)+IF(BU15=25,Assumption!$E$121-Assumption!$E$120,0))</f>
        <v>0</v>
      </c>
      <c r="BV79" s="158" t="n">
        <f aca="false">Assumption!$E$115*(Assumption!$E$119*SUMIF(Assumption!$L$110:$L$114,BV6,Assumption!$K$110:$K$114)+IF(BV15=13,Assumption!$E$120-Assumption!$E$119,0)+IF(BV15=25,Assumption!$E$121-Assumption!$E$120,0))</f>
        <v>0</v>
      </c>
      <c r="BW79" s="158" t="n">
        <f aca="false">Assumption!$E$115*(Assumption!$E$119*SUMIF(Assumption!$L$110:$L$114,BW6,Assumption!$K$110:$K$114)+IF(BW15=13,Assumption!$E$120-Assumption!$E$119,0)+IF(BW15=25,Assumption!$E$121-Assumption!$E$120,0))</f>
        <v>0</v>
      </c>
      <c r="BX79" s="158" t="n">
        <f aca="false">Assumption!$E$115*(Assumption!$E$119*SUMIF(Assumption!$L$110:$L$114,BX6,Assumption!$K$110:$K$114)+IF(BX15=13,Assumption!$E$120-Assumption!$E$119,0)+IF(BX15=25,Assumption!$E$121-Assumption!$E$120,0))</f>
        <v>0</v>
      </c>
      <c r="BY79" s="158" t="n">
        <f aca="false">Assumption!$E$115*(Assumption!$E$119*SUMIF(Assumption!$L$110:$L$114,BY6,Assumption!$K$110:$K$114)+IF(BY15=13,Assumption!$E$120-Assumption!$E$119,0)+IF(BY15=25,Assumption!$E$121-Assumption!$E$120,0))</f>
        <v>62150.4</v>
      </c>
      <c r="BZ79" s="158" t="n">
        <f aca="false">Assumption!$E$115*(Assumption!$E$119*SUMIF(Assumption!$L$110:$L$114,BZ6,Assumption!$K$110:$K$114)+IF(BZ15=13,Assumption!$E$120-Assumption!$E$119,0)+IF(BZ15=25,Assumption!$E$121-Assumption!$E$120,0))</f>
        <v>0</v>
      </c>
      <c r="CA79" s="158" t="n">
        <f aca="false">Assumption!$E$115*(Assumption!$E$119*SUMIF(Assumption!$L$110:$L$114,CA6,Assumption!$K$110:$K$114)+IF(CA15=13,Assumption!$E$120-Assumption!$E$119,0)+IF(CA15=25,Assumption!$E$121-Assumption!$E$120,0))</f>
        <v>0</v>
      </c>
      <c r="CB79" s="158" t="n">
        <f aca="false">Assumption!$E$115*(Assumption!$E$119*SUMIF(Assumption!$L$110:$L$114,CB6,Assumption!$K$110:$K$114)+IF(CB15=13,Assumption!$E$120-Assumption!$E$119,0)+IF(CB15=25,Assumption!$E$121-Assumption!$E$120,0))</f>
        <v>0</v>
      </c>
      <c r="CC79" s="158" t="n">
        <f aca="false">Assumption!$E$115*(Assumption!$E$119*SUMIF(Assumption!$L$110:$L$114,CC6,Assumption!$K$110:$K$114)+IF(CC15=13,Assumption!$E$120-Assumption!$E$119,0)+IF(CC15=25,Assumption!$E$121-Assumption!$E$120,0))</f>
        <v>0</v>
      </c>
      <c r="CD79" s="158" t="n">
        <f aca="false">Assumption!$E$115*(Assumption!$E$119*SUMIF(Assumption!$L$110:$L$114,CD6,Assumption!$K$110:$K$114)+IF(CD15=13,Assumption!$E$120-Assumption!$E$119,0)+IF(CD15=25,Assumption!$E$121-Assumption!$E$120,0))</f>
        <v>0</v>
      </c>
      <c r="CE79" s="158" t="n">
        <f aca="false">Assumption!$E$115*(Assumption!$E$119*SUMIF(Assumption!$L$110:$L$114,CE6,Assumption!$K$110:$K$114)+IF(CE15=13,Assumption!$E$120-Assumption!$E$119,0)+IF(CE15=25,Assumption!$E$121-Assumption!$E$120,0))</f>
        <v>0</v>
      </c>
      <c r="CF79" s="158" t="n">
        <f aca="false">Assumption!$E$115*(Assumption!$E$119*SUMIF(Assumption!$L$110:$L$114,CF6,Assumption!$K$110:$K$114)+IF(CF15=13,Assumption!$E$120-Assumption!$E$119,0)+IF(CF15=25,Assumption!$E$121-Assumption!$E$120,0))</f>
        <v>0</v>
      </c>
      <c r="CG79" s="158" t="n">
        <f aca="false">Assumption!$E$115*(Assumption!$E$119*SUMIF(Assumption!$L$110:$L$114,CG6,Assumption!$K$110:$K$114)+IF(CG15=13,Assumption!$E$120-Assumption!$E$119,0)+IF(CG15=25,Assumption!$E$121-Assumption!$E$120,0))</f>
        <v>0</v>
      </c>
      <c r="CH79" s="158" t="n">
        <f aca="false">Assumption!$E$115*(Assumption!$E$119*SUMIF(Assumption!$L$110:$L$114,CH6,Assumption!$K$110:$K$114)+IF(CH15=13,Assumption!$E$120-Assumption!$E$119,0)+IF(CH15=25,Assumption!$E$121-Assumption!$E$120,0))</f>
        <v>0</v>
      </c>
      <c r="CI79" s="158" t="n">
        <f aca="false">Assumption!$E$115*(Assumption!$E$119*SUMIF(Assumption!$L$110:$L$114,CI6,Assumption!$K$110:$K$114)+IF(CI15=13,Assumption!$E$120-Assumption!$E$119,0)+IF(CI15=25,Assumption!$E$121-Assumption!$E$120,0))</f>
        <v>0</v>
      </c>
      <c r="CJ79" s="158" t="n">
        <f aca="false">Assumption!$E$115*(Assumption!$E$119*SUMIF(Assumption!$L$110:$L$114,CJ6,Assumption!$K$110:$K$114)+IF(CJ15=13,Assumption!$E$120-Assumption!$E$119,0)+IF(CJ15=25,Assumption!$E$121-Assumption!$E$120,0))</f>
        <v>0</v>
      </c>
      <c r="CK79" s="158" t="n">
        <f aca="false">Assumption!$E$115*(Assumption!$E$119*SUMIF(Assumption!$L$110:$L$114,CK6,Assumption!$K$110:$K$114)+IF(CK15=13,Assumption!$E$120-Assumption!$E$119,0)+IF(CK15=25,Assumption!$E$121-Assumption!$E$120,0))</f>
        <v>0</v>
      </c>
      <c r="CL79" s="158" t="n">
        <f aca="false">Assumption!$E$115*(Assumption!$E$119*SUMIF(Assumption!$L$110:$L$114,CL6,Assumption!$K$110:$K$114)+IF(CL15=13,Assumption!$E$120-Assumption!$E$119,0)+IF(CL15=25,Assumption!$E$121-Assumption!$E$120,0))</f>
        <v>0</v>
      </c>
      <c r="CM79" s="158" t="n">
        <f aca="false">Assumption!$E$115*(Assumption!$E$119*SUMIF(Assumption!$L$110:$L$114,CM6,Assumption!$K$110:$K$114)+IF(CM15=13,Assumption!$E$120-Assumption!$E$119,0)+IF(CM15=25,Assumption!$E$121-Assumption!$E$120,0))</f>
        <v>0</v>
      </c>
      <c r="CN79" s="158" t="n">
        <f aca="false">Assumption!$E$115*(Assumption!$E$119*SUMIF(Assumption!$L$110:$L$114,CN6,Assumption!$K$110:$K$114)+IF(CN15=13,Assumption!$E$120-Assumption!$E$119,0)+IF(CN15=25,Assumption!$E$121-Assumption!$E$120,0))</f>
        <v>0</v>
      </c>
      <c r="CO79" s="158" t="n">
        <f aca="false">Assumption!$E$115*(Assumption!$E$119*SUMIF(Assumption!$L$110:$L$114,CO6,Assumption!$K$110:$K$114)+IF(CO15=13,Assumption!$E$120-Assumption!$E$119,0)+IF(CO15=25,Assumption!$E$121-Assumption!$E$120,0))</f>
        <v>0</v>
      </c>
      <c r="CP79" s="158" t="n">
        <f aca="false">Assumption!$E$115*(Assumption!$E$119*SUMIF(Assumption!$L$110:$L$114,CP6,Assumption!$K$110:$K$114)+IF(CP15=13,Assumption!$E$120-Assumption!$E$119,0)+IF(CP15=25,Assumption!$E$121-Assumption!$E$120,0))</f>
        <v>0</v>
      </c>
      <c r="CQ79" s="158" t="n">
        <f aca="false">Assumption!$E$115*(Assumption!$E$119*SUMIF(Assumption!$L$110:$L$114,CQ6,Assumption!$K$110:$K$114)+IF(CQ15=13,Assumption!$E$120-Assumption!$E$119,0)+IF(CQ15=25,Assumption!$E$121-Assumption!$E$120,0))</f>
        <v>0</v>
      </c>
      <c r="CR79" s="158" t="n">
        <f aca="false">Assumption!$E$115*(Assumption!$E$119*SUMIF(Assumption!$L$110:$L$114,CR6,Assumption!$K$110:$K$114)+IF(CR15=13,Assumption!$E$120-Assumption!$E$119,0)+IF(CR15=25,Assumption!$E$121-Assumption!$E$120,0))</f>
        <v>0</v>
      </c>
      <c r="CS79" s="158" t="n">
        <f aca="false">Assumption!$E$115*(Assumption!$E$119*SUMIF(Assumption!$L$110:$L$114,CS6,Assumption!$K$110:$K$114)+IF(CS15=13,Assumption!$E$120-Assumption!$E$119,0)+IF(CS15=25,Assumption!$E$121-Assumption!$E$120,0))</f>
        <v>0</v>
      </c>
      <c r="CT79" s="158" t="n">
        <f aca="false">Assumption!$E$115*(Assumption!$E$119*SUMIF(Assumption!$L$110:$L$114,CT6,Assumption!$K$110:$K$114)+IF(CT15=13,Assumption!$E$120-Assumption!$E$119,0)+IF(CT15=25,Assumption!$E$121-Assumption!$E$120,0))</f>
        <v>0</v>
      </c>
      <c r="CU79" s="158" t="n">
        <f aca="false">Assumption!$E$115*(Assumption!$E$119*SUMIF(Assumption!$L$110:$L$114,CU6,Assumption!$K$110:$K$114)+IF(CU15=13,Assumption!$E$120-Assumption!$E$119,0)+IF(CU15=25,Assumption!$E$121-Assumption!$E$120,0))</f>
        <v>0</v>
      </c>
      <c r="CV79" s="158" t="n">
        <f aca="false">Assumption!$E$115*(Assumption!$E$119*SUMIF(Assumption!$L$110:$L$114,CV6,Assumption!$K$110:$K$114)+IF(CV15=13,Assumption!$E$120-Assumption!$E$119,0)+IF(CV15=25,Assumption!$E$121-Assumption!$E$120,0))</f>
        <v>0</v>
      </c>
      <c r="CW79" s="158" t="n">
        <f aca="false">Assumption!$E$115*(Assumption!$E$119*SUMIF(Assumption!$L$110:$L$114,CW6,Assumption!$K$110:$K$114)+IF(CW15=13,Assumption!$E$120-Assumption!$E$119,0)+IF(CW15=25,Assumption!$E$121-Assumption!$E$120,0))</f>
        <v>0</v>
      </c>
      <c r="CX79" s="158" t="n">
        <f aca="false">Assumption!$E$115*(Assumption!$E$119*SUMIF(Assumption!$L$110:$L$114,CX6,Assumption!$K$110:$K$114)+IF(CX15=13,Assumption!$E$120-Assumption!$E$119,0)+IF(CX15=25,Assumption!$E$121-Assumption!$E$120,0))</f>
        <v>0</v>
      </c>
      <c r="CY79" s="158" t="n">
        <f aca="false">Assumption!$E$115*(Assumption!$E$119*SUMIF(Assumption!$L$110:$L$114,CY6,Assumption!$K$110:$K$114)+IF(CY15=13,Assumption!$E$120-Assumption!$E$119,0)+IF(CY15=25,Assumption!$E$121-Assumption!$E$120,0))</f>
        <v>0</v>
      </c>
      <c r="CZ79" s="158" t="n">
        <f aca="false">Assumption!$E$115*(Assumption!$E$119*SUMIF(Assumption!$L$110:$L$114,CZ6,Assumption!$K$110:$K$114)+IF(CZ15=13,Assumption!$E$120-Assumption!$E$119,0)+IF(CZ15=25,Assumption!$E$121-Assumption!$E$120,0))</f>
        <v>0</v>
      </c>
      <c r="DA79" s="158" t="n">
        <f aca="false">Assumption!$E$115*(Assumption!$E$119*SUMIF(Assumption!$L$110:$L$114,DA6,Assumption!$K$110:$K$114)+IF(DA15=13,Assumption!$E$120-Assumption!$E$119,0)+IF(DA15=25,Assumption!$E$121-Assumption!$E$120,0))</f>
        <v>0</v>
      </c>
      <c r="DB79" s="158" t="n">
        <f aca="false">Assumption!$E$115*(Assumption!$E$119*SUMIF(Assumption!$L$110:$L$114,DB6,Assumption!$K$110:$K$114)+IF(DB15=13,Assumption!$E$120-Assumption!$E$119,0)+IF(DB15=25,Assumption!$E$121-Assumption!$E$120,0))</f>
        <v>0</v>
      </c>
      <c r="DC79" s="158" t="n">
        <f aca="false">Assumption!$E$115*(Assumption!$E$119*SUMIF(Assumption!$L$110:$L$114,DC6,Assumption!$K$110:$K$114)+IF(DC15=13,Assumption!$E$120-Assumption!$E$119,0)+IF(DC15=25,Assumption!$E$121-Assumption!$E$120,0))</f>
        <v>0</v>
      </c>
      <c r="DD79" s="158" t="n">
        <f aca="false">Assumption!$E$115*(Assumption!$E$119*SUMIF(Assumption!$L$110:$L$114,DD6,Assumption!$K$110:$K$114)+IF(DD15=13,Assumption!$E$120-Assumption!$E$119,0)+IF(DD15=25,Assumption!$E$121-Assumption!$E$120,0))</f>
        <v>0</v>
      </c>
      <c r="DE79" s="158" t="n">
        <f aca="false">Assumption!$E$115*(Assumption!$E$119*SUMIF(Assumption!$L$110:$L$114,DE6,Assumption!$K$110:$K$114)+IF(DE15=13,Assumption!$E$120-Assumption!$E$119,0)+IF(DE15=25,Assumption!$E$121-Assumption!$E$120,0))</f>
        <v>0</v>
      </c>
      <c r="DF79" s="158" t="n">
        <f aca="false">Assumption!$E$115*(Assumption!$E$119*SUMIF(Assumption!$L$110:$L$114,DF6,Assumption!$K$110:$K$114)+IF(DF15=13,Assumption!$E$120-Assumption!$E$119,0)+IF(DF15=25,Assumption!$E$121-Assumption!$E$120,0))</f>
        <v>0</v>
      </c>
      <c r="DG79" s="158" t="n">
        <f aca="false">Assumption!$E$115*(Assumption!$E$119*SUMIF(Assumption!$L$110:$L$114,DG6,Assumption!$K$110:$K$114)+IF(DG15=13,Assumption!$E$120-Assumption!$E$119,0)+IF(DG15=25,Assumption!$E$121-Assumption!$E$120,0))</f>
        <v>0</v>
      </c>
      <c r="DH79" s="158" t="n">
        <f aca="false">Assumption!$E$115*(Assumption!$E$119*SUMIF(Assumption!$L$110:$L$114,DH6,Assumption!$K$110:$K$114)+IF(DH15=13,Assumption!$E$120-Assumption!$E$119,0)+IF(DH15=25,Assumption!$E$121-Assumption!$E$120,0))</f>
        <v>0</v>
      </c>
      <c r="DI79" s="158" t="n">
        <f aca="false">Assumption!$E$115*(Assumption!$E$119*SUMIF(Assumption!$L$110:$L$114,DI6,Assumption!$K$110:$K$114)+IF(DI15=13,Assumption!$E$120-Assumption!$E$119,0)+IF(DI15=25,Assumption!$E$121-Assumption!$E$120,0))</f>
        <v>0</v>
      </c>
      <c r="DJ79" s="158" t="n">
        <f aca="false">Assumption!$E$115*(Assumption!$E$119*SUMIF(Assumption!$L$110:$L$114,DJ6,Assumption!$K$110:$K$114)+IF(DJ15=13,Assumption!$E$120-Assumption!$E$119,0)+IF(DJ15=25,Assumption!$E$121-Assumption!$E$120,0))</f>
        <v>0</v>
      </c>
      <c r="DK79" s="158" t="n">
        <f aca="false">Assumption!$E$115*(Assumption!$E$119*SUMIF(Assumption!$L$110:$L$114,DK6,Assumption!$K$110:$K$114)+IF(DK15=13,Assumption!$E$120-Assumption!$E$119,0)+IF(DK15=25,Assumption!$E$121-Assumption!$E$120,0))</f>
        <v>0</v>
      </c>
      <c r="DL79" s="158" t="n">
        <f aca="false">Assumption!$E$115*(Assumption!$E$119*SUMIF(Assumption!$L$110:$L$114,DL6,Assumption!$K$110:$K$114)+IF(DL15=13,Assumption!$E$120-Assumption!$E$119,0)+IF(DL15=25,Assumption!$E$121-Assumption!$E$120,0))</f>
        <v>0</v>
      </c>
      <c r="DM79" s="158" t="n">
        <f aca="false">Assumption!$E$115*(Assumption!$E$119*SUMIF(Assumption!$L$110:$L$114,DM6,Assumption!$K$110:$K$114)+IF(DM15=13,Assumption!$E$120-Assumption!$E$119,0)+IF(DM15=25,Assumption!$E$121-Assumption!$E$120,0))</f>
        <v>0</v>
      </c>
      <c r="DN79" s="158" t="n">
        <f aca="false">Assumption!$E$115*(Assumption!$E$119*SUMIF(Assumption!$L$110:$L$114,DN6,Assumption!$K$110:$K$114)+IF(DN15=13,Assumption!$E$120-Assumption!$E$119,0)+IF(DN15=25,Assumption!$E$121-Assumption!$E$120,0))</f>
        <v>0</v>
      </c>
      <c r="DO79" s="158" t="n">
        <f aca="false">Assumption!$E$115*(Assumption!$E$119*SUMIF(Assumption!$L$110:$L$114,DO6,Assumption!$K$110:$K$114)+IF(DO15=13,Assumption!$E$120-Assumption!$E$119,0)+IF(DO15=25,Assumption!$E$121-Assumption!$E$120,0))</f>
        <v>0</v>
      </c>
      <c r="DP79" s="158" t="n">
        <f aca="false">Assumption!$E$115*(Assumption!$E$119*SUMIF(Assumption!$L$110:$L$114,DP6,Assumption!$K$110:$K$114)+IF(DP15=13,Assumption!$E$120-Assumption!$E$119,0)+IF(DP15=25,Assumption!$E$121-Assumption!$E$120,0))</f>
        <v>0</v>
      </c>
      <c r="DQ79" s="158" t="n">
        <f aca="false">Assumption!$E$115*(Assumption!$E$119*SUMIF(Assumption!$L$110:$L$114,DQ6,Assumption!$K$110:$K$114)+IF(DQ15=13,Assumption!$E$120-Assumption!$E$119,0)+IF(DQ15=25,Assumption!$E$121-Assumption!$E$120,0))</f>
        <v>0</v>
      </c>
      <c r="DR79" s="158" t="n">
        <f aca="false">Assumption!$E$115*(Assumption!$E$119*SUMIF(Assumption!$L$110:$L$114,DR6,Assumption!$K$110:$K$114)+IF(DR15=13,Assumption!$E$120-Assumption!$E$119,0)+IF(DR15=25,Assumption!$E$121-Assumption!$E$120,0))</f>
        <v>0</v>
      </c>
      <c r="DS79" s="158" t="n">
        <f aca="false">Assumption!$E$115*(Assumption!$E$119*SUMIF(Assumption!$L$110:$L$114,DS6,Assumption!$K$110:$K$114)+IF(DS15=13,Assumption!$E$120-Assumption!$E$119,0)+IF(DS15=25,Assumption!$E$121-Assumption!$E$120,0))</f>
        <v>0</v>
      </c>
      <c r="DT79" s="158" t="n">
        <f aca="false">Assumption!$E$115*(Assumption!$E$119*SUMIF(Assumption!$L$110:$L$114,DT6,Assumption!$K$110:$K$114)+IF(DT15=13,Assumption!$E$120-Assumption!$E$119,0)+IF(DT15=25,Assumption!$E$121-Assumption!$E$120,0))</f>
        <v>0</v>
      </c>
      <c r="DU79" s="158" t="n">
        <f aca="false">Assumption!$E$115*(Assumption!$E$119*SUMIF(Assumption!$L$110:$L$114,DU6,Assumption!$K$110:$K$114)+IF(DU15=13,Assumption!$E$120-Assumption!$E$119,0)+IF(DU15=25,Assumption!$E$121-Assumption!$E$120,0))</f>
        <v>0</v>
      </c>
      <c r="DV79" s="158" t="n">
        <f aca="false">Assumption!$E$115*(Assumption!$E$119*SUMIF(Assumption!$L$110:$L$114,DV6,Assumption!$K$110:$K$114)+IF(DV15=13,Assumption!$E$120-Assumption!$E$119,0)+IF(DV15=25,Assumption!$E$121-Assumption!$E$120,0))</f>
        <v>0</v>
      </c>
      <c r="DW79" s="158" t="n">
        <f aca="false">Assumption!$E$115*(Assumption!$E$119*SUMIF(Assumption!$L$110:$L$114,DW6,Assumption!$K$110:$K$114)+IF(DW15=13,Assumption!$E$120-Assumption!$E$119,0)+IF(DW15=25,Assumption!$E$121-Assumption!$E$120,0))</f>
        <v>0</v>
      </c>
      <c r="DX79" s="158" t="n">
        <f aca="false">Assumption!$E$115*(Assumption!$E$119*SUMIF(Assumption!$L$110:$L$114,DX6,Assumption!$K$110:$K$114)+IF(DX15=13,Assumption!$E$120-Assumption!$E$119,0)+IF(DX15=25,Assumption!$E$121-Assumption!$E$120,0))</f>
        <v>0</v>
      </c>
      <c r="DY79" s="158" t="n">
        <f aca="false">Assumption!$E$115*(Assumption!$E$119*SUMIF(Assumption!$L$110:$L$114,DY6,Assumption!$K$110:$K$114)+IF(DY15=13,Assumption!$E$120-Assumption!$E$119,0)+IF(DY15=25,Assumption!$E$121-Assumption!$E$120,0))</f>
        <v>0</v>
      </c>
      <c r="DZ79" s="158" t="n">
        <f aca="false">Assumption!$E$115*(Assumption!$E$119*SUMIF(Assumption!$L$110:$L$114,DZ6,Assumption!$K$110:$K$114)+IF(DZ15=13,Assumption!$E$120-Assumption!$E$119,0)+IF(DZ15=25,Assumption!$E$121-Assumption!$E$120,0))</f>
        <v>0</v>
      </c>
      <c r="EA79" s="158" t="n">
        <f aca="false">Assumption!$E$115*(Assumption!$E$119*SUMIF(Assumption!$L$110:$L$114,EA6,Assumption!$K$110:$K$114)+IF(EA15=13,Assumption!$E$120-Assumption!$E$119,0)+IF(EA15=25,Assumption!$E$121-Assumption!$E$120,0))</f>
        <v>0</v>
      </c>
      <c r="EB79" s="158" t="n">
        <f aca="false">Assumption!$E$115*(Assumption!$E$119*SUMIF(Assumption!$L$110:$L$114,EB6,Assumption!$K$110:$K$114)+IF(EB15=13,Assumption!$E$120-Assumption!$E$119,0)+IF(EB15=25,Assumption!$E$121-Assumption!$E$120,0))</f>
        <v>0</v>
      </c>
      <c r="EC79" s="158" t="n">
        <f aca="false">Assumption!$E$115*(Assumption!$E$119*SUMIF(Assumption!$L$110:$L$114,EC6,Assumption!$K$110:$K$114)+IF(EC15=13,Assumption!$E$120-Assumption!$E$119,0)+IF(EC15=25,Assumption!$E$121-Assumption!$E$120,0))</f>
        <v>0</v>
      </c>
      <c r="ED79" s="158" t="n">
        <f aca="false">Assumption!$E$115*(Assumption!$E$119*SUMIF(Assumption!$L$110:$L$114,ED6,Assumption!$K$110:$K$114)+IF(ED15=13,Assumption!$E$120-Assumption!$E$119,0)+IF(ED15=25,Assumption!$E$121-Assumption!$E$120,0))</f>
        <v>0</v>
      </c>
      <c r="EE79" s="158" t="n">
        <f aca="false">Assumption!$E$115*(Assumption!$E$119*SUMIF(Assumption!$L$110:$L$114,EE6,Assumption!$K$110:$K$114)+IF(EE15=13,Assumption!$E$120-Assumption!$E$119,0)+IF(EE15=25,Assumption!$E$121-Assumption!$E$120,0))</f>
        <v>0</v>
      </c>
      <c r="EF79" s="158" t="n">
        <f aca="false">Assumption!$E$115*(Assumption!$E$119*SUMIF(Assumption!$L$110:$L$114,EF6,Assumption!$K$110:$K$114)+IF(EF15=13,Assumption!$E$120-Assumption!$E$119,0)+IF(EF15=25,Assumption!$E$121-Assumption!$E$120,0))</f>
        <v>0</v>
      </c>
    </row>
    <row r="80" customFormat="false" ht="15" hidden="false" customHeight="false" outlineLevel="0" collapsed="false">
      <c r="A80" s="35" t="s">
        <v>540</v>
      </c>
      <c r="B80" s="241" t="s">
        <v>116</v>
      </c>
      <c r="C80" s="242" t="n">
        <f aca="false">SUM(E80:EF80)</f>
        <v>66000</v>
      </c>
      <c r="E80" s="158" t="n">
        <f aca="false">Assumption!$E$137*(IF(E15=1,Assumption!$E$142,0)+IF(E15=13,Assumption!$E$143-Assumption!$E$142,0)+IF(E15=25,Assumption!$E$144-Assumption!$E$143,0))</f>
        <v>0</v>
      </c>
      <c r="F80" s="158" t="n">
        <f aca="false">Assumption!$E$137*(IF(F15=1,Assumption!$E$142,0)+IF(F15=13,Assumption!$E$143-Assumption!$E$142,0)+IF(F15=25,Assumption!$E$144-Assumption!$E$143,0))</f>
        <v>0</v>
      </c>
      <c r="G80" s="158" t="n">
        <f aca="false">Assumption!$E$137*(IF(G15=1,Assumption!$E$142,0)+IF(G15=13,Assumption!$E$143-Assumption!$E$142,0)+IF(G15=25,Assumption!$E$144-Assumption!$E$143,0))</f>
        <v>0</v>
      </c>
      <c r="H80" s="158" t="n">
        <f aca="false">Assumption!$E$137*(IF(H15=1,Assumption!$E$142,0)+IF(H15=13,Assumption!$E$143-Assumption!$E$142,0)+IF(H15=25,Assumption!$E$144-Assumption!$E$143,0))</f>
        <v>0</v>
      </c>
      <c r="I80" s="158" t="n">
        <f aca="false">Assumption!$E$137*(IF(I15=1,Assumption!$E$142,0)+IF(I15=13,Assumption!$E$143-Assumption!$E$142,0)+IF(I15=25,Assumption!$E$144-Assumption!$E$143,0))</f>
        <v>0</v>
      </c>
      <c r="J80" s="158" t="n">
        <f aca="false">Assumption!$E$137*(IF(J15=1,Assumption!$E$142,0)+IF(J15=13,Assumption!$E$143-Assumption!$E$142,0)+IF(J15=25,Assumption!$E$144-Assumption!$E$143,0))</f>
        <v>0</v>
      </c>
      <c r="K80" s="158" t="n">
        <f aca="false">Assumption!$E$137*(IF(K15=1,Assumption!$E$142,0)+IF(K15=13,Assumption!$E$143-Assumption!$E$142,0)+IF(K15=25,Assumption!$E$144-Assumption!$E$143,0))</f>
        <v>0</v>
      </c>
      <c r="L80" s="158" t="n">
        <f aca="false">Assumption!$E$137*(IF(L15=1,Assumption!$E$142,0)+IF(L15=13,Assumption!$E$143-Assumption!$E$142,0)+IF(L15=25,Assumption!$E$144-Assumption!$E$143,0))</f>
        <v>0</v>
      </c>
      <c r="M80" s="158" t="n">
        <f aca="false">Assumption!$E$137*(IF(M15=1,Assumption!$E$142,0)+IF(M15=13,Assumption!$E$143-Assumption!$E$142,0)+IF(M15=25,Assumption!$E$144-Assumption!$E$143,0))</f>
        <v>0</v>
      </c>
      <c r="N80" s="158" t="n">
        <f aca="false">Assumption!$E$137*(IF(N15=1,Assumption!$E$142,0)+IF(N15=13,Assumption!$E$143-Assumption!$E$142,0)+IF(N15=25,Assumption!$E$144-Assumption!$E$143,0))</f>
        <v>0</v>
      </c>
      <c r="O80" s="158" t="n">
        <f aca="false">Assumption!$E$137*(IF(O15=1,Assumption!$E$142,0)+IF(O15=13,Assumption!$E$143-Assumption!$E$142,0)+IF(O15=25,Assumption!$E$144-Assumption!$E$143,0))</f>
        <v>0</v>
      </c>
      <c r="P80" s="158" t="n">
        <f aca="false">Assumption!$E$137*(IF(P15=1,Assumption!$E$142,0)+IF(P15=13,Assumption!$E$143-Assumption!$E$142,0)+IF(P15=25,Assumption!$E$144-Assumption!$E$143,0))</f>
        <v>0</v>
      </c>
      <c r="Q80" s="158" t="n">
        <f aca="false">Assumption!$E$137*(IF(Q15=1,Assumption!$E$142,0)+IF(Q15=13,Assumption!$E$143-Assumption!$E$142,0)+IF(Q15=25,Assumption!$E$144-Assumption!$E$143,0))</f>
        <v>0</v>
      </c>
      <c r="R80" s="158" t="n">
        <f aca="false">Assumption!$E$137*(IF(R15=1,Assumption!$E$142,0)+IF(R15=13,Assumption!$E$143-Assumption!$E$142,0)+IF(R15=25,Assumption!$E$144-Assumption!$E$143,0))</f>
        <v>0</v>
      </c>
      <c r="S80" s="158" t="n">
        <f aca="false">Assumption!$E$137*(IF(S15=1,Assumption!$E$142,0)+IF(S15=13,Assumption!$E$143-Assumption!$E$142,0)+IF(S15=25,Assumption!$E$144-Assumption!$E$143,0))</f>
        <v>0</v>
      </c>
      <c r="T80" s="158" t="n">
        <f aca="false">Assumption!$E$137*(IF(T15=1,Assumption!$E$142,0)+IF(T15=13,Assumption!$E$143-Assumption!$E$142,0)+IF(T15=25,Assumption!$E$144-Assumption!$E$143,0))</f>
        <v>0</v>
      </c>
      <c r="U80" s="158" t="n">
        <f aca="false">Assumption!$E$137*(IF(U15=1,Assumption!$E$142,0)+IF(U15=13,Assumption!$E$143-Assumption!$E$142,0)+IF(U15=25,Assumption!$E$144-Assumption!$E$143,0))</f>
        <v>0</v>
      </c>
      <c r="V80" s="158" t="n">
        <f aca="false">Assumption!$E$137*(IF(V15=1,Assumption!$E$142,0)+IF(V15=13,Assumption!$E$143-Assumption!$E$142,0)+IF(V15=25,Assumption!$E$144-Assumption!$E$143,0))</f>
        <v>0</v>
      </c>
      <c r="W80" s="158" t="n">
        <f aca="false">Assumption!$E$137*(IF(W15=1,Assumption!$E$142,0)+IF(W15=13,Assumption!$E$143-Assumption!$E$142,0)+IF(W15=25,Assumption!$E$144-Assumption!$E$143,0))</f>
        <v>0</v>
      </c>
      <c r="X80" s="158" t="n">
        <f aca="false">Assumption!$E$137*(IF(X15=1,Assumption!$E$142,0)+IF(X15=13,Assumption!$E$143-Assumption!$E$142,0)+IF(X15=25,Assumption!$E$144-Assumption!$E$143,0))</f>
        <v>0</v>
      </c>
      <c r="Y80" s="158" t="n">
        <f aca="false">Assumption!$E$137*(IF(Y15=1,Assumption!$E$142,0)+IF(Y15=13,Assumption!$E$143-Assumption!$E$142,0)+IF(Y15=25,Assumption!$E$144-Assumption!$E$143,0))</f>
        <v>0</v>
      </c>
      <c r="Z80" s="158" t="n">
        <f aca="false">Assumption!$E$137*(IF(Z15=1,Assumption!$E$142,0)+IF(Z15=13,Assumption!$E$143-Assumption!$E$142,0)+IF(Z15=25,Assumption!$E$144-Assumption!$E$143,0))</f>
        <v>0</v>
      </c>
      <c r="AA80" s="158" t="n">
        <f aca="false">Assumption!$E$137*(IF(AA15=1,Assumption!$E$142,0)+IF(AA15=13,Assumption!$E$143-Assumption!$E$142,0)+IF(AA15=25,Assumption!$E$144-Assumption!$E$143,0))</f>
        <v>0</v>
      </c>
      <c r="AB80" s="158" t="n">
        <f aca="false">Assumption!$E$137*(IF(AB15=1,Assumption!$E$142,0)+IF(AB15=13,Assumption!$E$143-Assumption!$E$142,0)+IF(AB15=25,Assumption!$E$144-Assumption!$E$143,0))</f>
        <v>0</v>
      </c>
      <c r="AC80" s="158" t="n">
        <f aca="false">Assumption!$E$137*(IF(AC15=1,Assumption!$E$142,0)+IF(AC15=13,Assumption!$E$143-Assumption!$E$142,0)+IF(AC15=25,Assumption!$E$144-Assumption!$E$143,0))</f>
        <v>0</v>
      </c>
      <c r="AD80" s="158" t="n">
        <f aca="false">Assumption!$E$137*(IF(AD15=1,Assumption!$E$142,0)+IF(AD15=13,Assumption!$E$143-Assumption!$E$142,0)+IF(AD15=25,Assumption!$E$144-Assumption!$E$143,0))</f>
        <v>0</v>
      </c>
      <c r="AE80" s="158" t="n">
        <f aca="false">Assumption!$E$137*(IF(AE15=1,Assumption!$E$142,0)+IF(AE15=13,Assumption!$E$143-Assumption!$E$142,0)+IF(AE15=25,Assumption!$E$144-Assumption!$E$143,0))</f>
        <v>0</v>
      </c>
      <c r="AF80" s="158" t="n">
        <f aca="false">Assumption!$E$137*(IF(AF15=1,Assumption!$E$142,0)+IF(AF15=13,Assumption!$E$143-Assumption!$E$142,0)+IF(AF15=25,Assumption!$E$144-Assumption!$E$143,0))</f>
        <v>0</v>
      </c>
      <c r="AG80" s="158" t="n">
        <f aca="false">Assumption!$E$137*(IF(AG15=1,Assumption!$E$142,0)+IF(AG15=13,Assumption!$E$143-Assumption!$E$142,0)+IF(AG15=25,Assumption!$E$144-Assumption!$E$143,0))</f>
        <v>0</v>
      </c>
      <c r="AH80" s="158" t="n">
        <f aca="false">Assumption!$E$137*(IF(AH15=1,Assumption!$E$142,0)+IF(AH15=13,Assumption!$E$143-Assumption!$E$142,0)+IF(AH15=25,Assumption!$E$144-Assumption!$E$143,0))</f>
        <v>0</v>
      </c>
      <c r="AI80" s="158" t="n">
        <f aca="false">Assumption!$E$137*(IF(AI15=1,Assumption!$E$142,0)+IF(AI15=13,Assumption!$E$143-Assumption!$E$142,0)+IF(AI15=25,Assumption!$E$144-Assumption!$E$143,0))</f>
        <v>0</v>
      </c>
      <c r="AJ80" s="158" t="n">
        <f aca="false">Assumption!$E$137*(IF(AJ15=1,Assumption!$E$142,0)+IF(AJ15=13,Assumption!$E$143-Assumption!$E$142,0)+IF(AJ15=25,Assumption!$E$144-Assumption!$E$143,0))</f>
        <v>0</v>
      </c>
      <c r="AK80" s="158" t="n">
        <f aca="false">Assumption!$E$137*(IF(AK15=1,Assumption!$E$142,0)+IF(AK15=13,Assumption!$E$143-Assumption!$E$142,0)+IF(AK15=25,Assumption!$E$144-Assumption!$E$143,0))</f>
        <v>0</v>
      </c>
      <c r="AL80" s="158" t="n">
        <f aca="false">Assumption!$E$137*(IF(AL15=1,Assumption!$E$142,0)+IF(AL15=13,Assumption!$E$143-Assumption!$E$142,0)+IF(AL15=25,Assumption!$E$144-Assumption!$E$143,0))</f>
        <v>0</v>
      </c>
      <c r="AM80" s="158" t="n">
        <f aca="false">Assumption!$E$137*(IF(AM15=1,Assumption!$E$142,0)+IF(AM15=13,Assumption!$E$143-Assumption!$E$142,0)+IF(AM15=25,Assumption!$E$144-Assumption!$E$143,0))</f>
        <v>0</v>
      </c>
      <c r="AN80" s="158" t="n">
        <f aca="false">Assumption!$E$137*(IF(AN15=1,Assumption!$E$142,0)+IF(AN15=13,Assumption!$E$143-Assumption!$E$142,0)+IF(AN15=25,Assumption!$E$144-Assumption!$E$143,0))</f>
        <v>0</v>
      </c>
      <c r="AO80" s="158" t="n">
        <f aca="false">Assumption!$E$137*(IF(AO15=1,Assumption!$E$142,0)+IF(AO15=13,Assumption!$E$143-Assumption!$E$142,0)+IF(AO15=25,Assumption!$E$144-Assumption!$E$143,0))</f>
        <v>0</v>
      </c>
      <c r="AP80" s="158" t="n">
        <f aca="false">Assumption!$E$137*(IF(AP15=1,Assumption!$E$142,0)+IF(AP15=13,Assumption!$E$143-Assumption!$E$142,0)+IF(AP15=25,Assumption!$E$144-Assumption!$E$143,0))</f>
        <v>0</v>
      </c>
      <c r="AQ80" s="158" t="n">
        <f aca="false">Assumption!$E$137*(IF(AQ15=1,Assumption!$E$142,0)+IF(AQ15=13,Assumption!$E$143-Assumption!$E$142,0)+IF(AQ15=25,Assumption!$E$144-Assumption!$E$143,0))</f>
        <v>0</v>
      </c>
      <c r="AR80" s="158" t="n">
        <f aca="false">Assumption!$E$137*(IF(AR15=1,Assumption!$E$142,0)+IF(AR15=13,Assumption!$E$143-Assumption!$E$142,0)+IF(AR15=25,Assumption!$E$144-Assumption!$E$143,0))</f>
        <v>0</v>
      </c>
      <c r="AS80" s="158" t="n">
        <f aca="false">Assumption!$E$137*(IF(AS15=1,Assumption!$E$142,0)+IF(AS15=13,Assumption!$E$143-Assumption!$E$142,0)+IF(AS15=25,Assumption!$E$144-Assumption!$E$143,0))</f>
        <v>0</v>
      </c>
      <c r="AT80" s="158" t="n">
        <f aca="false">Assumption!$E$137*(IF(AT15=1,Assumption!$E$142,0)+IF(AT15=13,Assumption!$E$143-Assumption!$E$142,0)+IF(AT15=25,Assumption!$E$144-Assumption!$E$143,0))</f>
        <v>0</v>
      </c>
      <c r="AU80" s="158" t="n">
        <f aca="false">Assumption!$E$137*(IF(AU15=1,Assumption!$E$142,0)+IF(AU15=13,Assumption!$E$143-Assumption!$E$142,0)+IF(AU15=25,Assumption!$E$144-Assumption!$E$143,0))</f>
        <v>0</v>
      </c>
      <c r="AV80" s="158" t="n">
        <f aca="false">Assumption!$E$137*(IF(AV15=1,Assumption!$E$142,0)+IF(AV15=13,Assumption!$E$143-Assumption!$E$142,0)+IF(AV15=25,Assumption!$E$144-Assumption!$E$143,0))</f>
        <v>0</v>
      </c>
      <c r="AW80" s="158" t="n">
        <f aca="false">Assumption!$E$137*(IF(AW15=1,Assumption!$E$142,0)+IF(AW15=13,Assumption!$E$143-Assumption!$E$142,0)+IF(AW15=25,Assumption!$E$144-Assumption!$E$143,0))</f>
        <v>0</v>
      </c>
      <c r="AX80" s="158" t="n">
        <f aca="false">Assumption!$E$137*(IF(AX15=1,Assumption!$E$142,0)+IF(AX15=13,Assumption!$E$143-Assumption!$E$142,0)+IF(AX15=25,Assumption!$E$144-Assumption!$E$143,0))</f>
        <v>0</v>
      </c>
      <c r="AY80" s="158" t="n">
        <f aca="false">Assumption!$E$137*(IF(AY15=1,Assumption!$E$142,0)+IF(AY15=13,Assumption!$E$143-Assumption!$E$142,0)+IF(AY15=25,Assumption!$E$144-Assumption!$E$143,0))</f>
        <v>0</v>
      </c>
      <c r="AZ80" s="158" t="n">
        <f aca="false">Assumption!$E$137*(IF(AZ15=1,Assumption!$E$142,0)+IF(AZ15=13,Assumption!$E$143-Assumption!$E$142,0)+IF(AZ15=25,Assumption!$E$144-Assumption!$E$143,0))</f>
        <v>0</v>
      </c>
      <c r="BA80" s="158" t="n">
        <f aca="false">Assumption!$E$137*(IF(BA15=1,Assumption!$E$142,0)+IF(BA15=13,Assumption!$E$143-Assumption!$E$142,0)+IF(BA15=25,Assumption!$E$144-Assumption!$E$143,0))</f>
        <v>0</v>
      </c>
      <c r="BB80" s="158" t="n">
        <f aca="false">Assumption!$E$137*(IF(BB15=1,Assumption!$E$142,0)+IF(BB15=13,Assumption!$E$143-Assumption!$E$142,0)+IF(BB15=25,Assumption!$E$144-Assumption!$E$143,0))</f>
        <v>0</v>
      </c>
      <c r="BC80" s="158" t="n">
        <f aca="false">Assumption!$E$137*(IF(BC15=1,Assumption!$E$142,0)+IF(BC15=13,Assumption!$E$143-Assumption!$E$142,0)+IF(BC15=25,Assumption!$E$144-Assumption!$E$143,0))</f>
        <v>0</v>
      </c>
      <c r="BD80" s="158" t="n">
        <f aca="false">Assumption!$E$137*(IF(BD15=1,Assumption!$E$142,0)+IF(BD15=13,Assumption!$E$143-Assumption!$E$142,0)+IF(BD15=25,Assumption!$E$144-Assumption!$E$143,0))</f>
        <v>0</v>
      </c>
      <c r="BE80" s="158" t="n">
        <f aca="false">Assumption!$E$137*(IF(BE15=1,Assumption!$E$142,0)+IF(BE15=13,Assumption!$E$143-Assumption!$E$142,0)+IF(BE15=25,Assumption!$E$144-Assumption!$E$143,0))</f>
        <v>0</v>
      </c>
      <c r="BF80" s="158" t="n">
        <f aca="false">Assumption!$E$137*(IF(BF15=1,Assumption!$E$142,0)+IF(BF15=13,Assumption!$E$143-Assumption!$E$142,0)+IF(BF15=25,Assumption!$E$144-Assumption!$E$143,0))</f>
        <v>0</v>
      </c>
      <c r="BG80" s="158" t="n">
        <f aca="false">Assumption!$E$137*(IF(BG15=1,Assumption!$E$142,0)+IF(BG15=13,Assumption!$E$143-Assumption!$E$142,0)+IF(BG15=25,Assumption!$E$144-Assumption!$E$143,0))</f>
        <v>0</v>
      </c>
      <c r="BH80" s="158" t="n">
        <f aca="false">Assumption!$E$137*(IF(BH15=1,Assumption!$E$142,0)+IF(BH15=13,Assumption!$E$143-Assumption!$E$142,0)+IF(BH15=25,Assumption!$E$144-Assumption!$E$143,0))</f>
        <v>0</v>
      </c>
      <c r="BI80" s="158" t="n">
        <f aca="false">Assumption!$E$137*(IF(BI15=1,Assumption!$E$142,0)+IF(BI15=13,Assumption!$E$143-Assumption!$E$142,0)+IF(BI15=25,Assumption!$E$144-Assumption!$E$143,0))</f>
        <v>0</v>
      </c>
      <c r="BJ80" s="158" t="n">
        <f aca="false">Assumption!$E$137*(IF(BJ15=1,Assumption!$E$142,0)+IF(BJ15=13,Assumption!$E$143-Assumption!$E$142,0)+IF(BJ15=25,Assumption!$E$144-Assumption!$E$143,0))</f>
        <v>0</v>
      </c>
      <c r="BK80" s="158" t="n">
        <f aca="false">Assumption!$E$137*(IF(BK15=1,Assumption!$E$142,0)+IF(BK15=13,Assumption!$E$143-Assumption!$E$142,0)+IF(BK15=25,Assumption!$E$144-Assumption!$E$143,0))</f>
        <v>0</v>
      </c>
      <c r="BL80" s="158" t="n">
        <f aca="false">Assumption!$E$137*(IF(BL15=1,Assumption!$E$142,0)+IF(BL15=13,Assumption!$E$143-Assumption!$E$142,0)+IF(BL15=25,Assumption!$E$144-Assumption!$E$143,0))</f>
        <v>0</v>
      </c>
      <c r="BM80" s="158" t="n">
        <f aca="false">Assumption!$E$137*(IF(BM15=1,Assumption!$E$142,0)+IF(BM15=13,Assumption!$E$143-Assumption!$E$142,0)+IF(BM15=25,Assumption!$E$144-Assumption!$E$143,0))</f>
        <v>39600</v>
      </c>
      <c r="BN80" s="158" t="n">
        <f aca="false">Assumption!$E$137*(IF(BN15=1,Assumption!$E$142,0)+IF(BN15=13,Assumption!$E$143-Assumption!$E$142,0)+IF(BN15=25,Assumption!$E$144-Assumption!$E$143,0))</f>
        <v>0</v>
      </c>
      <c r="BO80" s="158" t="n">
        <f aca="false">Assumption!$E$137*(IF(BO15=1,Assumption!$E$142,0)+IF(BO15=13,Assumption!$E$143-Assumption!$E$142,0)+IF(BO15=25,Assumption!$E$144-Assumption!$E$143,0))</f>
        <v>0</v>
      </c>
      <c r="BP80" s="158" t="n">
        <f aca="false">Assumption!$E$137*(IF(BP15=1,Assumption!$E$142,0)+IF(BP15=13,Assumption!$E$143-Assumption!$E$142,0)+IF(BP15=25,Assumption!$E$144-Assumption!$E$143,0))</f>
        <v>0</v>
      </c>
      <c r="BQ80" s="158" t="n">
        <f aca="false">Assumption!$E$137*(IF(BQ15=1,Assumption!$E$142,0)+IF(BQ15=13,Assumption!$E$143-Assumption!$E$142,0)+IF(BQ15=25,Assumption!$E$144-Assumption!$E$143,0))</f>
        <v>0</v>
      </c>
      <c r="BR80" s="158" t="n">
        <f aca="false">Assumption!$E$137*(IF(BR15=1,Assumption!$E$142,0)+IF(BR15=13,Assumption!$E$143-Assumption!$E$142,0)+IF(BR15=25,Assumption!$E$144-Assumption!$E$143,0))</f>
        <v>0</v>
      </c>
      <c r="BS80" s="158" t="n">
        <f aca="false">Assumption!$E$137*(IF(BS15=1,Assumption!$E$142,0)+IF(BS15=13,Assumption!$E$143-Assumption!$E$142,0)+IF(BS15=25,Assumption!$E$144-Assumption!$E$143,0))</f>
        <v>0</v>
      </c>
      <c r="BT80" s="158" t="n">
        <f aca="false">Assumption!$E$137*(IF(BT15=1,Assumption!$E$142,0)+IF(BT15=13,Assumption!$E$143-Assumption!$E$142,0)+IF(BT15=25,Assumption!$E$144-Assumption!$E$143,0))</f>
        <v>0</v>
      </c>
      <c r="BU80" s="158" t="n">
        <f aca="false">Assumption!$E$137*(IF(BU15=1,Assumption!$E$142,0)+IF(BU15=13,Assumption!$E$143-Assumption!$E$142,0)+IF(BU15=25,Assumption!$E$144-Assumption!$E$143,0))</f>
        <v>0</v>
      </c>
      <c r="BV80" s="158" t="n">
        <f aca="false">Assumption!$E$137*(IF(BV15=1,Assumption!$E$142,0)+IF(BV15=13,Assumption!$E$143-Assumption!$E$142,0)+IF(BV15=25,Assumption!$E$144-Assumption!$E$143,0))</f>
        <v>0</v>
      </c>
      <c r="BW80" s="158" t="n">
        <f aca="false">Assumption!$E$137*(IF(BW15=1,Assumption!$E$142,0)+IF(BW15=13,Assumption!$E$143-Assumption!$E$142,0)+IF(BW15=25,Assumption!$E$144-Assumption!$E$143,0))</f>
        <v>0</v>
      </c>
      <c r="BX80" s="158" t="n">
        <f aca="false">Assumption!$E$137*(IF(BX15=1,Assumption!$E$142,0)+IF(BX15=13,Assumption!$E$143-Assumption!$E$142,0)+IF(BX15=25,Assumption!$E$144-Assumption!$E$143,0))</f>
        <v>0</v>
      </c>
      <c r="BY80" s="158" t="n">
        <f aca="false">Assumption!$E$137*(IF(BY15=1,Assumption!$E$142,0)+IF(BY15=13,Assumption!$E$143-Assumption!$E$142,0)+IF(BY15=25,Assumption!$E$144-Assumption!$E$143,0))</f>
        <v>13200</v>
      </c>
      <c r="BZ80" s="158" t="n">
        <f aca="false">Assumption!$E$137*(IF(BZ15=1,Assumption!$E$142,0)+IF(BZ15=13,Assumption!$E$143-Assumption!$E$142,0)+IF(BZ15=25,Assumption!$E$144-Assumption!$E$143,0))</f>
        <v>0</v>
      </c>
      <c r="CA80" s="158" t="n">
        <f aca="false">Assumption!$E$137*(IF(CA15=1,Assumption!$E$142,0)+IF(CA15=13,Assumption!$E$143-Assumption!$E$142,0)+IF(CA15=25,Assumption!$E$144-Assumption!$E$143,0))</f>
        <v>0</v>
      </c>
      <c r="CB80" s="158" t="n">
        <f aca="false">Assumption!$E$137*(IF(CB15=1,Assumption!$E$142,0)+IF(CB15=13,Assumption!$E$143-Assumption!$E$142,0)+IF(CB15=25,Assumption!$E$144-Assumption!$E$143,0))</f>
        <v>0</v>
      </c>
      <c r="CC80" s="158" t="n">
        <f aca="false">Assumption!$E$137*(IF(CC15=1,Assumption!$E$142,0)+IF(CC15=13,Assumption!$E$143-Assumption!$E$142,0)+IF(CC15=25,Assumption!$E$144-Assumption!$E$143,0))</f>
        <v>0</v>
      </c>
      <c r="CD80" s="158" t="n">
        <f aca="false">Assumption!$E$137*(IF(CD15=1,Assumption!$E$142,0)+IF(CD15=13,Assumption!$E$143-Assumption!$E$142,0)+IF(CD15=25,Assumption!$E$144-Assumption!$E$143,0))</f>
        <v>0</v>
      </c>
      <c r="CE80" s="158" t="n">
        <f aca="false">Assumption!$E$137*(IF(CE15=1,Assumption!$E$142,0)+IF(CE15=13,Assumption!$E$143-Assumption!$E$142,0)+IF(CE15=25,Assumption!$E$144-Assumption!$E$143,0))</f>
        <v>0</v>
      </c>
      <c r="CF80" s="158" t="n">
        <f aca="false">Assumption!$E$137*(IF(CF15=1,Assumption!$E$142,0)+IF(CF15=13,Assumption!$E$143-Assumption!$E$142,0)+IF(CF15=25,Assumption!$E$144-Assumption!$E$143,0))</f>
        <v>0</v>
      </c>
      <c r="CG80" s="158" t="n">
        <f aca="false">Assumption!$E$137*(IF(CG15=1,Assumption!$E$142,0)+IF(CG15=13,Assumption!$E$143-Assumption!$E$142,0)+IF(CG15=25,Assumption!$E$144-Assumption!$E$143,0))</f>
        <v>0</v>
      </c>
      <c r="CH80" s="158" t="n">
        <f aca="false">Assumption!$E$137*(IF(CH15=1,Assumption!$E$142,0)+IF(CH15=13,Assumption!$E$143-Assumption!$E$142,0)+IF(CH15=25,Assumption!$E$144-Assumption!$E$143,0))</f>
        <v>0</v>
      </c>
      <c r="CI80" s="158" t="n">
        <f aca="false">Assumption!$E$137*(IF(CI15=1,Assumption!$E$142,0)+IF(CI15=13,Assumption!$E$143-Assumption!$E$142,0)+IF(CI15=25,Assumption!$E$144-Assumption!$E$143,0))</f>
        <v>0</v>
      </c>
      <c r="CJ80" s="158" t="n">
        <f aca="false">Assumption!$E$137*(IF(CJ15=1,Assumption!$E$142,0)+IF(CJ15=13,Assumption!$E$143-Assumption!$E$142,0)+IF(CJ15=25,Assumption!$E$144-Assumption!$E$143,0))</f>
        <v>0</v>
      </c>
      <c r="CK80" s="158" t="n">
        <f aca="false">Assumption!$E$137*(IF(CK15=1,Assumption!$E$142,0)+IF(CK15=13,Assumption!$E$143-Assumption!$E$142,0)+IF(CK15=25,Assumption!$E$144-Assumption!$E$143,0))</f>
        <v>13200</v>
      </c>
      <c r="CL80" s="158" t="n">
        <f aca="false">Assumption!$E$137*(IF(CL15=1,Assumption!$E$142,0)+IF(CL15=13,Assumption!$E$143-Assumption!$E$142,0)+IF(CL15=25,Assumption!$E$144-Assumption!$E$143,0))</f>
        <v>0</v>
      </c>
      <c r="CM80" s="158" t="n">
        <f aca="false">Assumption!$E$137*(IF(CM15=1,Assumption!$E$142,0)+IF(CM15=13,Assumption!$E$143-Assumption!$E$142,0)+IF(CM15=25,Assumption!$E$144-Assumption!$E$143,0))</f>
        <v>0</v>
      </c>
      <c r="CN80" s="158" t="n">
        <f aca="false">Assumption!$E$137*(IF(CN15=1,Assumption!$E$142,0)+IF(CN15=13,Assumption!$E$143-Assumption!$E$142,0)+IF(CN15=25,Assumption!$E$144-Assumption!$E$143,0))</f>
        <v>0</v>
      </c>
      <c r="CO80" s="158" t="n">
        <f aca="false">Assumption!$E$137*(IF(CO15=1,Assumption!$E$142,0)+IF(CO15=13,Assumption!$E$143-Assumption!$E$142,0)+IF(CO15=25,Assumption!$E$144-Assumption!$E$143,0))</f>
        <v>0</v>
      </c>
      <c r="CP80" s="158" t="n">
        <f aca="false">Assumption!$E$137*(IF(CP15=1,Assumption!$E$142,0)+IF(CP15=13,Assumption!$E$143-Assumption!$E$142,0)+IF(CP15=25,Assumption!$E$144-Assumption!$E$143,0))</f>
        <v>0</v>
      </c>
      <c r="CQ80" s="158" t="n">
        <f aca="false">Assumption!$E$137*(IF(CQ15=1,Assumption!$E$142,0)+IF(CQ15=13,Assumption!$E$143-Assumption!$E$142,0)+IF(CQ15=25,Assumption!$E$144-Assumption!$E$143,0))</f>
        <v>0</v>
      </c>
      <c r="CR80" s="158" t="n">
        <f aca="false">Assumption!$E$137*(IF(CR15=1,Assumption!$E$142,0)+IF(CR15=13,Assumption!$E$143-Assumption!$E$142,0)+IF(CR15=25,Assumption!$E$144-Assumption!$E$143,0))</f>
        <v>0</v>
      </c>
      <c r="CS80" s="158" t="n">
        <f aca="false">Assumption!$E$137*(IF(CS15=1,Assumption!$E$142,0)+IF(CS15=13,Assumption!$E$143-Assumption!$E$142,0)+IF(CS15=25,Assumption!$E$144-Assumption!$E$143,0))</f>
        <v>0</v>
      </c>
      <c r="CT80" s="158" t="n">
        <f aca="false">Assumption!$E$137*(IF(CT15=1,Assumption!$E$142,0)+IF(CT15=13,Assumption!$E$143-Assumption!$E$142,0)+IF(CT15=25,Assumption!$E$144-Assumption!$E$143,0))</f>
        <v>0</v>
      </c>
      <c r="CU80" s="158" t="n">
        <f aca="false">Assumption!$E$137*(IF(CU15=1,Assumption!$E$142,0)+IF(CU15=13,Assumption!$E$143-Assumption!$E$142,0)+IF(CU15=25,Assumption!$E$144-Assumption!$E$143,0))</f>
        <v>0</v>
      </c>
      <c r="CV80" s="158" t="n">
        <f aca="false">Assumption!$E$137*(IF(CV15=1,Assumption!$E$142,0)+IF(CV15=13,Assumption!$E$143-Assumption!$E$142,0)+IF(CV15=25,Assumption!$E$144-Assumption!$E$143,0))</f>
        <v>0</v>
      </c>
      <c r="CW80" s="158" t="n">
        <f aca="false">Assumption!$E$137*(IF(CW15=1,Assumption!$E$142,0)+IF(CW15=13,Assumption!$E$143-Assumption!$E$142,0)+IF(CW15=25,Assumption!$E$144-Assumption!$E$143,0))</f>
        <v>0</v>
      </c>
      <c r="CX80" s="158" t="n">
        <f aca="false">Assumption!$E$137*(IF(CX15=1,Assumption!$E$142,0)+IF(CX15=13,Assumption!$E$143-Assumption!$E$142,0)+IF(CX15=25,Assumption!$E$144-Assumption!$E$143,0))</f>
        <v>0</v>
      </c>
      <c r="CY80" s="158" t="n">
        <f aca="false">Assumption!$E$137*(IF(CY15=1,Assumption!$E$142,0)+IF(CY15=13,Assumption!$E$143-Assumption!$E$142,0)+IF(CY15=25,Assumption!$E$144-Assumption!$E$143,0))</f>
        <v>0</v>
      </c>
      <c r="CZ80" s="158" t="n">
        <f aca="false">Assumption!$E$137*(IF(CZ15=1,Assumption!$E$142,0)+IF(CZ15=13,Assumption!$E$143-Assumption!$E$142,0)+IF(CZ15=25,Assumption!$E$144-Assumption!$E$143,0))</f>
        <v>0</v>
      </c>
      <c r="DA80" s="158" t="n">
        <f aca="false">Assumption!$E$137*(IF(DA15=1,Assumption!$E$142,0)+IF(DA15=13,Assumption!$E$143-Assumption!$E$142,0)+IF(DA15=25,Assumption!$E$144-Assumption!$E$143,0))</f>
        <v>0</v>
      </c>
      <c r="DB80" s="158" t="n">
        <f aca="false">Assumption!$E$137*(IF(DB15=1,Assumption!$E$142,0)+IF(DB15=13,Assumption!$E$143-Assumption!$E$142,0)+IF(DB15=25,Assumption!$E$144-Assumption!$E$143,0))</f>
        <v>0</v>
      </c>
      <c r="DC80" s="158" t="n">
        <f aca="false">Assumption!$E$137*(IF(DC15=1,Assumption!$E$142,0)+IF(DC15=13,Assumption!$E$143-Assumption!$E$142,0)+IF(DC15=25,Assumption!$E$144-Assumption!$E$143,0))</f>
        <v>0</v>
      </c>
      <c r="DD80" s="158" t="n">
        <f aca="false">Assumption!$E$137*(IF(DD15=1,Assumption!$E$142,0)+IF(DD15=13,Assumption!$E$143-Assumption!$E$142,0)+IF(DD15=25,Assumption!$E$144-Assumption!$E$143,0))</f>
        <v>0</v>
      </c>
      <c r="DE80" s="158" t="n">
        <f aca="false">Assumption!$E$137*(IF(DE15=1,Assumption!$E$142,0)+IF(DE15=13,Assumption!$E$143-Assumption!$E$142,0)+IF(DE15=25,Assumption!$E$144-Assumption!$E$143,0))</f>
        <v>0</v>
      </c>
      <c r="DF80" s="158" t="n">
        <f aca="false">Assumption!$E$137*(IF(DF15=1,Assumption!$E$142,0)+IF(DF15=13,Assumption!$E$143-Assumption!$E$142,0)+IF(DF15=25,Assumption!$E$144-Assumption!$E$143,0))</f>
        <v>0</v>
      </c>
      <c r="DG80" s="158" t="n">
        <f aca="false">Assumption!$E$137*(IF(DG15=1,Assumption!$E$142,0)+IF(DG15=13,Assumption!$E$143-Assumption!$E$142,0)+IF(DG15=25,Assumption!$E$144-Assumption!$E$143,0))</f>
        <v>0</v>
      </c>
      <c r="DH80" s="158" t="n">
        <f aca="false">Assumption!$E$137*(IF(DH15=1,Assumption!$E$142,0)+IF(DH15=13,Assumption!$E$143-Assumption!$E$142,0)+IF(DH15=25,Assumption!$E$144-Assumption!$E$143,0))</f>
        <v>0</v>
      </c>
      <c r="DI80" s="158" t="n">
        <f aca="false">Assumption!$E$137*(IF(DI15=1,Assumption!$E$142,0)+IF(DI15=13,Assumption!$E$143-Assumption!$E$142,0)+IF(DI15=25,Assumption!$E$144-Assumption!$E$143,0))</f>
        <v>0</v>
      </c>
      <c r="DJ80" s="158" t="n">
        <f aca="false">Assumption!$E$137*(IF(DJ15=1,Assumption!$E$142,0)+IF(DJ15=13,Assumption!$E$143-Assumption!$E$142,0)+IF(DJ15=25,Assumption!$E$144-Assumption!$E$143,0))</f>
        <v>0</v>
      </c>
      <c r="DK80" s="158" t="n">
        <f aca="false">Assumption!$E$137*(IF(DK15=1,Assumption!$E$142,0)+IF(DK15=13,Assumption!$E$143-Assumption!$E$142,0)+IF(DK15=25,Assumption!$E$144-Assumption!$E$143,0))</f>
        <v>0</v>
      </c>
      <c r="DL80" s="158" t="n">
        <f aca="false">Assumption!$E$137*(IF(DL15=1,Assumption!$E$142,0)+IF(DL15=13,Assumption!$E$143-Assumption!$E$142,0)+IF(DL15=25,Assumption!$E$144-Assumption!$E$143,0))</f>
        <v>0</v>
      </c>
      <c r="DM80" s="158" t="n">
        <f aca="false">Assumption!$E$137*(IF(DM15=1,Assumption!$E$142,0)+IF(DM15=13,Assumption!$E$143-Assumption!$E$142,0)+IF(DM15=25,Assumption!$E$144-Assumption!$E$143,0))</f>
        <v>0</v>
      </c>
      <c r="DN80" s="158" t="n">
        <f aca="false">Assumption!$E$137*(IF(DN15=1,Assumption!$E$142,0)+IF(DN15=13,Assumption!$E$143-Assumption!$E$142,0)+IF(DN15=25,Assumption!$E$144-Assumption!$E$143,0))</f>
        <v>0</v>
      </c>
      <c r="DO80" s="158" t="n">
        <f aca="false">Assumption!$E$137*(IF(DO15=1,Assumption!$E$142,0)+IF(DO15=13,Assumption!$E$143-Assumption!$E$142,0)+IF(DO15=25,Assumption!$E$144-Assumption!$E$143,0))</f>
        <v>0</v>
      </c>
      <c r="DP80" s="158" t="n">
        <f aca="false">Assumption!$E$137*(IF(DP15=1,Assumption!$E$142,0)+IF(DP15=13,Assumption!$E$143-Assumption!$E$142,0)+IF(DP15=25,Assumption!$E$144-Assumption!$E$143,0))</f>
        <v>0</v>
      </c>
      <c r="DQ80" s="158" t="n">
        <f aca="false">Assumption!$E$137*(IF(DQ15=1,Assumption!$E$142,0)+IF(DQ15=13,Assumption!$E$143-Assumption!$E$142,0)+IF(DQ15=25,Assumption!$E$144-Assumption!$E$143,0))</f>
        <v>0</v>
      </c>
      <c r="DR80" s="158" t="n">
        <f aca="false">Assumption!$E$137*(IF(DR15=1,Assumption!$E$142,0)+IF(DR15=13,Assumption!$E$143-Assumption!$E$142,0)+IF(DR15=25,Assumption!$E$144-Assumption!$E$143,0))</f>
        <v>0</v>
      </c>
      <c r="DS80" s="158" t="n">
        <f aca="false">Assumption!$E$137*(IF(DS15=1,Assumption!$E$142,0)+IF(DS15=13,Assumption!$E$143-Assumption!$E$142,0)+IF(DS15=25,Assumption!$E$144-Assumption!$E$143,0))</f>
        <v>0</v>
      </c>
      <c r="DT80" s="158" t="n">
        <f aca="false">Assumption!$E$137*(IF(DT15=1,Assumption!$E$142,0)+IF(DT15=13,Assumption!$E$143-Assumption!$E$142,0)+IF(DT15=25,Assumption!$E$144-Assumption!$E$143,0))</f>
        <v>0</v>
      </c>
      <c r="DU80" s="158" t="n">
        <f aca="false">Assumption!$E$137*(IF(DU15=1,Assumption!$E$142,0)+IF(DU15=13,Assumption!$E$143-Assumption!$E$142,0)+IF(DU15=25,Assumption!$E$144-Assumption!$E$143,0))</f>
        <v>0</v>
      </c>
      <c r="DV80" s="158" t="n">
        <f aca="false">Assumption!$E$137*(IF(DV15=1,Assumption!$E$142,0)+IF(DV15=13,Assumption!$E$143-Assumption!$E$142,0)+IF(DV15=25,Assumption!$E$144-Assumption!$E$143,0))</f>
        <v>0</v>
      </c>
      <c r="DW80" s="158" t="n">
        <f aca="false">Assumption!$E$137*(IF(DW15=1,Assumption!$E$142,0)+IF(DW15=13,Assumption!$E$143-Assumption!$E$142,0)+IF(DW15=25,Assumption!$E$144-Assumption!$E$143,0))</f>
        <v>0</v>
      </c>
      <c r="DX80" s="158" t="n">
        <f aca="false">Assumption!$E$137*(IF(DX15=1,Assumption!$E$142,0)+IF(DX15=13,Assumption!$E$143-Assumption!$E$142,0)+IF(DX15=25,Assumption!$E$144-Assumption!$E$143,0))</f>
        <v>0</v>
      </c>
      <c r="DY80" s="158" t="n">
        <f aca="false">Assumption!$E$137*(IF(DY15=1,Assumption!$E$142,0)+IF(DY15=13,Assumption!$E$143-Assumption!$E$142,0)+IF(DY15=25,Assumption!$E$144-Assumption!$E$143,0))</f>
        <v>0</v>
      </c>
      <c r="DZ80" s="158" t="n">
        <f aca="false">Assumption!$E$137*(IF(DZ15=1,Assumption!$E$142,0)+IF(DZ15=13,Assumption!$E$143-Assumption!$E$142,0)+IF(DZ15=25,Assumption!$E$144-Assumption!$E$143,0))</f>
        <v>0</v>
      </c>
      <c r="EA80" s="158" t="n">
        <f aca="false">Assumption!$E$137*(IF(EA15=1,Assumption!$E$142,0)+IF(EA15=13,Assumption!$E$143-Assumption!$E$142,0)+IF(EA15=25,Assumption!$E$144-Assumption!$E$143,0))</f>
        <v>0</v>
      </c>
      <c r="EB80" s="158" t="n">
        <f aca="false">Assumption!$E$137*(IF(EB15=1,Assumption!$E$142,0)+IF(EB15=13,Assumption!$E$143-Assumption!$E$142,0)+IF(EB15=25,Assumption!$E$144-Assumption!$E$143,0))</f>
        <v>0</v>
      </c>
      <c r="EC80" s="158" t="n">
        <f aca="false">Assumption!$E$137*(IF(EC15=1,Assumption!$E$142,0)+IF(EC15=13,Assumption!$E$143-Assumption!$E$142,0)+IF(EC15=25,Assumption!$E$144-Assumption!$E$143,0))</f>
        <v>0</v>
      </c>
      <c r="ED80" s="158" t="n">
        <f aca="false">Assumption!$E$137*(IF(ED15=1,Assumption!$E$142,0)+IF(ED15=13,Assumption!$E$143-Assumption!$E$142,0)+IF(ED15=25,Assumption!$E$144-Assumption!$E$143,0))</f>
        <v>0</v>
      </c>
      <c r="EE80" s="158" t="n">
        <f aca="false">Assumption!$E$137*(IF(EE15=1,Assumption!$E$142,0)+IF(EE15=13,Assumption!$E$143-Assumption!$E$142,0)+IF(EE15=25,Assumption!$E$144-Assumption!$E$143,0))</f>
        <v>0</v>
      </c>
      <c r="EF80" s="158" t="n">
        <f aca="false">Assumption!$E$137*(IF(EF15=1,Assumption!$E$142,0)+IF(EF15=13,Assumption!$E$143-Assumption!$E$142,0)+IF(EF15=25,Assumption!$E$144-Assumption!$E$143,0))</f>
        <v>0</v>
      </c>
    </row>
    <row r="81" customFormat="false" ht="15" hidden="false" customHeight="false" outlineLevel="0" collapsed="false">
      <c r="A81" s="35" t="s">
        <v>541</v>
      </c>
      <c r="B81" s="241" t="s">
        <v>116</v>
      </c>
      <c r="C81" s="242" t="n">
        <f aca="false">SUM(E81:EF81)</f>
        <v>1500</v>
      </c>
      <c r="E81" s="158" t="n">
        <f aca="false">IF(E15=1,Assumption!$E$100,0)</f>
        <v>0</v>
      </c>
      <c r="F81" s="158" t="n">
        <f aca="false">IF(F15=1,Assumption!$E$100,0)</f>
        <v>0</v>
      </c>
      <c r="G81" s="158" t="n">
        <f aca="false">IF(G15=1,Assumption!$E$100,0)</f>
        <v>0</v>
      </c>
      <c r="H81" s="158" t="n">
        <f aca="false">IF(H15=1,Assumption!$E$100,0)</f>
        <v>0</v>
      </c>
      <c r="I81" s="158" t="n">
        <f aca="false">IF(I15=1,Assumption!$E$100,0)</f>
        <v>0</v>
      </c>
      <c r="J81" s="158" t="n">
        <f aca="false">IF(J15=1,Assumption!$E$100,0)</f>
        <v>0</v>
      </c>
      <c r="K81" s="158" t="n">
        <f aca="false">IF(K15=1,Assumption!$E$100,0)</f>
        <v>0</v>
      </c>
      <c r="L81" s="158" t="n">
        <f aca="false">IF(L15=1,Assumption!$E$100,0)</f>
        <v>0</v>
      </c>
      <c r="M81" s="158" t="n">
        <f aca="false">IF(M15=1,Assumption!$E$100,0)</f>
        <v>0</v>
      </c>
      <c r="N81" s="158" t="n">
        <f aca="false">IF(N15=1,Assumption!$E$100,0)</f>
        <v>0</v>
      </c>
      <c r="O81" s="158" t="n">
        <f aca="false">IF(O15=1,Assumption!$E$100,0)</f>
        <v>0</v>
      </c>
      <c r="P81" s="158" t="n">
        <f aca="false">IF(P15=1,Assumption!$E$100,0)</f>
        <v>0</v>
      </c>
      <c r="Q81" s="158" t="n">
        <f aca="false">IF(Q15=1,Assumption!$E$100,0)</f>
        <v>0</v>
      </c>
      <c r="R81" s="158" t="n">
        <f aca="false">IF(R15=1,Assumption!$E$100,0)</f>
        <v>0</v>
      </c>
      <c r="S81" s="158" t="n">
        <f aca="false">IF(S15=1,Assumption!$E$100,0)</f>
        <v>0</v>
      </c>
      <c r="T81" s="158" t="n">
        <f aca="false">IF(T15=1,Assumption!$E$100,0)</f>
        <v>0</v>
      </c>
      <c r="U81" s="158" t="n">
        <f aca="false">IF(U15=1,Assumption!$E$100,0)</f>
        <v>0</v>
      </c>
      <c r="V81" s="158" t="n">
        <f aca="false">IF(V15=1,Assumption!$E$100,0)</f>
        <v>0</v>
      </c>
      <c r="W81" s="158" t="n">
        <f aca="false">IF(W15=1,Assumption!$E$100,0)</f>
        <v>0</v>
      </c>
      <c r="X81" s="158" t="n">
        <f aca="false">IF(X15=1,Assumption!$E$100,0)</f>
        <v>0</v>
      </c>
      <c r="Y81" s="158" t="n">
        <f aca="false">IF(Y15=1,Assumption!$E$100,0)</f>
        <v>0</v>
      </c>
      <c r="Z81" s="158" t="n">
        <f aca="false">IF(Z15=1,Assumption!$E$100,0)</f>
        <v>0</v>
      </c>
      <c r="AA81" s="158" t="n">
        <f aca="false">IF(AA15=1,Assumption!$E$100,0)</f>
        <v>0</v>
      </c>
      <c r="AB81" s="158" t="n">
        <f aca="false">IF(AB15=1,Assumption!$E$100,0)</f>
        <v>0</v>
      </c>
      <c r="AC81" s="158" t="n">
        <f aca="false">IF(AC15=1,Assumption!$E$100,0)</f>
        <v>0</v>
      </c>
      <c r="AD81" s="158" t="n">
        <f aca="false">IF(AD15=1,Assumption!$E$100,0)</f>
        <v>0</v>
      </c>
      <c r="AE81" s="158" t="n">
        <f aca="false">IF(AE15=1,Assumption!$E$100,0)</f>
        <v>0</v>
      </c>
      <c r="AF81" s="158" t="n">
        <f aca="false">IF(AF15=1,Assumption!$E$100,0)</f>
        <v>0</v>
      </c>
      <c r="AG81" s="158" t="n">
        <f aca="false">IF(AG15=1,Assumption!$E$100,0)</f>
        <v>0</v>
      </c>
      <c r="AH81" s="158" t="n">
        <f aca="false">IF(AH15=1,Assumption!$E$100,0)</f>
        <v>0</v>
      </c>
      <c r="AI81" s="158" t="n">
        <f aca="false">IF(AI15=1,Assumption!$E$100,0)</f>
        <v>0</v>
      </c>
      <c r="AJ81" s="158" t="n">
        <f aca="false">IF(AJ15=1,Assumption!$E$100,0)</f>
        <v>0</v>
      </c>
      <c r="AK81" s="158" t="n">
        <f aca="false">IF(AK15=1,Assumption!$E$100,0)</f>
        <v>0</v>
      </c>
      <c r="AL81" s="158" t="n">
        <f aca="false">IF(AL15=1,Assumption!$E$100,0)</f>
        <v>0</v>
      </c>
      <c r="AM81" s="158" t="n">
        <f aca="false">IF(AM15=1,Assumption!$E$100,0)</f>
        <v>0</v>
      </c>
      <c r="AN81" s="158" t="n">
        <f aca="false">IF(AN15=1,Assumption!$E$100,0)</f>
        <v>0</v>
      </c>
      <c r="AO81" s="158" t="n">
        <f aca="false">IF(AO15=1,Assumption!$E$100,0)</f>
        <v>0</v>
      </c>
      <c r="AP81" s="158" t="n">
        <f aca="false">IF(AP15=1,Assumption!$E$100,0)</f>
        <v>0</v>
      </c>
      <c r="AQ81" s="158" t="n">
        <f aca="false">IF(AQ15=1,Assumption!$E$100,0)</f>
        <v>0</v>
      </c>
      <c r="AR81" s="158" t="n">
        <f aca="false">IF(AR15=1,Assumption!$E$100,0)</f>
        <v>0</v>
      </c>
      <c r="AS81" s="158" t="n">
        <f aca="false">IF(AS15=1,Assumption!$E$100,0)</f>
        <v>0</v>
      </c>
      <c r="AT81" s="158" t="n">
        <f aca="false">IF(AT15=1,Assumption!$E$100,0)</f>
        <v>0</v>
      </c>
      <c r="AU81" s="158" t="n">
        <f aca="false">IF(AU15=1,Assumption!$E$100,0)</f>
        <v>0</v>
      </c>
      <c r="AV81" s="158" t="n">
        <f aca="false">IF(AV15=1,Assumption!$E$100,0)</f>
        <v>0</v>
      </c>
      <c r="AW81" s="158" t="n">
        <f aca="false">IF(AW15=1,Assumption!$E$100,0)</f>
        <v>0</v>
      </c>
      <c r="AX81" s="158" t="n">
        <f aca="false">IF(AX15=1,Assumption!$E$100,0)</f>
        <v>0</v>
      </c>
      <c r="AY81" s="158" t="n">
        <f aca="false">IF(AY15=1,Assumption!$E$100,0)</f>
        <v>0</v>
      </c>
      <c r="AZ81" s="158" t="n">
        <f aca="false">IF(AZ15=1,Assumption!$E$100,0)</f>
        <v>0</v>
      </c>
      <c r="BA81" s="158" t="n">
        <f aca="false">IF(BA15=1,Assumption!$E$100,0)</f>
        <v>0</v>
      </c>
      <c r="BB81" s="158" t="n">
        <f aca="false">IF(BB15=1,Assumption!$E$100,0)</f>
        <v>0</v>
      </c>
      <c r="BC81" s="158" t="n">
        <f aca="false">IF(BC15=1,Assumption!$E$100,0)</f>
        <v>0</v>
      </c>
      <c r="BD81" s="158" t="n">
        <f aca="false">IF(BD15=1,Assumption!$E$100,0)</f>
        <v>0</v>
      </c>
      <c r="BE81" s="158" t="n">
        <f aca="false">IF(BE15=1,Assumption!$E$100,0)</f>
        <v>0</v>
      </c>
      <c r="BF81" s="158" t="n">
        <f aca="false">IF(BF15=1,Assumption!$E$100,0)</f>
        <v>0</v>
      </c>
      <c r="BG81" s="158" t="n">
        <f aca="false">IF(BG15=1,Assumption!$E$100,0)</f>
        <v>0</v>
      </c>
      <c r="BH81" s="158" t="n">
        <f aca="false">IF(BH15=1,Assumption!$E$100,0)</f>
        <v>0</v>
      </c>
      <c r="BI81" s="158" t="n">
        <f aca="false">IF(BI15=1,Assumption!$E$100,0)</f>
        <v>0</v>
      </c>
      <c r="BJ81" s="158" t="n">
        <f aca="false">IF(BJ15=1,Assumption!$E$100,0)</f>
        <v>0</v>
      </c>
      <c r="BK81" s="158" t="n">
        <f aca="false">IF(BK15=1,Assumption!$E$100,0)</f>
        <v>0</v>
      </c>
      <c r="BL81" s="158" t="n">
        <f aca="false">IF(BL15=1,Assumption!$E$100,0)</f>
        <v>0</v>
      </c>
      <c r="BM81" s="158" t="n">
        <f aca="false">IF(BM15=1,Assumption!$E$100,0)</f>
        <v>1500</v>
      </c>
      <c r="BN81" s="158" t="n">
        <f aca="false">IF(BN15=1,Assumption!$E$100,0)</f>
        <v>0</v>
      </c>
      <c r="BO81" s="158" t="n">
        <f aca="false">IF(BO15=1,Assumption!$E$100,0)</f>
        <v>0</v>
      </c>
      <c r="BP81" s="158" t="n">
        <f aca="false">IF(BP15=1,Assumption!$E$100,0)</f>
        <v>0</v>
      </c>
      <c r="BQ81" s="158" t="n">
        <f aca="false">IF(BQ15=1,Assumption!$E$100,0)</f>
        <v>0</v>
      </c>
      <c r="BR81" s="158" t="n">
        <f aca="false">IF(BR15=1,Assumption!$E$100,0)</f>
        <v>0</v>
      </c>
      <c r="BS81" s="158" t="n">
        <f aca="false">IF(BS15=1,Assumption!$E$100,0)</f>
        <v>0</v>
      </c>
      <c r="BT81" s="158" t="n">
        <f aca="false">IF(BT15=1,Assumption!$E$100,0)</f>
        <v>0</v>
      </c>
      <c r="BU81" s="158" t="n">
        <f aca="false">IF(BU15=1,Assumption!$E$100,0)</f>
        <v>0</v>
      </c>
      <c r="BV81" s="158" t="n">
        <f aca="false">IF(BV15=1,Assumption!$E$100,0)</f>
        <v>0</v>
      </c>
      <c r="BW81" s="158" t="n">
        <f aca="false">IF(BW15=1,Assumption!$E$100,0)</f>
        <v>0</v>
      </c>
      <c r="BX81" s="158" t="n">
        <f aca="false">IF(BX15=1,Assumption!$E$100,0)</f>
        <v>0</v>
      </c>
      <c r="BY81" s="158" t="n">
        <f aca="false">IF(BY15=1,Assumption!$E$100,0)</f>
        <v>0</v>
      </c>
      <c r="BZ81" s="158" t="n">
        <f aca="false">IF(BZ15=1,Assumption!$E$100,0)</f>
        <v>0</v>
      </c>
      <c r="CA81" s="158" t="n">
        <f aca="false">IF(CA15=1,Assumption!$E$100,0)</f>
        <v>0</v>
      </c>
      <c r="CB81" s="158" t="n">
        <f aca="false">IF(CB15=1,Assumption!$E$100,0)</f>
        <v>0</v>
      </c>
      <c r="CC81" s="158" t="n">
        <f aca="false">IF(CC15=1,Assumption!$E$100,0)</f>
        <v>0</v>
      </c>
      <c r="CD81" s="158" t="n">
        <f aca="false">IF(CD15=1,Assumption!$E$100,0)</f>
        <v>0</v>
      </c>
      <c r="CE81" s="158" t="n">
        <f aca="false">IF(CE15=1,Assumption!$E$100,0)</f>
        <v>0</v>
      </c>
      <c r="CF81" s="158" t="n">
        <f aca="false">IF(CF15=1,Assumption!$E$100,0)</f>
        <v>0</v>
      </c>
      <c r="CG81" s="158" t="n">
        <f aca="false">IF(CG15=1,Assumption!$E$100,0)</f>
        <v>0</v>
      </c>
      <c r="CH81" s="158" t="n">
        <f aca="false">IF(CH15=1,Assumption!$E$100,0)</f>
        <v>0</v>
      </c>
      <c r="CI81" s="158" t="n">
        <f aca="false">IF(CI15=1,Assumption!$E$100,0)</f>
        <v>0</v>
      </c>
      <c r="CJ81" s="158" t="n">
        <f aca="false">IF(CJ15=1,Assumption!$E$100,0)</f>
        <v>0</v>
      </c>
      <c r="CK81" s="158" t="n">
        <f aca="false">IF(CK15=1,Assumption!$E$100,0)</f>
        <v>0</v>
      </c>
      <c r="CL81" s="158" t="n">
        <f aca="false">IF(CL15=1,Assumption!$E$100,0)</f>
        <v>0</v>
      </c>
      <c r="CM81" s="158" t="n">
        <f aca="false">IF(CM15=1,Assumption!$E$100,0)</f>
        <v>0</v>
      </c>
      <c r="CN81" s="158" t="n">
        <f aca="false">IF(CN15=1,Assumption!$E$100,0)</f>
        <v>0</v>
      </c>
      <c r="CO81" s="158" t="n">
        <f aca="false">IF(CO15=1,Assumption!$E$100,0)</f>
        <v>0</v>
      </c>
      <c r="CP81" s="158" t="n">
        <f aca="false">IF(CP15=1,Assumption!$E$100,0)</f>
        <v>0</v>
      </c>
      <c r="CQ81" s="158" t="n">
        <f aca="false">IF(CQ15=1,Assumption!$E$100,0)</f>
        <v>0</v>
      </c>
      <c r="CR81" s="158" t="n">
        <f aca="false">IF(CR15=1,Assumption!$E$100,0)</f>
        <v>0</v>
      </c>
      <c r="CS81" s="158" t="n">
        <f aca="false">IF(CS15=1,Assumption!$E$100,0)</f>
        <v>0</v>
      </c>
      <c r="CT81" s="158" t="n">
        <f aca="false">IF(CT15=1,Assumption!$E$100,0)</f>
        <v>0</v>
      </c>
      <c r="CU81" s="158" t="n">
        <f aca="false">IF(CU15=1,Assumption!$E$100,0)</f>
        <v>0</v>
      </c>
      <c r="CV81" s="158" t="n">
        <f aca="false">IF(CV15=1,Assumption!$E$100,0)</f>
        <v>0</v>
      </c>
      <c r="CW81" s="158" t="n">
        <f aca="false">IF(CW15=1,Assumption!$E$100,0)</f>
        <v>0</v>
      </c>
      <c r="CX81" s="158" t="n">
        <f aca="false">IF(CX15=1,Assumption!$E$100,0)</f>
        <v>0</v>
      </c>
      <c r="CY81" s="158" t="n">
        <f aca="false">IF(CY15=1,Assumption!$E$100,0)</f>
        <v>0</v>
      </c>
      <c r="CZ81" s="158" t="n">
        <f aca="false">IF(CZ15=1,Assumption!$E$100,0)</f>
        <v>0</v>
      </c>
      <c r="DA81" s="158" t="n">
        <f aca="false">IF(DA15=1,Assumption!$E$100,0)</f>
        <v>0</v>
      </c>
      <c r="DB81" s="158" t="n">
        <f aca="false">IF(DB15=1,Assumption!$E$100,0)</f>
        <v>0</v>
      </c>
      <c r="DC81" s="158" t="n">
        <f aca="false">IF(DC15=1,Assumption!$E$100,0)</f>
        <v>0</v>
      </c>
      <c r="DD81" s="158" t="n">
        <f aca="false">IF(DD15=1,Assumption!$E$100,0)</f>
        <v>0</v>
      </c>
      <c r="DE81" s="158" t="n">
        <f aca="false">IF(DE15=1,Assumption!$E$100,0)</f>
        <v>0</v>
      </c>
      <c r="DF81" s="158" t="n">
        <f aca="false">IF(DF15=1,Assumption!$E$100,0)</f>
        <v>0</v>
      </c>
      <c r="DG81" s="158" t="n">
        <f aca="false">IF(DG15=1,Assumption!$E$100,0)</f>
        <v>0</v>
      </c>
      <c r="DH81" s="158" t="n">
        <f aca="false">IF(DH15=1,Assumption!$E$100,0)</f>
        <v>0</v>
      </c>
      <c r="DI81" s="158" t="n">
        <f aca="false">IF(DI15=1,Assumption!$E$100,0)</f>
        <v>0</v>
      </c>
      <c r="DJ81" s="158" t="n">
        <f aca="false">IF(DJ15=1,Assumption!$E$100,0)</f>
        <v>0</v>
      </c>
      <c r="DK81" s="158" t="n">
        <f aca="false">IF(DK15=1,Assumption!$E$100,0)</f>
        <v>0</v>
      </c>
      <c r="DL81" s="158" t="n">
        <f aca="false">IF(DL15=1,Assumption!$E$100,0)</f>
        <v>0</v>
      </c>
      <c r="DM81" s="158" t="n">
        <f aca="false">IF(DM15=1,Assumption!$E$100,0)</f>
        <v>0</v>
      </c>
      <c r="DN81" s="158" t="n">
        <f aca="false">IF(DN15=1,Assumption!$E$100,0)</f>
        <v>0</v>
      </c>
      <c r="DO81" s="158" t="n">
        <f aca="false">IF(DO15=1,Assumption!$E$100,0)</f>
        <v>0</v>
      </c>
      <c r="DP81" s="158" t="n">
        <f aca="false">IF(DP15=1,Assumption!$E$100,0)</f>
        <v>0</v>
      </c>
      <c r="DQ81" s="158" t="n">
        <f aca="false">IF(DQ15=1,Assumption!$E$100,0)</f>
        <v>0</v>
      </c>
      <c r="DR81" s="158" t="n">
        <f aca="false">IF(DR15=1,Assumption!$E$100,0)</f>
        <v>0</v>
      </c>
      <c r="DS81" s="158" t="n">
        <f aca="false">IF(DS15=1,Assumption!$E$100,0)</f>
        <v>0</v>
      </c>
      <c r="DT81" s="158" t="n">
        <f aca="false">IF(DT15=1,Assumption!$E$100,0)</f>
        <v>0</v>
      </c>
      <c r="DU81" s="158" t="n">
        <f aca="false">IF(DU15=1,Assumption!$E$100,0)</f>
        <v>0</v>
      </c>
      <c r="DV81" s="158" t="n">
        <f aca="false">IF(DV15=1,Assumption!$E$100,0)</f>
        <v>0</v>
      </c>
      <c r="DW81" s="158" t="n">
        <f aca="false">IF(DW15=1,Assumption!$E$100,0)</f>
        <v>0</v>
      </c>
      <c r="DX81" s="158" t="n">
        <f aca="false">IF(DX15=1,Assumption!$E$100,0)</f>
        <v>0</v>
      </c>
      <c r="DY81" s="158" t="n">
        <f aca="false">IF(DY15=1,Assumption!$E$100,0)</f>
        <v>0</v>
      </c>
      <c r="DZ81" s="158" t="n">
        <f aca="false">IF(DZ15=1,Assumption!$E$100,0)</f>
        <v>0</v>
      </c>
      <c r="EA81" s="158" t="n">
        <f aca="false">IF(EA15=1,Assumption!$E$100,0)</f>
        <v>0</v>
      </c>
      <c r="EB81" s="158" t="n">
        <f aca="false">IF(EB15=1,Assumption!$E$100,0)</f>
        <v>0</v>
      </c>
      <c r="EC81" s="158" t="n">
        <f aca="false">IF(EC15=1,Assumption!$E$100,0)</f>
        <v>0</v>
      </c>
      <c r="ED81" s="158" t="n">
        <f aca="false">IF(ED15=1,Assumption!$E$100,0)</f>
        <v>0</v>
      </c>
      <c r="EE81" s="158" t="n">
        <f aca="false">IF(EE15=1,Assumption!$E$100,0)</f>
        <v>0</v>
      </c>
      <c r="EF81" s="158" t="n">
        <f aca="false">IF(EF15=1,Assumption!$E$100,0)</f>
        <v>0</v>
      </c>
    </row>
    <row r="82" customFormat="false" ht="15" hidden="false" customHeight="false" outlineLevel="0" collapsed="false">
      <c r="A82" s="35" t="s">
        <v>542</v>
      </c>
      <c r="B82" s="241" t="s">
        <v>116</v>
      </c>
      <c r="C82" s="242" t="n">
        <f aca="false">SUM(E82:EF82)</f>
        <v>14400</v>
      </c>
      <c r="E82" s="158" t="n">
        <f aca="false">IF(E15=1,Assumption!$E$168,0)</f>
        <v>0</v>
      </c>
      <c r="F82" s="158" t="n">
        <f aca="false">IF(F15=1,Assumption!$E$168,0)</f>
        <v>0</v>
      </c>
      <c r="G82" s="158" t="n">
        <f aca="false">IF(G15=1,Assumption!$E$168,0)</f>
        <v>0</v>
      </c>
      <c r="H82" s="158" t="n">
        <f aca="false">IF(H15=1,Assumption!$E$168,0)</f>
        <v>0</v>
      </c>
      <c r="I82" s="158" t="n">
        <f aca="false">IF(I15=1,Assumption!$E$168,0)</f>
        <v>0</v>
      </c>
      <c r="J82" s="158" t="n">
        <f aca="false">IF(J15=1,Assumption!$E$168,0)</f>
        <v>0</v>
      </c>
      <c r="K82" s="158" t="n">
        <f aca="false">IF(K15=1,Assumption!$E$168,0)</f>
        <v>0</v>
      </c>
      <c r="L82" s="158" t="n">
        <f aca="false">IF(L15=1,Assumption!$E$168,0)</f>
        <v>0</v>
      </c>
      <c r="M82" s="158" t="n">
        <f aca="false">IF(M15=1,Assumption!$E$168,0)</f>
        <v>0</v>
      </c>
      <c r="N82" s="158" t="n">
        <f aca="false">IF(N15=1,Assumption!$E$168,0)</f>
        <v>0</v>
      </c>
      <c r="O82" s="158" t="n">
        <f aca="false">IF(O15=1,Assumption!$E$168,0)</f>
        <v>0</v>
      </c>
      <c r="P82" s="158" t="n">
        <f aca="false">IF(P15=1,Assumption!$E$168,0)</f>
        <v>0</v>
      </c>
      <c r="Q82" s="158" t="n">
        <f aca="false">IF(Q15=1,Assumption!$E$168,0)</f>
        <v>0</v>
      </c>
      <c r="R82" s="158" t="n">
        <f aca="false">IF(R15=1,Assumption!$E$168,0)</f>
        <v>0</v>
      </c>
      <c r="S82" s="158" t="n">
        <f aca="false">IF(S15=1,Assumption!$E$168,0)</f>
        <v>0</v>
      </c>
      <c r="T82" s="158" t="n">
        <f aca="false">IF(T15=1,Assumption!$E$168,0)</f>
        <v>0</v>
      </c>
      <c r="U82" s="158" t="n">
        <f aca="false">IF(U15=1,Assumption!$E$168,0)</f>
        <v>0</v>
      </c>
      <c r="V82" s="158" t="n">
        <f aca="false">IF(V15=1,Assumption!$E$168,0)</f>
        <v>0</v>
      </c>
      <c r="W82" s="158" t="n">
        <f aca="false">IF(W15=1,Assumption!$E$168,0)</f>
        <v>0</v>
      </c>
      <c r="X82" s="158" t="n">
        <f aca="false">IF(X15=1,Assumption!$E$168,0)</f>
        <v>0</v>
      </c>
      <c r="Y82" s="158" t="n">
        <f aca="false">IF(Y15=1,Assumption!$E$168,0)</f>
        <v>0</v>
      </c>
      <c r="Z82" s="158" t="n">
        <f aca="false">IF(Z15=1,Assumption!$E$168,0)</f>
        <v>0</v>
      </c>
      <c r="AA82" s="158" t="n">
        <f aca="false">IF(AA15=1,Assumption!$E$168,0)</f>
        <v>0</v>
      </c>
      <c r="AB82" s="158" t="n">
        <f aca="false">IF(AB15=1,Assumption!$E$168,0)</f>
        <v>0</v>
      </c>
      <c r="AC82" s="158" t="n">
        <f aca="false">IF(AC15=1,Assumption!$E$168,0)</f>
        <v>0</v>
      </c>
      <c r="AD82" s="158" t="n">
        <f aca="false">IF(AD15=1,Assumption!$E$168,0)</f>
        <v>0</v>
      </c>
      <c r="AE82" s="158" t="n">
        <f aca="false">IF(AE15=1,Assumption!$E$168,0)</f>
        <v>0</v>
      </c>
      <c r="AF82" s="158" t="n">
        <f aca="false">IF(AF15=1,Assumption!$E$168,0)</f>
        <v>0</v>
      </c>
      <c r="AG82" s="158" t="n">
        <f aca="false">IF(AG15=1,Assumption!$E$168,0)</f>
        <v>0</v>
      </c>
      <c r="AH82" s="158" t="n">
        <f aca="false">IF(AH15=1,Assumption!$E$168,0)</f>
        <v>0</v>
      </c>
      <c r="AI82" s="158" t="n">
        <f aca="false">IF(AI15=1,Assumption!$E$168,0)</f>
        <v>0</v>
      </c>
      <c r="AJ82" s="158" t="n">
        <f aca="false">IF(AJ15=1,Assumption!$E$168,0)</f>
        <v>0</v>
      </c>
      <c r="AK82" s="158" t="n">
        <f aca="false">IF(AK15=1,Assumption!$E$168,0)</f>
        <v>0</v>
      </c>
      <c r="AL82" s="158" t="n">
        <f aca="false">IF(AL15=1,Assumption!$E$168,0)</f>
        <v>0</v>
      </c>
      <c r="AM82" s="158" t="n">
        <f aca="false">IF(AM15=1,Assumption!$E$168,0)</f>
        <v>0</v>
      </c>
      <c r="AN82" s="158" t="n">
        <f aca="false">IF(AN15=1,Assumption!$E$168,0)</f>
        <v>0</v>
      </c>
      <c r="AO82" s="158" t="n">
        <f aca="false">IF(AO15=1,Assumption!$E$168,0)</f>
        <v>0</v>
      </c>
      <c r="AP82" s="158" t="n">
        <f aca="false">IF(AP15=1,Assumption!$E$168,0)</f>
        <v>0</v>
      </c>
      <c r="AQ82" s="158" t="n">
        <f aca="false">IF(AQ15=1,Assumption!$E$168,0)</f>
        <v>0</v>
      </c>
      <c r="AR82" s="158" t="n">
        <f aca="false">IF(AR15=1,Assumption!$E$168,0)</f>
        <v>0</v>
      </c>
      <c r="AS82" s="158" t="n">
        <f aca="false">IF(AS15=1,Assumption!$E$168,0)</f>
        <v>0</v>
      </c>
      <c r="AT82" s="158" t="n">
        <f aca="false">IF(AT15=1,Assumption!$E$168,0)</f>
        <v>0</v>
      </c>
      <c r="AU82" s="158" t="n">
        <f aca="false">IF(AU15=1,Assumption!$E$168,0)</f>
        <v>0</v>
      </c>
      <c r="AV82" s="158" t="n">
        <f aca="false">IF(AV15=1,Assumption!$E$168,0)</f>
        <v>0</v>
      </c>
      <c r="AW82" s="158" t="n">
        <f aca="false">IF(AW15=1,Assumption!$E$168,0)</f>
        <v>0</v>
      </c>
      <c r="AX82" s="158" t="n">
        <f aca="false">IF(AX15=1,Assumption!$E$168,0)</f>
        <v>0</v>
      </c>
      <c r="AY82" s="158" t="n">
        <f aca="false">IF(AY15=1,Assumption!$E$168,0)</f>
        <v>0</v>
      </c>
      <c r="AZ82" s="158" t="n">
        <f aca="false">IF(AZ15=1,Assumption!$E$168,0)</f>
        <v>0</v>
      </c>
      <c r="BA82" s="158" t="n">
        <f aca="false">IF(BA15=1,Assumption!$E$168,0)</f>
        <v>0</v>
      </c>
      <c r="BB82" s="158" t="n">
        <f aca="false">IF(BB15=1,Assumption!$E$168,0)</f>
        <v>0</v>
      </c>
      <c r="BC82" s="158" t="n">
        <f aca="false">IF(BC15=1,Assumption!$E$168,0)</f>
        <v>0</v>
      </c>
      <c r="BD82" s="158" t="n">
        <f aca="false">IF(BD15=1,Assumption!$E$168,0)</f>
        <v>0</v>
      </c>
      <c r="BE82" s="158" t="n">
        <f aca="false">IF(BE15=1,Assumption!$E$168,0)</f>
        <v>0</v>
      </c>
      <c r="BF82" s="158" t="n">
        <f aca="false">IF(BF15=1,Assumption!$E$168,0)</f>
        <v>0</v>
      </c>
      <c r="BG82" s="158" t="n">
        <f aca="false">IF(BG15=1,Assumption!$E$168,0)</f>
        <v>0</v>
      </c>
      <c r="BH82" s="158" t="n">
        <f aca="false">IF(BH15=1,Assumption!$E$168,0)</f>
        <v>0</v>
      </c>
      <c r="BI82" s="158" t="n">
        <f aca="false">IF(BI15=1,Assumption!$E$168,0)</f>
        <v>0</v>
      </c>
      <c r="BJ82" s="158" t="n">
        <f aca="false">IF(BJ15=1,Assumption!$E$168,0)</f>
        <v>0</v>
      </c>
      <c r="BK82" s="158" t="n">
        <f aca="false">IF(BK15=1,Assumption!$E$168,0)</f>
        <v>0</v>
      </c>
      <c r="BL82" s="158" t="n">
        <f aca="false">IF(BL15=1,Assumption!$E$168,0)</f>
        <v>0</v>
      </c>
      <c r="BM82" s="158" t="n">
        <f aca="false">IF(BM15=1,Assumption!$E$168,0)</f>
        <v>14400</v>
      </c>
      <c r="BN82" s="158" t="n">
        <f aca="false">IF(BN15=1,Assumption!$E$168,0)</f>
        <v>0</v>
      </c>
      <c r="BO82" s="158" t="n">
        <f aca="false">IF(BO15=1,Assumption!$E$168,0)</f>
        <v>0</v>
      </c>
      <c r="BP82" s="158" t="n">
        <f aca="false">IF(BP15=1,Assumption!$E$168,0)</f>
        <v>0</v>
      </c>
      <c r="BQ82" s="158" t="n">
        <f aca="false">IF(BQ15=1,Assumption!$E$168,0)</f>
        <v>0</v>
      </c>
      <c r="BR82" s="158" t="n">
        <f aca="false">IF(BR15=1,Assumption!$E$168,0)</f>
        <v>0</v>
      </c>
      <c r="BS82" s="158" t="n">
        <f aca="false">IF(BS15=1,Assumption!$E$168,0)</f>
        <v>0</v>
      </c>
      <c r="BT82" s="158" t="n">
        <f aca="false">IF(BT15=1,Assumption!$E$168,0)</f>
        <v>0</v>
      </c>
      <c r="BU82" s="158" t="n">
        <f aca="false">IF(BU15=1,Assumption!$E$168,0)</f>
        <v>0</v>
      </c>
      <c r="BV82" s="158" t="n">
        <f aca="false">IF(BV15=1,Assumption!$E$168,0)</f>
        <v>0</v>
      </c>
      <c r="BW82" s="158" t="n">
        <f aca="false">IF(BW15=1,Assumption!$E$168,0)</f>
        <v>0</v>
      </c>
      <c r="BX82" s="158" t="n">
        <f aca="false">IF(BX15=1,Assumption!$E$168,0)</f>
        <v>0</v>
      </c>
      <c r="BY82" s="158" t="n">
        <f aca="false">IF(BY15=1,Assumption!$E$168,0)</f>
        <v>0</v>
      </c>
      <c r="BZ82" s="158" t="n">
        <f aca="false">IF(BZ15=1,Assumption!$E$168,0)</f>
        <v>0</v>
      </c>
      <c r="CA82" s="158" t="n">
        <f aca="false">IF(CA15=1,Assumption!$E$168,0)</f>
        <v>0</v>
      </c>
      <c r="CB82" s="158" t="n">
        <f aca="false">IF(CB15=1,Assumption!$E$168,0)</f>
        <v>0</v>
      </c>
      <c r="CC82" s="158" t="n">
        <f aca="false">IF(CC15=1,Assumption!$E$168,0)</f>
        <v>0</v>
      </c>
      <c r="CD82" s="158" t="n">
        <f aca="false">IF(CD15=1,Assumption!$E$168,0)</f>
        <v>0</v>
      </c>
      <c r="CE82" s="158" t="n">
        <f aca="false">IF(CE15=1,Assumption!$E$168,0)</f>
        <v>0</v>
      </c>
      <c r="CF82" s="158" t="n">
        <f aca="false">IF(CF15=1,Assumption!$E$168,0)</f>
        <v>0</v>
      </c>
      <c r="CG82" s="158" t="n">
        <f aca="false">IF(CG15=1,Assumption!$E$168,0)</f>
        <v>0</v>
      </c>
      <c r="CH82" s="158" t="n">
        <f aca="false">IF(CH15=1,Assumption!$E$168,0)</f>
        <v>0</v>
      </c>
      <c r="CI82" s="158" t="n">
        <f aca="false">IF(CI15=1,Assumption!$E$168,0)</f>
        <v>0</v>
      </c>
      <c r="CJ82" s="158" t="n">
        <f aca="false">IF(CJ15=1,Assumption!$E$168,0)</f>
        <v>0</v>
      </c>
      <c r="CK82" s="158" t="n">
        <f aca="false">IF(CK15=1,Assumption!$E$168,0)</f>
        <v>0</v>
      </c>
      <c r="CL82" s="158" t="n">
        <f aca="false">IF(CL15=1,Assumption!$E$168,0)</f>
        <v>0</v>
      </c>
      <c r="CM82" s="158" t="n">
        <f aca="false">IF(CM15=1,Assumption!$E$168,0)</f>
        <v>0</v>
      </c>
      <c r="CN82" s="158" t="n">
        <f aca="false">IF(CN15=1,Assumption!$E$168,0)</f>
        <v>0</v>
      </c>
      <c r="CO82" s="158" t="n">
        <f aca="false">IF(CO15=1,Assumption!$E$168,0)</f>
        <v>0</v>
      </c>
      <c r="CP82" s="158" t="n">
        <f aca="false">IF(CP15=1,Assumption!$E$168,0)</f>
        <v>0</v>
      </c>
      <c r="CQ82" s="158" t="n">
        <f aca="false">IF(CQ15=1,Assumption!$E$168,0)</f>
        <v>0</v>
      </c>
      <c r="CR82" s="158" t="n">
        <f aca="false">IF(CR15=1,Assumption!$E$168,0)</f>
        <v>0</v>
      </c>
      <c r="CS82" s="158" t="n">
        <f aca="false">IF(CS15=1,Assumption!$E$168,0)</f>
        <v>0</v>
      </c>
      <c r="CT82" s="158" t="n">
        <f aca="false">IF(CT15=1,Assumption!$E$168,0)</f>
        <v>0</v>
      </c>
      <c r="CU82" s="158" t="n">
        <f aca="false">IF(CU15=1,Assumption!$E$168,0)</f>
        <v>0</v>
      </c>
      <c r="CV82" s="158" t="n">
        <f aca="false">IF(CV15=1,Assumption!$E$168,0)</f>
        <v>0</v>
      </c>
      <c r="CW82" s="158" t="n">
        <f aca="false">IF(CW15=1,Assumption!$E$168,0)</f>
        <v>0</v>
      </c>
      <c r="CX82" s="158" t="n">
        <f aca="false">IF(CX15=1,Assumption!$E$168,0)</f>
        <v>0</v>
      </c>
      <c r="CY82" s="158" t="n">
        <f aca="false">IF(CY15=1,Assumption!$E$168,0)</f>
        <v>0</v>
      </c>
      <c r="CZ82" s="158" t="n">
        <f aca="false">IF(CZ15=1,Assumption!$E$168,0)</f>
        <v>0</v>
      </c>
      <c r="DA82" s="158" t="n">
        <f aca="false">IF(DA15=1,Assumption!$E$168,0)</f>
        <v>0</v>
      </c>
      <c r="DB82" s="158" t="n">
        <f aca="false">IF(DB15=1,Assumption!$E$168,0)</f>
        <v>0</v>
      </c>
      <c r="DC82" s="158" t="n">
        <f aca="false">IF(DC15=1,Assumption!$E$168,0)</f>
        <v>0</v>
      </c>
      <c r="DD82" s="158" t="n">
        <f aca="false">IF(DD15=1,Assumption!$E$168,0)</f>
        <v>0</v>
      </c>
      <c r="DE82" s="158" t="n">
        <f aca="false">IF(DE15=1,Assumption!$E$168,0)</f>
        <v>0</v>
      </c>
      <c r="DF82" s="158" t="n">
        <f aca="false">IF(DF15=1,Assumption!$E$168,0)</f>
        <v>0</v>
      </c>
      <c r="DG82" s="158" t="n">
        <f aca="false">IF(DG15=1,Assumption!$E$168,0)</f>
        <v>0</v>
      </c>
      <c r="DH82" s="158" t="n">
        <f aca="false">IF(DH15=1,Assumption!$E$168,0)</f>
        <v>0</v>
      </c>
      <c r="DI82" s="158" t="n">
        <f aca="false">IF(DI15=1,Assumption!$E$168,0)</f>
        <v>0</v>
      </c>
      <c r="DJ82" s="158" t="n">
        <f aca="false">IF(DJ15=1,Assumption!$E$168,0)</f>
        <v>0</v>
      </c>
      <c r="DK82" s="158" t="n">
        <f aca="false">IF(DK15=1,Assumption!$E$168,0)</f>
        <v>0</v>
      </c>
      <c r="DL82" s="158" t="n">
        <f aca="false">IF(DL15=1,Assumption!$E$168,0)</f>
        <v>0</v>
      </c>
      <c r="DM82" s="158" t="n">
        <f aca="false">IF(DM15=1,Assumption!$E$168,0)</f>
        <v>0</v>
      </c>
      <c r="DN82" s="158" t="n">
        <f aca="false">IF(DN15=1,Assumption!$E$168,0)</f>
        <v>0</v>
      </c>
      <c r="DO82" s="158" t="n">
        <f aca="false">IF(DO15=1,Assumption!$E$168,0)</f>
        <v>0</v>
      </c>
      <c r="DP82" s="158" t="n">
        <f aca="false">IF(DP15=1,Assumption!$E$168,0)</f>
        <v>0</v>
      </c>
      <c r="DQ82" s="158" t="n">
        <f aca="false">IF(DQ15=1,Assumption!$E$168,0)</f>
        <v>0</v>
      </c>
      <c r="DR82" s="158" t="n">
        <f aca="false">IF(DR15=1,Assumption!$E$168,0)</f>
        <v>0</v>
      </c>
      <c r="DS82" s="158" t="n">
        <f aca="false">IF(DS15=1,Assumption!$E$168,0)</f>
        <v>0</v>
      </c>
      <c r="DT82" s="158" t="n">
        <f aca="false">IF(DT15=1,Assumption!$E$168,0)</f>
        <v>0</v>
      </c>
      <c r="DU82" s="158" t="n">
        <f aca="false">IF(DU15=1,Assumption!$E$168,0)</f>
        <v>0</v>
      </c>
      <c r="DV82" s="158" t="n">
        <f aca="false">IF(DV15=1,Assumption!$E$168,0)</f>
        <v>0</v>
      </c>
      <c r="DW82" s="158" t="n">
        <f aca="false">IF(DW15=1,Assumption!$E$168,0)</f>
        <v>0</v>
      </c>
      <c r="DX82" s="158" t="n">
        <f aca="false">IF(DX15=1,Assumption!$E$168,0)</f>
        <v>0</v>
      </c>
      <c r="DY82" s="158" t="n">
        <f aca="false">IF(DY15=1,Assumption!$E$168,0)</f>
        <v>0</v>
      </c>
      <c r="DZ82" s="158" t="n">
        <f aca="false">IF(DZ15=1,Assumption!$E$168,0)</f>
        <v>0</v>
      </c>
      <c r="EA82" s="158" t="n">
        <f aca="false">IF(EA15=1,Assumption!$E$168,0)</f>
        <v>0</v>
      </c>
      <c r="EB82" s="158" t="n">
        <f aca="false">IF(EB15=1,Assumption!$E$168,0)</f>
        <v>0</v>
      </c>
      <c r="EC82" s="158" t="n">
        <f aca="false">IF(EC15=1,Assumption!$E$168,0)</f>
        <v>0</v>
      </c>
      <c r="ED82" s="158" t="n">
        <f aca="false">IF(ED15=1,Assumption!$E$168,0)</f>
        <v>0</v>
      </c>
      <c r="EE82" s="158" t="n">
        <f aca="false">IF(EE15=1,Assumption!$E$168,0)</f>
        <v>0</v>
      </c>
      <c r="EF82" s="158" t="n">
        <f aca="false">IF(EF15=1,Assumption!$E$168,0)</f>
        <v>0</v>
      </c>
    </row>
    <row r="83" customFormat="false" ht="15" hidden="false" customHeight="false" outlineLevel="0" collapsed="false">
      <c r="A83" s="35" t="s">
        <v>543</v>
      </c>
      <c r="B83" s="241" t="s">
        <v>116</v>
      </c>
      <c r="C83" s="242" t="n">
        <f aca="false">SUM(E83:EF83)</f>
        <v>9300</v>
      </c>
      <c r="E83" s="158" t="n">
        <f aca="false">IF(E15=1,Assumption!$E$186+Assumption!$E$199+Assumption!$E$212+Assumption!$E$225+Assumption!$E$238,0)</f>
        <v>0</v>
      </c>
      <c r="F83" s="158" t="n">
        <f aca="false">IF(F15=1,Assumption!$E$186+Assumption!$E$199+Assumption!$E$212+Assumption!$E$225+Assumption!$E$238,0)</f>
        <v>0</v>
      </c>
      <c r="G83" s="158" t="n">
        <f aca="false">IF(G15=1,Assumption!$E$186+Assumption!$E$199+Assumption!$E$212+Assumption!$E$225+Assumption!$E$238,0)</f>
        <v>0</v>
      </c>
      <c r="H83" s="158" t="n">
        <f aca="false">IF(H15=1,Assumption!$E$186+Assumption!$E$199+Assumption!$E$212+Assumption!$E$225+Assumption!$E$238,0)</f>
        <v>0</v>
      </c>
      <c r="I83" s="158" t="n">
        <f aca="false">IF(I15=1,Assumption!$E$186+Assumption!$E$199+Assumption!$E$212+Assumption!$E$225+Assumption!$E$238,0)</f>
        <v>0</v>
      </c>
      <c r="J83" s="158" t="n">
        <f aca="false">IF(J15=1,Assumption!$E$186+Assumption!$E$199+Assumption!$E$212+Assumption!$E$225+Assumption!$E$238,0)</f>
        <v>0</v>
      </c>
      <c r="K83" s="158" t="n">
        <f aca="false">IF(K15=1,Assumption!$E$186+Assumption!$E$199+Assumption!$E$212+Assumption!$E$225+Assumption!$E$238,0)</f>
        <v>0</v>
      </c>
      <c r="L83" s="158" t="n">
        <f aca="false">IF(L15=1,Assumption!$E$186+Assumption!$E$199+Assumption!$E$212+Assumption!$E$225+Assumption!$E$238,0)</f>
        <v>0</v>
      </c>
      <c r="M83" s="158" t="n">
        <f aca="false">IF(M15=1,Assumption!$E$186+Assumption!$E$199+Assumption!$E$212+Assumption!$E$225+Assumption!$E$238,0)</f>
        <v>0</v>
      </c>
      <c r="N83" s="158" t="n">
        <f aca="false">IF(N15=1,Assumption!$E$186+Assumption!$E$199+Assumption!$E$212+Assumption!$E$225+Assumption!$E$238,0)</f>
        <v>0</v>
      </c>
      <c r="O83" s="158" t="n">
        <f aca="false">IF(O15=1,Assumption!$E$186+Assumption!$E$199+Assumption!$E$212+Assumption!$E$225+Assumption!$E$238,0)</f>
        <v>0</v>
      </c>
      <c r="P83" s="158" t="n">
        <f aca="false">IF(P15=1,Assumption!$E$186+Assumption!$E$199+Assumption!$E$212+Assumption!$E$225+Assumption!$E$238,0)</f>
        <v>0</v>
      </c>
      <c r="Q83" s="158" t="n">
        <f aca="false">IF(Q15=1,Assumption!$E$186+Assumption!$E$199+Assumption!$E$212+Assumption!$E$225+Assumption!$E$238,0)</f>
        <v>0</v>
      </c>
      <c r="R83" s="158" t="n">
        <f aca="false">IF(R15=1,Assumption!$E$186+Assumption!$E$199+Assumption!$E$212+Assumption!$E$225+Assumption!$E$238,0)</f>
        <v>0</v>
      </c>
      <c r="S83" s="158" t="n">
        <f aca="false">IF(S15=1,Assumption!$E$186+Assumption!$E$199+Assumption!$E$212+Assumption!$E$225+Assumption!$E$238,0)</f>
        <v>0</v>
      </c>
      <c r="T83" s="158" t="n">
        <f aca="false">IF(T15=1,Assumption!$E$186+Assumption!$E$199+Assumption!$E$212+Assumption!$E$225+Assumption!$E$238,0)</f>
        <v>0</v>
      </c>
      <c r="U83" s="158" t="n">
        <f aca="false">IF(U15=1,Assumption!$E$186+Assumption!$E$199+Assumption!$E$212+Assumption!$E$225+Assumption!$E$238,0)</f>
        <v>0</v>
      </c>
      <c r="V83" s="158" t="n">
        <f aca="false">IF(V15=1,Assumption!$E$186+Assumption!$E$199+Assumption!$E$212+Assumption!$E$225+Assumption!$E$238,0)</f>
        <v>0</v>
      </c>
      <c r="W83" s="158" t="n">
        <f aca="false">IF(W15=1,Assumption!$E$186+Assumption!$E$199+Assumption!$E$212+Assumption!$E$225+Assumption!$E$238,0)</f>
        <v>0</v>
      </c>
      <c r="X83" s="158" t="n">
        <f aca="false">IF(X15=1,Assumption!$E$186+Assumption!$E$199+Assumption!$E$212+Assumption!$E$225+Assumption!$E$238,0)</f>
        <v>0</v>
      </c>
      <c r="Y83" s="158" t="n">
        <f aca="false">IF(Y15=1,Assumption!$E$186+Assumption!$E$199+Assumption!$E$212+Assumption!$E$225+Assumption!$E$238,0)</f>
        <v>0</v>
      </c>
      <c r="Z83" s="158" t="n">
        <f aca="false">IF(Z15=1,Assumption!$E$186+Assumption!$E$199+Assumption!$E$212+Assumption!$E$225+Assumption!$E$238,0)</f>
        <v>0</v>
      </c>
      <c r="AA83" s="158" t="n">
        <f aca="false">IF(AA15=1,Assumption!$E$186+Assumption!$E$199+Assumption!$E$212+Assumption!$E$225+Assumption!$E$238,0)</f>
        <v>0</v>
      </c>
      <c r="AB83" s="158" t="n">
        <f aca="false">IF(AB15=1,Assumption!$E$186+Assumption!$E$199+Assumption!$E$212+Assumption!$E$225+Assumption!$E$238,0)</f>
        <v>0</v>
      </c>
      <c r="AC83" s="158" t="n">
        <f aca="false">IF(AC15=1,Assumption!$E$186+Assumption!$E$199+Assumption!$E$212+Assumption!$E$225+Assumption!$E$238,0)</f>
        <v>0</v>
      </c>
      <c r="AD83" s="158" t="n">
        <f aca="false">IF(AD15=1,Assumption!$E$186+Assumption!$E$199+Assumption!$E$212+Assumption!$E$225+Assumption!$E$238,0)</f>
        <v>0</v>
      </c>
      <c r="AE83" s="158" t="n">
        <f aca="false">IF(AE15=1,Assumption!$E$186+Assumption!$E$199+Assumption!$E$212+Assumption!$E$225+Assumption!$E$238,0)</f>
        <v>0</v>
      </c>
      <c r="AF83" s="158" t="n">
        <f aca="false">IF(AF15=1,Assumption!$E$186+Assumption!$E$199+Assumption!$E$212+Assumption!$E$225+Assumption!$E$238,0)</f>
        <v>0</v>
      </c>
      <c r="AG83" s="158" t="n">
        <f aca="false">IF(AG15=1,Assumption!$E$186+Assumption!$E$199+Assumption!$E$212+Assumption!$E$225+Assumption!$E$238,0)</f>
        <v>0</v>
      </c>
      <c r="AH83" s="158" t="n">
        <f aca="false">IF(AH15=1,Assumption!$E$186+Assumption!$E$199+Assumption!$E$212+Assumption!$E$225+Assumption!$E$238,0)</f>
        <v>0</v>
      </c>
      <c r="AI83" s="158" t="n">
        <f aca="false">IF(AI15=1,Assumption!$E$186+Assumption!$E$199+Assumption!$E$212+Assumption!$E$225+Assumption!$E$238,0)</f>
        <v>0</v>
      </c>
      <c r="AJ83" s="158" t="n">
        <f aca="false">IF(AJ15=1,Assumption!$E$186+Assumption!$E$199+Assumption!$E$212+Assumption!$E$225+Assumption!$E$238,0)</f>
        <v>0</v>
      </c>
      <c r="AK83" s="158" t="n">
        <f aca="false">IF(AK15=1,Assumption!$E$186+Assumption!$E$199+Assumption!$E$212+Assumption!$E$225+Assumption!$E$238,0)</f>
        <v>0</v>
      </c>
      <c r="AL83" s="158" t="n">
        <f aca="false">IF(AL15=1,Assumption!$E$186+Assumption!$E$199+Assumption!$E$212+Assumption!$E$225+Assumption!$E$238,0)</f>
        <v>0</v>
      </c>
      <c r="AM83" s="158" t="n">
        <f aca="false">IF(AM15=1,Assumption!$E$186+Assumption!$E$199+Assumption!$E$212+Assumption!$E$225+Assumption!$E$238,0)</f>
        <v>0</v>
      </c>
      <c r="AN83" s="158" t="n">
        <f aca="false">IF(AN15=1,Assumption!$E$186+Assumption!$E$199+Assumption!$E$212+Assumption!$E$225+Assumption!$E$238,0)</f>
        <v>0</v>
      </c>
      <c r="AO83" s="158" t="n">
        <f aca="false">IF(AO15=1,Assumption!$E$186+Assumption!$E$199+Assumption!$E$212+Assumption!$E$225+Assumption!$E$238,0)</f>
        <v>0</v>
      </c>
      <c r="AP83" s="158" t="n">
        <f aca="false">IF(AP15=1,Assumption!$E$186+Assumption!$E$199+Assumption!$E$212+Assumption!$E$225+Assumption!$E$238,0)</f>
        <v>0</v>
      </c>
      <c r="AQ83" s="158" t="n">
        <f aca="false">IF(AQ15=1,Assumption!$E$186+Assumption!$E$199+Assumption!$E$212+Assumption!$E$225+Assumption!$E$238,0)</f>
        <v>0</v>
      </c>
      <c r="AR83" s="158" t="n">
        <f aca="false">IF(AR15=1,Assumption!$E$186+Assumption!$E$199+Assumption!$E$212+Assumption!$E$225+Assumption!$E$238,0)</f>
        <v>0</v>
      </c>
      <c r="AS83" s="158" t="n">
        <f aca="false">IF(AS15=1,Assumption!$E$186+Assumption!$E$199+Assumption!$E$212+Assumption!$E$225+Assumption!$E$238,0)</f>
        <v>0</v>
      </c>
      <c r="AT83" s="158" t="n">
        <f aca="false">IF(AT15=1,Assumption!$E$186+Assumption!$E$199+Assumption!$E$212+Assumption!$E$225+Assumption!$E$238,0)</f>
        <v>0</v>
      </c>
      <c r="AU83" s="158" t="n">
        <f aca="false">IF(AU15=1,Assumption!$E$186+Assumption!$E$199+Assumption!$E$212+Assumption!$E$225+Assumption!$E$238,0)</f>
        <v>0</v>
      </c>
      <c r="AV83" s="158" t="n">
        <f aca="false">IF(AV15=1,Assumption!$E$186+Assumption!$E$199+Assumption!$E$212+Assumption!$E$225+Assumption!$E$238,0)</f>
        <v>0</v>
      </c>
      <c r="AW83" s="158" t="n">
        <f aca="false">IF(AW15=1,Assumption!$E$186+Assumption!$E$199+Assumption!$E$212+Assumption!$E$225+Assumption!$E$238,0)</f>
        <v>0</v>
      </c>
      <c r="AX83" s="158" t="n">
        <f aca="false">IF(AX15=1,Assumption!$E$186+Assumption!$E$199+Assumption!$E$212+Assumption!$E$225+Assumption!$E$238,0)</f>
        <v>0</v>
      </c>
      <c r="AY83" s="158" t="n">
        <f aca="false">IF(AY15=1,Assumption!$E$186+Assumption!$E$199+Assumption!$E$212+Assumption!$E$225+Assumption!$E$238,0)</f>
        <v>0</v>
      </c>
      <c r="AZ83" s="158" t="n">
        <f aca="false">IF(AZ15=1,Assumption!$E$186+Assumption!$E$199+Assumption!$E$212+Assumption!$E$225+Assumption!$E$238,0)</f>
        <v>0</v>
      </c>
      <c r="BA83" s="158" t="n">
        <f aca="false">IF(BA15=1,Assumption!$E$186+Assumption!$E$199+Assumption!$E$212+Assumption!$E$225+Assumption!$E$238,0)</f>
        <v>0</v>
      </c>
      <c r="BB83" s="158" t="n">
        <f aca="false">IF(BB15=1,Assumption!$E$186+Assumption!$E$199+Assumption!$E$212+Assumption!$E$225+Assumption!$E$238,0)</f>
        <v>0</v>
      </c>
      <c r="BC83" s="158" t="n">
        <f aca="false">IF(BC15=1,Assumption!$E$186+Assumption!$E$199+Assumption!$E$212+Assumption!$E$225+Assumption!$E$238,0)</f>
        <v>0</v>
      </c>
      <c r="BD83" s="158" t="n">
        <f aca="false">IF(BD15=1,Assumption!$E$186+Assumption!$E$199+Assumption!$E$212+Assumption!$E$225+Assumption!$E$238,0)</f>
        <v>0</v>
      </c>
      <c r="BE83" s="158" t="n">
        <f aca="false">IF(BE15=1,Assumption!$E$186+Assumption!$E$199+Assumption!$E$212+Assumption!$E$225+Assumption!$E$238,0)</f>
        <v>0</v>
      </c>
      <c r="BF83" s="158" t="n">
        <f aca="false">IF(BF15=1,Assumption!$E$186+Assumption!$E$199+Assumption!$E$212+Assumption!$E$225+Assumption!$E$238,0)</f>
        <v>0</v>
      </c>
      <c r="BG83" s="158" t="n">
        <f aca="false">IF(BG15=1,Assumption!$E$186+Assumption!$E$199+Assumption!$E$212+Assumption!$E$225+Assumption!$E$238,0)</f>
        <v>0</v>
      </c>
      <c r="BH83" s="158" t="n">
        <f aca="false">IF(BH15=1,Assumption!$E$186+Assumption!$E$199+Assumption!$E$212+Assumption!$E$225+Assumption!$E$238,0)</f>
        <v>0</v>
      </c>
      <c r="BI83" s="158" t="n">
        <f aca="false">IF(BI15=1,Assumption!$E$186+Assumption!$E$199+Assumption!$E$212+Assumption!$E$225+Assumption!$E$238,0)</f>
        <v>0</v>
      </c>
      <c r="BJ83" s="158" t="n">
        <f aca="false">IF(BJ15=1,Assumption!$E$186+Assumption!$E$199+Assumption!$E$212+Assumption!$E$225+Assumption!$E$238,0)</f>
        <v>0</v>
      </c>
      <c r="BK83" s="158" t="n">
        <f aca="false">IF(BK15=1,Assumption!$E$186+Assumption!$E$199+Assumption!$E$212+Assumption!$E$225+Assumption!$E$238,0)</f>
        <v>0</v>
      </c>
      <c r="BL83" s="158" t="n">
        <f aca="false">IF(BL15=1,Assumption!$E$186+Assumption!$E$199+Assumption!$E$212+Assumption!$E$225+Assumption!$E$238,0)</f>
        <v>0</v>
      </c>
      <c r="BM83" s="158" t="n">
        <f aca="false">IF(BM15=1,Assumption!$E$186+Assumption!$E$199+Assumption!$E$212+Assumption!$E$225+Assumption!$E$238,0)</f>
        <v>9300</v>
      </c>
      <c r="BN83" s="158" t="n">
        <f aca="false">IF(BN15=1,Assumption!$E$186+Assumption!$E$199+Assumption!$E$212+Assumption!$E$225+Assumption!$E$238,0)</f>
        <v>0</v>
      </c>
      <c r="BO83" s="158" t="n">
        <f aca="false">IF(BO15=1,Assumption!$E$186+Assumption!$E$199+Assumption!$E$212+Assumption!$E$225+Assumption!$E$238,0)</f>
        <v>0</v>
      </c>
      <c r="BP83" s="158" t="n">
        <f aca="false">IF(BP15=1,Assumption!$E$186+Assumption!$E$199+Assumption!$E$212+Assumption!$E$225+Assumption!$E$238,0)</f>
        <v>0</v>
      </c>
      <c r="BQ83" s="158" t="n">
        <f aca="false">IF(BQ15=1,Assumption!$E$186+Assumption!$E$199+Assumption!$E$212+Assumption!$E$225+Assumption!$E$238,0)</f>
        <v>0</v>
      </c>
      <c r="BR83" s="158" t="n">
        <f aca="false">IF(BR15=1,Assumption!$E$186+Assumption!$E$199+Assumption!$E$212+Assumption!$E$225+Assumption!$E$238,0)</f>
        <v>0</v>
      </c>
      <c r="BS83" s="158" t="n">
        <f aca="false">IF(BS15=1,Assumption!$E$186+Assumption!$E$199+Assumption!$E$212+Assumption!$E$225+Assumption!$E$238,0)</f>
        <v>0</v>
      </c>
      <c r="BT83" s="158" t="n">
        <f aca="false">IF(BT15=1,Assumption!$E$186+Assumption!$E$199+Assumption!$E$212+Assumption!$E$225+Assumption!$E$238,0)</f>
        <v>0</v>
      </c>
      <c r="BU83" s="158" t="n">
        <f aca="false">IF(BU15=1,Assumption!$E$186+Assumption!$E$199+Assumption!$E$212+Assumption!$E$225+Assumption!$E$238,0)</f>
        <v>0</v>
      </c>
      <c r="BV83" s="158" t="n">
        <f aca="false">IF(BV15=1,Assumption!$E$186+Assumption!$E$199+Assumption!$E$212+Assumption!$E$225+Assumption!$E$238,0)</f>
        <v>0</v>
      </c>
      <c r="BW83" s="158" t="n">
        <f aca="false">IF(BW15=1,Assumption!$E$186+Assumption!$E$199+Assumption!$E$212+Assumption!$E$225+Assumption!$E$238,0)</f>
        <v>0</v>
      </c>
      <c r="BX83" s="158" t="n">
        <f aca="false">IF(BX15=1,Assumption!$E$186+Assumption!$E$199+Assumption!$E$212+Assumption!$E$225+Assumption!$E$238,0)</f>
        <v>0</v>
      </c>
      <c r="BY83" s="158" t="n">
        <f aca="false">IF(BY15=1,Assumption!$E$186+Assumption!$E$199+Assumption!$E$212+Assumption!$E$225+Assumption!$E$238,0)</f>
        <v>0</v>
      </c>
      <c r="BZ83" s="158" t="n">
        <f aca="false">IF(BZ15=1,Assumption!$E$186+Assumption!$E$199+Assumption!$E$212+Assumption!$E$225+Assumption!$E$238,0)</f>
        <v>0</v>
      </c>
      <c r="CA83" s="158" t="n">
        <f aca="false">IF(CA15=1,Assumption!$E$186+Assumption!$E$199+Assumption!$E$212+Assumption!$E$225+Assumption!$E$238,0)</f>
        <v>0</v>
      </c>
      <c r="CB83" s="158" t="n">
        <f aca="false">IF(CB15=1,Assumption!$E$186+Assumption!$E$199+Assumption!$E$212+Assumption!$E$225+Assumption!$E$238,0)</f>
        <v>0</v>
      </c>
      <c r="CC83" s="158" t="n">
        <f aca="false">IF(CC15=1,Assumption!$E$186+Assumption!$E$199+Assumption!$E$212+Assumption!$E$225+Assumption!$E$238,0)</f>
        <v>0</v>
      </c>
      <c r="CD83" s="158" t="n">
        <f aca="false">IF(CD15=1,Assumption!$E$186+Assumption!$E$199+Assumption!$E$212+Assumption!$E$225+Assumption!$E$238,0)</f>
        <v>0</v>
      </c>
      <c r="CE83" s="158" t="n">
        <f aca="false">IF(CE15=1,Assumption!$E$186+Assumption!$E$199+Assumption!$E$212+Assumption!$E$225+Assumption!$E$238,0)</f>
        <v>0</v>
      </c>
      <c r="CF83" s="158" t="n">
        <f aca="false">IF(CF15=1,Assumption!$E$186+Assumption!$E$199+Assumption!$E$212+Assumption!$E$225+Assumption!$E$238,0)</f>
        <v>0</v>
      </c>
      <c r="CG83" s="158" t="n">
        <f aca="false">IF(CG15=1,Assumption!$E$186+Assumption!$E$199+Assumption!$E$212+Assumption!$E$225+Assumption!$E$238,0)</f>
        <v>0</v>
      </c>
      <c r="CH83" s="158" t="n">
        <f aca="false">IF(CH15=1,Assumption!$E$186+Assumption!$E$199+Assumption!$E$212+Assumption!$E$225+Assumption!$E$238,0)</f>
        <v>0</v>
      </c>
      <c r="CI83" s="158" t="n">
        <f aca="false">IF(CI15=1,Assumption!$E$186+Assumption!$E$199+Assumption!$E$212+Assumption!$E$225+Assumption!$E$238,0)</f>
        <v>0</v>
      </c>
      <c r="CJ83" s="158" t="n">
        <f aca="false">IF(CJ15=1,Assumption!$E$186+Assumption!$E$199+Assumption!$E$212+Assumption!$E$225+Assumption!$E$238,0)</f>
        <v>0</v>
      </c>
      <c r="CK83" s="158" t="n">
        <f aca="false">IF(CK15=1,Assumption!$E$186+Assumption!$E$199+Assumption!$E$212+Assumption!$E$225+Assumption!$E$238,0)</f>
        <v>0</v>
      </c>
      <c r="CL83" s="158" t="n">
        <f aca="false">IF(CL15=1,Assumption!$E$186+Assumption!$E$199+Assumption!$E$212+Assumption!$E$225+Assumption!$E$238,0)</f>
        <v>0</v>
      </c>
      <c r="CM83" s="158" t="n">
        <f aca="false">IF(CM15=1,Assumption!$E$186+Assumption!$E$199+Assumption!$E$212+Assumption!$E$225+Assumption!$E$238,0)</f>
        <v>0</v>
      </c>
      <c r="CN83" s="158" t="n">
        <f aca="false">IF(CN15=1,Assumption!$E$186+Assumption!$E$199+Assumption!$E$212+Assumption!$E$225+Assumption!$E$238,0)</f>
        <v>0</v>
      </c>
      <c r="CO83" s="158" t="n">
        <f aca="false">IF(CO15=1,Assumption!$E$186+Assumption!$E$199+Assumption!$E$212+Assumption!$E$225+Assumption!$E$238,0)</f>
        <v>0</v>
      </c>
      <c r="CP83" s="158" t="n">
        <f aca="false">IF(CP15=1,Assumption!$E$186+Assumption!$E$199+Assumption!$E$212+Assumption!$E$225+Assumption!$E$238,0)</f>
        <v>0</v>
      </c>
      <c r="CQ83" s="158" t="n">
        <f aca="false">IF(CQ15=1,Assumption!$E$186+Assumption!$E$199+Assumption!$E$212+Assumption!$E$225+Assumption!$E$238,0)</f>
        <v>0</v>
      </c>
      <c r="CR83" s="158" t="n">
        <f aca="false">IF(CR15=1,Assumption!$E$186+Assumption!$E$199+Assumption!$E$212+Assumption!$E$225+Assumption!$E$238,0)</f>
        <v>0</v>
      </c>
      <c r="CS83" s="158" t="n">
        <f aca="false">IF(CS15=1,Assumption!$E$186+Assumption!$E$199+Assumption!$E$212+Assumption!$E$225+Assumption!$E$238,0)</f>
        <v>0</v>
      </c>
      <c r="CT83" s="158" t="n">
        <f aca="false">IF(CT15=1,Assumption!$E$186+Assumption!$E$199+Assumption!$E$212+Assumption!$E$225+Assumption!$E$238,0)</f>
        <v>0</v>
      </c>
      <c r="CU83" s="158" t="n">
        <f aca="false">IF(CU15=1,Assumption!$E$186+Assumption!$E$199+Assumption!$E$212+Assumption!$E$225+Assumption!$E$238,0)</f>
        <v>0</v>
      </c>
      <c r="CV83" s="158" t="n">
        <f aca="false">IF(CV15=1,Assumption!$E$186+Assumption!$E$199+Assumption!$E$212+Assumption!$E$225+Assumption!$E$238,0)</f>
        <v>0</v>
      </c>
      <c r="CW83" s="158" t="n">
        <f aca="false">IF(CW15=1,Assumption!$E$186+Assumption!$E$199+Assumption!$E$212+Assumption!$E$225+Assumption!$E$238,0)</f>
        <v>0</v>
      </c>
      <c r="CX83" s="158" t="n">
        <f aca="false">IF(CX15=1,Assumption!$E$186+Assumption!$E$199+Assumption!$E$212+Assumption!$E$225+Assumption!$E$238,0)</f>
        <v>0</v>
      </c>
      <c r="CY83" s="158" t="n">
        <f aca="false">IF(CY15=1,Assumption!$E$186+Assumption!$E$199+Assumption!$E$212+Assumption!$E$225+Assumption!$E$238,0)</f>
        <v>0</v>
      </c>
      <c r="CZ83" s="158" t="n">
        <f aca="false">IF(CZ15=1,Assumption!$E$186+Assumption!$E$199+Assumption!$E$212+Assumption!$E$225+Assumption!$E$238,0)</f>
        <v>0</v>
      </c>
      <c r="DA83" s="158" t="n">
        <f aca="false">IF(DA15=1,Assumption!$E$186+Assumption!$E$199+Assumption!$E$212+Assumption!$E$225+Assumption!$E$238,0)</f>
        <v>0</v>
      </c>
      <c r="DB83" s="158" t="n">
        <f aca="false">IF(DB15=1,Assumption!$E$186+Assumption!$E$199+Assumption!$E$212+Assumption!$E$225+Assumption!$E$238,0)</f>
        <v>0</v>
      </c>
      <c r="DC83" s="158" t="n">
        <f aca="false">IF(DC15=1,Assumption!$E$186+Assumption!$E$199+Assumption!$E$212+Assumption!$E$225+Assumption!$E$238,0)</f>
        <v>0</v>
      </c>
      <c r="DD83" s="158" t="n">
        <f aca="false">IF(DD15=1,Assumption!$E$186+Assumption!$E$199+Assumption!$E$212+Assumption!$E$225+Assumption!$E$238,0)</f>
        <v>0</v>
      </c>
      <c r="DE83" s="158" t="n">
        <f aca="false">IF(DE15=1,Assumption!$E$186+Assumption!$E$199+Assumption!$E$212+Assumption!$E$225+Assumption!$E$238,0)</f>
        <v>0</v>
      </c>
      <c r="DF83" s="158" t="n">
        <f aca="false">IF(DF15=1,Assumption!$E$186+Assumption!$E$199+Assumption!$E$212+Assumption!$E$225+Assumption!$E$238,0)</f>
        <v>0</v>
      </c>
      <c r="DG83" s="158" t="n">
        <f aca="false">IF(DG15=1,Assumption!$E$186+Assumption!$E$199+Assumption!$E$212+Assumption!$E$225+Assumption!$E$238,0)</f>
        <v>0</v>
      </c>
      <c r="DH83" s="158" t="n">
        <f aca="false">IF(DH15=1,Assumption!$E$186+Assumption!$E$199+Assumption!$E$212+Assumption!$E$225+Assumption!$E$238,0)</f>
        <v>0</v>
      </c>
      <c r="DI83" s="158" t="n">
        <f aca="false">IF(DI15=1,Assumption!$E$186+Assumption!$E$199+Assumption!$E$212+Assumption!$E$225+Assumption!$E$238,0)</f>
        <v>0</v>
      </c>
      <c r="DJ83" s="158" t="n">
        <f aca="false">IF(DJ15=1,Assumption!$E$186+Assumption!$E$199+Assumption!$E$212+Assumption!$E$225+Assumption!$E$238,0)</f>
        <v>0</v>
      </c>
      <c r="DK83" s="158" t="n">
        <f aca="false">IF(DK15=1,Assumption!$E$186+Assumption!$E$199+Assumption!$E$212+Assumption!$E$225+Assumption!$E$238,0)</f>
        <v>0</v>
      </c>
      <c r="DL83" s="158" t="n">
        <f aca="false">IF(DL15=1,Assumption!$E$186+Assumption!$E$199+Assumption!$E$212+Assumption!$E$225+Assumption!$E$238,0)</f>
        <v>0</v>
      </c>
      <c r="DM83" s="158" t="n">
        <f aca="false">IF(DM15=1,Assumption!$E$186+Assumption!$E$199+Assumption!$E$212+Assumption!$E$225+Assumption!$E$238,0)</f>
        <v>0</v>
      </c>
      <c r="DN83" s="158" t="n">
        <f aca="false">IF(DN15=1,Assumption!$E$186+Assumption!$E$199+Assumption!$E$212+Assumption!$E$225+Assumption!$E$238,0)</f>
        <v>0</v>
      </c>
      <c r="DO83" s="158" t="n">
        <f aca="false">IF(DO15=1,Assumption!$E$186+Assumption!$E$199+Assumption!$E$212+Assumption!$E$225+Assumption!$E$238,0)</f>
        <v>0</v>
      </c>
      <c r="DP83" s="158" t="n">
        <f aca="false">IF(DP15=1,Assumption!$E$186+Assumption!$E$199+Assumption!$E$212+Assumption!$E$225+Assumption!$E$238,0)</f>
        <v>0</v>
      </c>
      <c r="DQ83" s="158" t="n">
        <f aca="false">IF(DQ15=1,Assumption!$E$186+Assumption!$E$199+Assumption!$E$212+Assumption!$E$225+Assumption!$E$238,0)</f>
        <v>0</v>
      </c>
      <c r="DR83" s="158" t="n">
        <f aca="false">IF(DR15=1,Assumption!$E$186+Assumption!$E$199+Assumption!$E$212+Assumption!$E$225+Assumption!$E$238,0)</f>
        <v>0</v>
      </c>
      <c r="DS83" s="158" t="n">
        <f aca="false">IF(DS15=1,Assumption!$E$186+Assumption!$E$199+Assumption!$E$212+Assumption!$E$225+Assumption!$E$238,0)</f>
        <v>0</v>
      </c>
      <c r="DT83" s="158" t="n">
        <f aca="false">IF(DT15=1,Assumption!$E$186+Assumption!$E$199+Assumption!$E$212+Assumption!$E$225+Assumption!$E$238,0)</f>
        <v>0</v>
      </c>
      <c r="DU83" s="158" t="n">
        <f aca="false">IF(DU15=1,Assumption!$E$186+Assumption!$E$199+Assumption!$E$212+Assumption!$E$225+Assumption!$E$238,0)</f>
        <v>0</v>
      </c>
      <c r="DV83" s="158" t="n">
        <f aca="false">IF(DV15=1,Assumption!$E$186+Assumption!$E$199+Assumption!$E$212+Assumption!$E$225+Assumption!$E$238,0)</f>
        <v>0</v>
      </c>
      <c r="DW83" s="158" t="n">
        <f aca="false">IF(DW15=1,Assumption!$E$186+Assumption!$E$199+Assumption!$E$212+Assumption!$E$225+Assumption!$E$238,0)</f>
        <v>0</v>
      </c>
      <c r="DX83" s="158" t="n">
        <f aca="false">IF(DX15=1,Assumption!$E$186+Assumption!$E$199+Assumption!$E$212+Assumption!$E$225+Assumption!$E$238,0)</f>
        <v>0</v>
      </c>
      <c r="DY83" s="158" t="n">
        <f aca="false">IF(DY15=1,Assumption!$E$186+Assumption!$E$199+Assumption!$E$212+Assumption!$E$225+Assumption!$E$238,0)</f>
        <v>0</v>
      </c>
      <c r="DZ83" s="158" t="n">
        <f aca="false">IF(DZ15=1,Assumption!$E$186+Assumption!$E$199+Assumption!$E$212+Assumption!$E$225+Assumption!$E$238,0)</f>
        <v>0</v>
      </c>
      <c r="EA83" s="158" t="n">
        <f aca="false">IF(EA15=1,Assumption!$E$186+Assumption!$E$199+Assumption!$E$212+Assumption!$E$225+Assumption!$E$238,0)</f>
        <v>0</v>
      </c>
      <c r="EB83" s="158" t="n">
        <f aca="false">IF(EB15=1,Assumption!$E$186+Assumption!$E$199+Assumption!$E$212+Assumption!$E$225+Assumption!$E$238,0)</f>
        <v>0</v>
      </c>
      <c r="EC83" s="158" t="n">
        <f aca="false">IF(EC15=1,Assumption!$E$186+Assumption!$E$199+Assumption!$E$212+Assumption!$E$225+Assumption!$E$238,0)</f>
        <v>0</v>
      </c>
      <c r="ED83" s="158" t="n">
        <f aca="false">IF(ED15=1,Assumption!$E$186+Assumption!$E$199+Assumption!$E$212+Assumption!$E$225+Assumption!$E$238,0)</f>
        <v>0</v>
      </c>
      <c r="EE83" s="158" t="n">
        <f aca="false">IF(EE15=1,Assumption!$E$186+Assumption!$E$199+Assumption!$E$212+Assumption!$E$225+Assumption!$E$238,0)</f>
        <v>0</v>
      </c>
      <c r="EF83" s="158" t="n">
        <f aca="false">IF(EF15=1,Assumption!$E$186+Assumption!$E$199+Assumption!$E$212+Assumption!$E$225+Assumption!$E$238,0)</f>
        <v>0</v>
      </c>
    </row>
    <row r="84" customFormat="false" ht="15" hidden="false" customHeight="false" outlineLevel="0" collapsed="false">
      <c r="A84" s="243" t="s">
        <v>544</v>
      </c>
      <c r="B84" s="244" t="s">
        <v>116</v>
      </c>
      <c r="C84" s="245" t="n">
        <f aca="false">SUM(E84:EF84)</f>
        <v>941952</v>
      </c>
      <c r="D84" s="13"/>
      <c r="E84" s="246" t="n">
        <f aca="false">SUM(E78:E83)</f>
        <v>0</v>
      </c>
      <c r="F84" s="246" t="n">
        <f aca="false">SUM(F78:F83)</f>
        <v>0</v>
      </c>
      <c r="G84" s="246" t="n">
        <f aca="false">SUM(G78:G83)</f>
        <v>0</v>
      </c>
      <c r="H84" s="246" t="n">
        <f aca="false">SUM(H78:H83)</f>
        <v>0</v>
      </c>
      <c r="I84" s="246" t="n">
        <f aca="false">SUM(I78:I83)</f>
        <v>0</v>
      </c>
      <c r="J84" s="246" t="n">
        <f aca="false">SUM(J78:J83)</f>
        <v>0</v>
      </c>
      <c r="K84" s="246" t="n">
        <f aca="false">SUM(K78:K83)</f>
        <v>0</v>
      </c>
      <c r="L84" s="246" t="n">
        <f aca="false">SUM(L78:L83)</f>
        <v>0</v>
      </c>
      <c r="M84" s="246" t="n">
        <f aca="false">SUM(M78:M83)</f>
        <v>0</v>
      </c>
      <c r="N84" s="246" t="n">
        <f aca="false">SUM(N78:N83)</f>
        <v>0</v>
      </c>
      <c r="O84" s="246" t="n">
        <f aca="false">SUM(O78:O83)</f>
        <v>0</v>
      </c>
      <c r="P84" s="246" t="n">
        <f aca="false">SUM(P78:P83)</f>
        <v>0</v>
      </c>
      <c r="Q84" s="246" t="n">
        <f aca="false">SUM(Q78:Q83)</f>
        <v>68060.16</v>
      </c>
      <c r="R84" s="246" t="n">
        <f aca="false">SUM(R78:R83)</f>
        <v>0</v>
      </c>
      <c r="S84" s="246" t="n">
        <f aca="false">SUM(S78:S83)</f>
        <v>0</v>
      </c>
      <c r="T84" s="246" t="n">
        <f aca="false">SUM(T78:T83)</f>
        <v>0</v>
      </c>
      <c r="U84" s="246" t="n">
        <f aca="false">SUM(U78:U83)</f>
        <v>0</v>
      </c>
      <c r="V84" s="246" t="n">
        <f aca="false">SUM(V78:V83)</f>
        <v>0</v>
      </c>
      <c r="W84" s="246" t="n">
        <f aca="false">SUM(W78:W83)</f>
        <v>0</v>
      </c>
      <c r="X84" s="246" t="n">
        <f aca="false">SUM(X78:X83)</f>
        <v>0</v>
      </c>
      <c r="Y84" s="246" t="n">
        <f aca="false">SUM(Y78:Y83)</f>
        <v>0</v>
      </c>
      <c r="Z84" s="246" t="n">
        <f aca="false">SUM(Z78:Z83)</f>
        <v>0</v>
      </c>
      <c r="AA84" s="246" t="n">
        <f aca="false">SUM(AA78:AA83)</f>
        <v>0</v>
      </c>
      <c r="AB84" s="246" t="n">
        <f aca="false">SUM(AB78:AB83)</f>
        <v>0</v>
      </c>
      <c r="AC84" s="246" t="n">
        <f aca="false">SUM(AC78:AC83)</f>
        <v>136120.32</v>
      </c>
      <c r="AD84" s="246" t="n">
        <f aca="false">SUM(AD78:AD83)</f>
        <v>0</v>
      </c>
      <c r="AE84" s="246" t="n">
        <f aca="false">SUM(AE78:AE83)</f>
        <v>0</v>
      </c>
      <c r="AF84" s="246" t="n">
        <f aca="false">SUM(AF78:AF83)</f>
        <v>0</v>
      </c>
      <c r="AG84" s="246" t="n">
        <f aca="false">SUM(AG78:AG83)</f>
        <v>0</v>
      </c>
      <c r="AH84" s="246" t="n">
        <f aca="false">SUM(AH78:AH83)</f>
        <v>0</v>
      </c>
      <c r="AI84" s="246" t="n">
        <f aca="false">SUM(AI78:AI83)</f>
        <v>0</v>
      </c>
      <c r="AJ84" s="246" t="n">
        <f aca="false">SUM(AJ78:AJ83)</f>
        <v>0</v>
      </c>
      <c r="AK84" s="246" t="n">
        <f aca="false">SUM(AK78:AK83)</f>
        <v>0</v>
      </c>
      <c r="AL84" s="246" t="n">
        <f aca="false">SUM(AL78:AL83)</f>
        <v>0</v>
      </c>
      <c r="AM84" s="246" t="n">
        <f aca="false">SUM(AM78:AM83)</f>
        <v>0</v>
      </c>
      <c r="AN84" s="246" t="n">
        <f aca="false">SUM(AN78:AN83)</f>
        <v>0</v>
      </c>
      <c r="AO84" s="246" t="n">
        <f aca="false">SUM(AO78:AO83)</f>
        <v>136120.32</v>
      </c>
      <c r="AP84" s="246" t="n">
        <f aca="false">SUM(AP78:AP83)</f>
        <v>0</v>
      </c>
      <c r="AQ84" s="246" t="n">
        <f aca="false">SUM(AQ78:AQ83)</f>
        <v>0</v>
      </c>
      <c r="AR84" s="246" t="n">
        <f aca="false">SUM(AR78:AR83)</f>
        <v>0</v>
      </c>
      <c r="AS84" s="246" t="n">
        <f aca="false">SUM(AS78:AS83)</f>
        <v>0</v>
      </c>
      <c r="AT84" s="246" t="n">
        <f aca="false">SUM(AT78:AT83)</f>
        <v>0</v>
      </c>
      <c r="AU84" s="246" t="n">
        <f aca="false">SUM(AU78:AU83)</f>
        <v>0</v>
      </c>
      <c r="AV84" s="246" t="n">
        <f aca="false">SUM(AV78:AV83)</f>
        <v>0</v>
      </c>
      <c r="AW84" s="246" t="n">
        <f aca="false">SUM(AW78:AW83)</f>
        <v>0</v>
      </c>
      <c r="AX84" s="246" t="n">
        <f aca="false">SUM(AX78:AX83)</f>
        <v>0</v>
      </c>
      <c r="AY84" s="246" t="n">
        <f aca="false">SUM(AY78:AY83)</f>
        <v>0</v>
      </c>
      <c r="AZ84" s="246" t="n">
        <f aca="false">SUM(AZ78:AZ83)</f>
        <v>0</v>
      </c>
      <c r="BA84" s="246" t="n">
        <f aca="false">SUM(BA78:BA83)</f>
        <v>136120.32</v>
      </c>
      <c r="BB84" s="246" t="n">
        <f aca="false">SUM(BB78:BB83)</f>
        <v>0</v>
      </c>
      <c r="BC84" s="246" t="n">
        <f aca="false">SUM(BC78:BC83)</f>
        <v>0</v>
      </c>
      <c r="BD84" s="246" t="n">
        <f aca="false">SUM(BD78:BD83)</f>
        <v>0</v>
      </c>
      <c r="BE84" s="246" t="n">
        <f aca="false">SUM(BE78:BE83)</f>
        <v>0</v>
      </c>
      <c r="BF84" s="246" t="n">
        <f aca="false">SUM(BF78:BF83)</f>
        <v>0</v>
      </c>
      <c r="BG84" s="246" t="n">
        <f aca="false">SUM(BG78:BG83)</f>
        <v>0</v>
      </c>
      <c r="BH84" s="246" t="n">
        <f aca="false">SUM(BH78:BH83)</f>
        <v>0</v>
      </c>
      <c r="BI84" s="246" t="n">
        <f aca="false">SUM(BI78:BI83)</f>
        <v>0</v>
      </c>
      <c r="BJ84" s="246" t="n">
        <f aca="false">SUM(BJ78:BJ83)</f>
        <v>0</v>
      </c>
      <c r="BK84" s="246" t="n">
        <f aca="false">SUM(BK78:BK83)</f>
        <v>0</v>
      </c>
      <c r="BL84" s="246" t="n">
        <f aca="false">SUM(BL78:BL83)</f>
        <v>0</v>
      </c>
      <c r="BM84" s="246" t="n">
        <f aca="false">SUM(BM78:BM83)</f>
        <v>268980.48</v>
      </c>
      <c r="BN84" s="246" t="n">
        <f aca="false">SUM(BN78:BN83)</f>
        <v>0</v>
      </c>
      <c r="BO84" s="246" t="n">
        <f aca="false">SUM(BO78:BO83)</f>
        <v>0</v>
      </c>
      <c r="BP84" s="246" t="n">
        <f aca="false">SUM(BP78:BP83)</f>
        <v>0</v>
      </c>
      <c r="BQ84" s="246" t="n">
        <f aca="false">SUM(BQ78:BQ83)</f>
        <v>0</v>
      </c>
      <c r="BR84" s="246" t="n">
        <f aca="false">SUM(BR78:BR83)</f>
        <v>0</v>
      </c>
      <c r="BS84" s="246" t="n">
        <f aca="false">SUM(BS78:BS83)</f>
        <v>0</v>
      </c>
      <c r="BT84" s="246" t="n">
        <f aca="false">SUM(BT78:BT83)</f>
        <v>0</v>
      </c>
      <c r="BU84" s="246" t="n">
        <f aca="false">SUM(BU78:BU83)</f>
        <v>0</v>
      </c>
      <c r="BV84" s="246" t="n">
        <f aca="false">SUM(BV78:BV83)</f>
        <v>0</v>
      </c>
      <c r="BW84" s="246" t="n">
        <f aca="false">SUM(BW78:BW83)</f>
        <v>0</v>
      </c>
      <c r="BX84" s="246" t="n">
        <f aca="false">SUM(BX78:BX83)</f>
        <v>0</v>
      </c>
      <c r="BY84" s="246" t="n">
        <f aca="false">SUM(BY78:BY83)</f>
        <v>183350.4</v>
      </c>
      <c r="BZ84" s="246" t="n">
        <f aca="false">SUM(BZ78:BZ83)</f>
        <v>0</v>
      </c>
      <c r="CA84" s="246" t="n">
        <f aca="false">SUM(CA78:CA83)</f>
        <v>0</v>
      </c>
      <c r="CB84" s="246" t="n">
        <f aca="false">SUM(CB78:CB83)</f>
        <v>0</v>
      </c>
      <c r="CC84" s="246" t="n">
        <f aca="false">SUM(CC78:CC83)</f>
        <v>0</v>
      </c>
      <c r="CD84" s="246" t="n">
        <f aca="false">SUM(CD78:CD83)</f>
        <v>0</v>
      </c>
      <c r="CE84" s="246" t="n">
        <f aca="false">SUM(CE78:CE83)</f>
        <v>0</v>
      </c>
      <c r="CF84" s="246" t="n">
        <f aca="false">SUM(CF78:CF83)</f>
        <v>0</v>
      </c>
      <c r="CG84" s="246" t="n">
        <f aca="false">SUM(CG78:CG83)</f>
        <v>0</v>
      </c>
      <c r="CH84" s="246" t="n">
        <f aca="false">SUM(CH78:CH83)</f>
        <v>0</v>
      </c>
      <c r="CI84" s="246" t="n">
        <f aca="false">SUM(CI78:CI83)</f>
        <v>0</v>
      </c>
      <c r="CJ84" s="246" t="n">
        <f aca="false">SUM(CJ78:CJ83)</f>
        <v>0</v>
      </c>
      <c r="CK84" s="246" t="n">
        <f aca="false">SUM(CK78:CK83)</f>
        <v>13200</v>
      </c>
      <c r="CL84" s="246" t="n">
        <f aca="false">SUM(CL78:CL83)</f>
        <v>0</v>
      </c>
      <c r="CM84" s="246" t="n">
        <f aca="false">SUM(CM78:CM83)</f>
        <v>0</v>
      </c>
      <c r="CN84" s="246" t="n">
        <f aca="false">SUM(CN78:CN83)</f>
        <v>0</v>
      </c>
      <c r="CO84" s="246" t="n">
        <f aca="false">SUM(CO78:CO83)</f>
        <v>0</v>
      </c>
      <c r="CP84" s="246" t="n">
        <f aca="false">SUM(CP78:CP83)</f>
        <v>0</v>
      </c>
      <c r="CQ84" s="246" t="n">
        <f aca="false">SUM(CQ78:CQ83)</f>
        <v>0</v>
      </c>
      <c r="CR84" s="246" t="n">
        <f aca="false">SUM(CR78:CR83)</f>
        <v>0</v>
      </c>
      <c r="CS84" s="246" t="n">
        <f aca="false">SUM(CS78:CS83)</f>
        <v>0</v>
      </c>
      <c r="CT84" s="246" t="n">
        <f aca="false">SUM(CT78:CT83)</f>
        <v>0</v>
      </c>
      <c r="CU84" s="246" t="n">
        <f aca="false">SUM(CU78:CU83)</f>
        <v>0</v>
      </c>
      <c r="CV84" s="246" t="n">
        <f aca="false">SUM(CV78:CV83)</f>
        <v>0</v>
      </c>
      <c r="CW84" s="246" t="n">
        <f aca="false">SUM(CW78:CW83)</f>
        <v>0</v>
      </c>
      <c r="CX84" s="246" t="n">
        <f aca="false">SUM(CX78:CX83)</f>
        <v>0</v>
      </c>
      <c r="CY84" s="246" t="n">
        <f aca="false">SUM(CY78:CY83)</f>
        <v>0</v>
      </c>
      <c r="CZ84" s="246" t="n">
        <f aca="false">SUM(CZ78:CZ83)</f>
        <v>0</v>
      </c>
      <c r="DA84" s="246" t="n">
        <f aca="false">SUM(DA78:DA83)</f>
        <v>0</v>
      </c>
      <c r="DB84" s="246" t="n">
        <f aca="false">SUM(DB78:DB83)</f>
        <v>0</v>
      </c>
      <c r="DC84" s="246" t="n">
        <f aca="false">SUM(DC78:DC83)</f>
        <v>0</v>
      </c>
      <c r="DD84" s="246" t="n">
        <f aca="false">SUM(DD78:DD83)</f>
        <v>0</v>
      </c>
      <c r="DE84" s="246" t="n">
        <f aca="false">SUM(DE78:DE83)</f>
        <v>0</v>
      </c>
      <c r="DF84" s="246" t="n">
        <f aca="false">SUM(DF78:DF83)</f>
        <v>0</v>
      </c>
      <c r="DG84" s="246" t="n">
        <f aca="false">SUM(DG78:DG83)</f>
        <v>0</v>
      </c>
      <c r="DH84" s="246" t="n">
        <f aca="false">SUM(DH78:DH83)</f>
        <v>0</v>
      </c>
      <c r="DI84" s="246" t="n">
        <f aca="false">SUM(DI78:DI83)</f>
        <v>0</v>
      </c>
      <c r="DJ84" s="246" t="n">
        <f aca="false">SUM(DJ78:DJ83)</f>
        <v>0</v>
      </c>
      <c r="DK84" s="246" t="n">
        <f aca="false">SUM(DK78:DK83)</f>
        <v>0</v>
      </c>
      <c r="DL84" s="246" t="n">
        <f aca="false">SUM(DL78:DL83)</f>
        <v>0</v>
      </c>
      <c r="DM84" s="246" t="n">
        <f aca="false">SUM(DM78:DM83)</f>
        <v>0</v>
      </c>
      <c r="DN84" s="246" t="n">
        <f aca="false">SUM(DN78:DN83)</f>
        <v>0</v>
      </c>
      <c r="DO84" s="246" t="n">
        <f aca="false">SUM(DO78:DO83)</f>
        <v>0</v>
      </c>
      <c r="DP84" s="246" t="n">
        <f aca="false">SUM(DP78:DP83)</f>
        <v>0</v>
      </c>
      <c r="DQ84" s="246" t="n">
        <f aca="false">SUM(DQ78:DQ83)</f>
        <v>0</v>
      </c>
      <c r="DR84" s="246" t="n">
        <f aca="false">SUM(DR78:DR83)</f>
        <v>0</v>
      </c>
      <c r="DS84" s="246" t="n">
        <f aca="false">SUM(DS78:DS83)</f>
        <v>0</v>
      </c>
      <c r="DT84" s="246" t="n">
        <f aca="false">SUM(DT78:DT83)</f>
        <v>0</v>
      </c>
      <c r="DU84" s="246" t="n">
        <f aca="false">SUM(DU78:DU83)</f>
        <v>0</v>
      </c>
      <c r="DV84" s="246" t="n">
        <f aca="false">SUM(DV78:DV83)</f>
        <v>0</v>
      </c>
      <c r="DW84" s="246" t="n">
        <f aca="false">SUM(DW78:DW83)</f>
        <v>0</v>
      </c>
      <c r="DX84" s="246" t="n">
        <f aca="false">SUM(DX78:DX83)</f>
        <v>0</v>
      </c>
      <c r="DY84" s="246" t="n">
        <f aca="false">SUM(DY78:DY83)</f>
        <v>0</v>
      </c>
      <c r="DZ84" s="246" t="n">
        <f aca="false">SUM(DZ78:DZ83)</f>
        <v>0</v>
      </c>
      <c r="EA84" s="246" t="n">
        <f aca="false">SUM(EA78:EA83)</f>
        <v>0</v>
      </c>
      <c r="EB84" s="246" t="n">
        <f aca="false">SUM(EB78:EB83)</f>
        <v>0</v>
      </c>
      <c r="EC84" s="246" t="n">
        <f aca="false">SUM(EC78:EC83)</f>
        <v>0</v>
      </c>
      <c r="ED84" s="246" t="n">
        <f aca="false">SUM(ED78:ED83)</f>
        <v>0</v>
      </c>
      <c r="EE84" s="246" t="n">
        <f aca="false">SUM(EE78:EE83)</f>
        <v>0</v>
      </c>
      <c r="EF84" s="246" t="n">
        <f aca="false">SUM(EF78:EF83)</f>
        <v>0</v>
      </c>
    </row>
    <row r="85" customFormat="false" ht="15" hidden="false" customHeight="false" outlineLevel="0" collapsed="false">
      <c r="A85" s="35" t="s">
        <v>545</v>
      </c>
      <c r="B85" s="241" t="s">
        <v>116</v>
      </c>
      <c r="C85" s="242" t="n">
        <f aca="false">SUM(E85:EF85)</f>
        <v>941952</v>
      </c>
      <c r="E85" s="158" t="n">
        <f aca="false">IF(E6=Assumption!$E$22,0+E84,0)</f>
        <v>0</v>
      </c>
      <c r="F85" s="158" t="n">
        <f aca="false">IF(F6=Assumption!$E$22,E86+F84,0)</f>
        <v>0</v>
      </c>
      <c r="G85" s="158" t="n">
        <f aca="false">IF(G6=Assumption!$E$22,F86+G84,0)</f>
        <v>0</v>
      </c>
      <c r="H85" s="158" t="n">
        <f aca="false">IF(H6=Assumption!$E$22,G86+H84,0)</f>
        <v>0</v>
      </c>
      <c r="I85" s="158" t="n">
        <f aca="false">IF(I6=Assumption!$E$22,H86+I84,0)</f>
        <v>0</v>
      </c>
      <c r="J85" s="158" t="n">
        <f aca="false">IF(J6=Assumption!$E$22,I86+J84,0)</f>
        <v>0</v>
      </c>
      <c r="K85" s="158" t="n">
        <f aca="false">IF(K6=Assumption!$E$22,J86+K84,0)</f>
        <v>0</v>
      </c>
      <c r="L85" s="158" t="n">
        <f aca="false">IF(L6=Assumption!$E$22,K86+L84,0)</f>
        <v>0</v>
      </c>
      <c r="M85" s="158" t="n">
        <f aca="false">IF(M6=Assumption!$E$22,L86+M84,0)</f>
        <v>0</v>
      </c>
      <c r="N85" s="158" t="n">
        <f aca="false">IF(N6=Assumption!$E$22,M86+N84,0)</f>
        <v>0</v>
      </c>
      <c r="O85" s="158" t="n">
        <f aca="false">IF(O6=Assumption!$E$22,N86+O84,0)</f>
        <v>0</v>
      </c>
      <c r="P85" s="158" t="n">
        <f aca="false">IF(P6=Assumption!$E$22,O86+P84,0)</f>
        <v>0</v>
      </c>
      <c r="Q85" s="158" t="n">
        <f aca="false">IF(Q6=Assumption!$E$22,P86+Q84,0)</f>
        <v>0</v>
      </c>
      <c r="R85" s="158" t="n">
        <f aca="false">IF(R6=Assumption!$E$22,Q86+R84,0)</f>
        <v>0</v>
      </c>
      <c r="S85" s="158" t="n">
        <f aca="false">IF(S6=Assumption!$E$22,R86+S84,0)</f>
        <v>0</v>
      </c>
      <c r="T85" s="158" t="n">
        <f aca="false">IF(T6=Assumption!$E$22,S86+T84,0)</f>
        <v>0</v>
      </c>
      <c r="U85" s="158" t="n">
        <f aca="false">IF(U6=Assumption!$E$22,T86+U84,0)</f>
        <v>0</v>
      </c>
      <c r="V85" s="158" t="n">
        <f aca="false">IF(V6=Assumption!$E$22,U86+V84,0)</f>
        <v>0</v>
      </c>
      <c r="W85" s="158" t="n">
        <f aca="false">IF(W6=Assumption!$E$22,V86+W84,0)</f>
        <v>0</v>
      </c>
      <c r="X85" s="158" t="n">
        <f aca="false">IF(X6=Assumption!$E$22,W86+X84,0)</f>
        <v>0</v>
      </c>
      <c r="Y85" s="158" t="n">
        <f aca="false">IF(Y6=Assumption!$E$22,X86+Y84,0)</f>
        <v>0</v>
      </c>
      <c r="Z85" s="158" t="n">
        <f aca="false">IF(Z6=Assumption!$E$22,Y86+Z84,0)</f>
        <v>0</v>
      </c>
      <c r="AA85" s="158" t="n">
        <f aca="false">IF(AA6=Assumption!$E$22,Z86+AA84,0)</f>
        <v>0</v>
      </c>
      <c r="AB85" s="158" t="n">
        <f aca="false">IF(AB6=Assumption!$E$22,AA86+AB84,0)</f>
        <v>0</v>
      </c>
      <c r="AC85" s="158" t="n">
        <f aca="false">IF(AC6=Assumption!$E$22,AB86+AC84,0)</f>
        <v>0</v>
      </c>
      <c r="AD85" s="158" t="n">
        <f aca="false">IF(AD6=Assumption!$E$22,AC86+AD84,0)</f>
        <v>0</v>
      </c>
      <c r="AE85" s="158" t="n">
        <f aca="false">IF(AE6=Assumption!$E$22,AD86+AE84,0)</f>
        <v>0</v>
      </c>
      <c r="AF85" s="158" t="n">
        <f aca="false">IF(AF6=Assumption!$E$22,AE86+AF84,0)</f>
        <v>0</v>
      </c>
      <c r="AG85" s="158" t="n">
        <f aca="false">IF(AG6=Assumption!$E$22,AF86+AG84,0)</f>
        <v>0</v>
      </c>
      <c r="AH85" s="158" t="n">
        <f aca="false">IF(AH6=Assumption!$E$22,AG86+AH84,0)</f>
        <v>0</v>
      </c>
      <c r="AI85" s="158" t="n">
        <f aca="false">IF(AI6=Assumption!$E$22,AH86+AI84,0)</f>
        <v>0</v>
      </c>
      <c r="AJ85" s="158" t="n">
        <f aca="false">IF(AJ6=Assumption!$E$22,AI86+AJ84,0)</f>
        <v>0</v>
      </c>
      <c r="AK85" s="158" t="n">
        <f aca="false">IF(AK6=Assumption!$E$22,AJ86+AK84,0)</f>
        <v>0</v>
      </c>
      <c r="AL85" s="158" t="n">
        <f aca="false">IF(AL6=Assumption!$E$22,AK86+AL84,0)</f>
        <v>0</v>
      </c>
      <c r="AM85" s="158" t="n">
        <f aca="false">IF(AM6=Assumption!$E$22,AL86+AM84,0)</f>
        <v>0</v>
      </c>
      <c r="AN85" s="158" t="n">
        <f aca="false">IF(AN6=Assumption!$E$22,AM86+AN84,0)</f>
        <v>0</v>
      </c>
      <c r="AO85" s="158" t="n">
        <f aca="false">IF(AO6=Assumption!$E$22,AN86+AO84,0)</f>
        <v>0</v>
      </c>
      <c r="AP85" s="158" t="n">
        <f aca="false">IF(AP6=Assumption!$E$22,AO86+AP84,0)</f>
        <v>0</v>
      </c>
      <c r="AQ85" s="158" t="n">
        <f aca="false">IF(AQ6=Assumption!$E$22,AP86+AQ84,0)</f>
        <v>0</v>
      </c>
      <c r="AR85" s="158" t="n">
        <f aca="false">IF(AR6=Assumption!$E$22,AQ86+AR84,0)</f>
        <v>0</v>
      </c>
      <c r="AS85" s="158" t="n">
        <f aca="false">IF(AS6=Assumption!$E$22,AR86+AS84,0)</f>
        <v>0</v>
      </c>
      <c r="AT85" s="158" t="n">
        <f aca="false">IF(AT6=Assumption!$E$22,AS86+AT84,0)</f>
        <v>0</v>
      </c>
      <c r="AU85" s="158" t="n">
        <f aca="false">IF(AU6=Assumption!$E$22,AT86+AU84,0)</f>
        <v>0</v>
      </c>
      <c r="AV85" s="158" t="n">
        <f aca="false">IF(AV6=Assumption!$E$22,AU86+AV84,0)</f>
        <v>0</v>
      </c>
      <c r="AW85" s="158" t="n">
        <f aca="false">IF(AW6=Assumption!$E$22,AV86+AW84,0)</f>
        <v>0</v>
      </c>
      <c r="AX85" s="158" t="n">
        <f aca="false">IF(AX6=Assumption!$E$22,AW86+AX84,0)</f>
        <v>0</v>
      </c>
      <c r="AY85" s="158" t="n">
        <f aca="false">IF(AY6=Assumption!$E$22,AX86+AY84,0)</f>
        <v>0</v>
      </c>
      <c r="AZ85" s="158" t="n">
        <f aca="false">IF(AZ6=Assumption!$E$22,AY86+AZ84,0)</f>
        <v>0</v>
      </c>
      <c r="BA85" s="158" t="n">
        <f aca="false">IF(BA6=Assumption!$E$22,AZ86+BA84,0)</f>
        <v>0</v>
      </c>
      <c r="BB85" s="158" t="n">
        <f aca="false">IF(BB6=Assumption!$E$22,BA86+BB84,0)</f>
        <v>0</v>
      </c>
      <c r="BC85" s="158" t="n">
        <f aca="false">IF(BC6=Assumption!$E$22,BB86+BC84,0)</f>
        <v>0</v>
      </c>
      <c r="BD85" s="158" t="n">
        <f aca="false">IF(BD6=Assumption!$E$22,BC86+BD84,0)</f>
        <v>0</v>
      </c>
      <c r="BE85" s="158" t="n">
        <f aca="false">IF(BE6=Assumption!$E$22,BD86+BE84,0)</f>
        <v>0</v>
      </c>
      <c r="BF85" s="158" t="n">
        <f aca="false">IF(BF6=Assumption!$E$22,BE86+BF84,0)</f>
        <v>0</v>
      </c>
      <c r="BG85" s="158" t="n">
        <f aca="false">IF(BG6=Assumption!$E$22,BF86+BG84,0)</f>
        <v>0</v>
      </c>
      <c r="BH85" s="158" t="n">
        <f aca="false">IF(BH6=Assumption!$E$22,BG86+BH84,0)</f>
        <v>0</v>
      </c>
      <c r="BI85" s="158" t="n">
        <f aca="false">IF(BI6=Assumption!$E$22,BH86+BI84,0)</f>
        <v>0</v>
      </c>
      <c r="BJ85" s="158" t="n">
        <f aca="false">IF(BJ6=Assumption!$E$22,BI86+BJ84,0)</f>
        <v>0</v>
      </c>
      <c r="BK85" s="158" t="n">
        <f aca="false">IF(BK6=Assumption!$E$22,BJ86+BK84,0)</f>
        <v>0</v>
      </c>
      <c r="BL85" s="158" t="n">
        <f aca="false">IF(BL6=Assumption!$E$22,BK86+BL84,0)</f>
        <v>0</v>
      </c>
      <c r="BM85" s="158" t="n">
        <f aca="false">IF(BM6=Assumption!$E$22,BL86+BM84,0)</f>
        <v>0</v>
      </c>
      <c r="BN85" s="158" t="n">
        <f aca="false">IF(BN6=Assumption!$E$22,BM86+BN84,0)</f>
        <v>0</v>
      </c>
      <c r="BO85" s="158" t="n">
        <f aca="false">IF(BO6=Assumption!$E$22,BN86+BO84,0)</f>
        <v>0</v>
      </c>
      <c r="BP85" s="158" t="n">
        <f aca="false">IF(BP6=Assumption!$E$22,BO86+BP84,0)</f>
        <v>0</v>
      </c>
      <c r="BQ85" s="158" t="n">
        <f aca="false">IF(BQ6=Assumption!$E$22,BP86+BQ84,0)</f>
        <v>0</v>
      </c>
      <c r="BR85" s="158" t="n">
        <f aca="false">IF(BR6=Assumption!$E$22,BQ86+BR84,0)</f>
        <v>0</v>
      </c>
      <c r="BS85" s="158" t="n">
        <f aca="false">IF(BS6=Assumption!$E$22,BR86+BS84,0)</f>
        <v>0</v>
      </c>
      <c r="BT85" s="158" t="n">
        <f aca="false">IF(BT6=Assumption!$E$22,BS86+BT84,0)</f>
        <v>0</v>
      </c>
      <c r="BU85" s="158" t="n">
        <f aca="false">IF(BU6=Assumption!$E$22,BT86+BU84,0)</f>
        <v>0</v>
      </c>
      <c r="BV85" s="158" t="n">
        <f aca="false">IF(BV6=Assumption!$E$22,BU86+BV84,0)</f>
        <v>0</v>
      </c>
      <c r="BW85" s="158" t="n">
        <f aca="false">IF(BW6=Assumption!$E$22,BV86+BW84,0)</f>
        <v>0</v>
      </c>
      <c r="BX85" s="158" t="n">
        <f aca="false">IF(BX6=Assumption!$E$22,BW86+BX84,0)</f>
        <v>0</v>
      </c>
      <c r="BY85" s="158" t="n">
        <f aca="false">IF(BY6=Assumption!$E$22,BX86+BY84,0)</f>
        <v>0</v>
      </c>
      <c r="BZ85" s="158" t="n">
        <f aca="false">IF(BZ6=Assumption!$E$22,BY86+BZ84,0)</f>
        <v>0</v>
      </c>
      <c r="CA85" s="158" t="n">
        <f aca="false">IF(CA6=Assumption!$E$22,BZ86+CA84,0)</f>
        <v>0</v>
      </c>
      <c r="CB85" s="158" t="n">
        <f aca="false">IF(CB6=Assumption!$E$22,CA86+CB84,0)</f>
        <v>0</v>
      </c>
      <c r="CC85" s="158" t="n">
        <f aca="false">IF(CC6=Assumption!$E$22,CB86+CC84,0)</f>
        <v>0</v>
      </c>
      <c r="CD85" s="158" t="n">
        <f aca="false">IF(CD6=Assumption!$E$22,CC86+CD84,0)</f>
        <v>0</v>
      </c>
      <c r="CE85" s="158" t="n">
        <f aca="false">IF(CE6=Assumption!$E$22,CD86+CE84,0)</f>
        <v>0</v>
      </c>
      <c r="CF85" s="158" t="n">
        <f aca="false">IF(CF6=Assumption!$E$22,CE86+CF84,0)</f>
        <v>0</v>
      </c>
      <c r="CG85" s="158" t="n">
        <f aca="false">IF(CG6=Assumption!$E$22,CF86+CG84,0)</f>
        <v>0</v>
      </c>
      <c r="CH85" s="158" t="n">
        <f aca="false">IF(CH6=Assumption!$E$22,CG86+CH84,0)</f>
        <v>0</v>
      </c>
      <c r="CI85" s="158" t="n">
        <f aca="false">IF(CI6=Assumption!$E$22,CH86+CI84,0)</f>
        <v>0</v>
      </c>
      <c r="CJ85" s="158" t="n">
        <f aca="false">IF(CJ6=Assumption!$E$22,CI86+CJ84,0)</f>
        <v>0</v>
      </c>
      <c r="CK85" s="158" t="n">
        <f aca="false">IF(CK6=Assumption!$E$22,CJ86+CK84,0)</f>
        <v>0</v>
      </c>
      <c r="CL85" s="158" t="n">
        <f aca="false">IF(CL6=Assumption!$E$22,CK86+CL84,0)</f>
        <v>0</v>
      </c>
      <c r="CM85" s="158" t="n">
        <f aca="false">IF(CM6=Assumption!$E$22,CL86+CM84,0)</f>
        <v>0</v>
      </c>
      <c r="CN85" s="158" t="n">
        <f aca="false">IF(CN6=Assumption!$E$22,CM86+CN84,0)</f>
        <v>0</v>
      </c>
      <c r="CO85" s="158" t="n">
        <f aca="false">IF(CO6=Assumption!$E$22,CN86+CO84,0)</f>
        <v>0</v>
      </c>
      <c r="CP85" s="158" t="n">
        <f aca="false">IF(CP6=Assumption!$E$22,CO86+CP84,0)</f>
        <v>0</v>
      </c>
      <c r="CQ85" s="158" t="n">
        <f aca="false">IF(CQ6=Assumption!$E$22,CP86+CQ84,0)</f>
        <v>0</v>
      </c>
      <c r="CR85" s="158" t="n">
        <f aca="false">IF(CR6=Assumption!$E$22,CQ86+CR84,0)</f>
        <v>0</v>
      </c>
      <c r="CS85" s="158" t="n">
        <f aca="false">IF(CS6=Assumption!$E$22,CR86+CS84,0)</f>
        <v>0</v>
      </c>
      <c r="CT85" s="158" t="n">
        <f aca="false">IF(CT6=Assumption!$E$22,CS86+CT84,0)</f>
        <v>0</v>
      </c>
      <c r="CU85" s="158" t="n">
        <f aca="false">IF(CU6=Assumption!$E$22,CT86+CU84,0)</f>
        <v>0</v>
      </c>
      <c r="CV85" s="158" t="n">
        <f aca="false">IF(CV6=Assumption!$E$22,CU86+CV84,0)</f>
        <v>0</v>
      </c>
      <c r="CW85" s="158" t="n">
        <f aca="false">IF(CW6=Assumption!$E$22,CV86+CW84,0)</f>
        <v>0</v>
      </c>
      <c r="CX85" s="158" t="n">
        <f aca="false">IF(CX6=Assumption!$E$22,CW86+CX84,0)</f>
        <v>0</v>
      </c>
      <c r="CY85" s="158" t="n">
        <f aca="false">IF(CY6=Assumption!$E$22,CX86+CY84,0)</f>
        <v>0</v>
      </c>
      <c r="CZ85" s="158" t="n">
        <f aca="false">IF(CZ6=Assumption!$E$22,CY86+CZ84,0)</f>
        <v>0</v>
      </c>
      <c r="DA85" s="158" t="n">
        <f aca="false">IF(DA6=Assumption!$E$22,CZ86+DA84,0)</f>
        <v>0</v>
      </c>
      <c r="DB85" s="158" t="n">
        <f aca="false">IF(DB6=Assumption!$E$22,DA86+DB84,0)</f>
        <v>0</v>
      </c>
      <c r="DC85" s="158" t="n">
        <f aca="false">IF(DC6=Assumption!$E$22,DB86+DC84,0)</f>
        <v>0</v>
      </c>
      <c r="DD85" s="158" t="n">
        <f aca="false">IF(DD6=Assumption!$E$22,DC86+DD84,0)</f>
        <v>0</v>
      </c>
      <c r="DE85" s="158" t="n">
        <f aca="false">IF(DE6=Assumption!$E$22,DD86+DE84,0)</f>
        <v>0</v>
      </c>
      <c r="DF85" s="158" t="n">
        <f aca="false">IF(DF6=Assumption!$E$22,DE86+DF84,0)</f>
        <v>0</v>
      </c>
      <c r="DG85" s="158" t="n">
        <f aca="false">IF(DG6=Assumption!$E$22,DF86+DG84,0)</f>
        <v>0</v>
      </c>
      <c r="DH85" s="158" t="n">
        <f aca="false">IF(DH6=Assumption!$E$22,DG86+DH84,0)</f>
        <v>0</v>
      </c>
      <c r="DI85" s="158" t="n">
        <f aca="false">IF(DI6=Assumption!$E$22,DH86+DI84,0)</f>
        <v>0</v>
      </c>
      <c r="DJ85" s="158" t="n">
        <f aca="false">IF(DJ6=Assumption!$E$22,DI86+DJ84,0)</f>
        <v>0</v>
      </c>
      <c r="DK85" s="158" t="n">
        <f aca="false">IF(DK6=Assumption!$E$22,DJ86+DK84,0)</f>
        <v>0</v>
      </c>
      <c r="DL85" s="158" t="n">
        <f aca="false">IF(DL6=Assumption!$E$22,DK86+DL84,0)</f>
        <v>0</v>
      </c>
      <c r="DM85" s="158" t="n">
        <f aca="false">IF(DM6=Assumption!$E$22,DL86+DM84,0)</f>
        <v>0</v>
      </c>
      <c r="DN85" s="158" t="n">
        <f aca="false">IF(DN6=Assumption!$E$22,DM86+DN84,0)</f>
        <v>0</v>
      </c>
      <c r="DO85" s="158" t="n">
        <f aca="false">IF(DO6=Assumption!$E$22,DN86+DO84,0)</f>
        <v>0</v>
      </c>
      <c r="DP85" s="158" t="n">
        <f aca="false">IF(DP6=Assumption!$E$22,DO86+DP84,0)</f>
        <v>0</v>
      </c>
      <c r="DQ85" s="158" t="n">
        <f aca="false">IF(DQ6=Assumption!$E$22,DP86+DQ84,0)</f>
        <v>0</v>
      </c>
      <c r="DR85" s="158" t="n">
        <f aca="false">IF(DR6=Assumption!$E$22,DQ86+DR84,0)</f>
        <v>0</v>
      </c>
      <c r="DS85" s="158" t="n">
        <f aca="false">IF(DS6=Assumption!$E$22,DR86+DS84,0)</f>
        <v>0</v>
      </c>
      <c r="DT85" s="158" t="n">
        <f aca="false">IF(DT6=Assumption!$E$22,DS86+DT84,0)</f>
        <v>941952</v>
      </c>
      <c r="DU85" s="158" t="n">
        <f aca="false">IF(DU6=Assumption!$E$22,DT86+DU84,0)</f>
        <v>0</v>
      </c>
      <c r="DV85" s="158" t="n">
        <f aca="false">IF(DV6=Assumption!$E$22,DU86+DV84,0)</f>
        <v>0</v>
      </c>
      <c r="DW85" s="158" t="n">
        <f aca="false">IF(DW6=Assumption!$E$22,DV86+DW84,0)</f>
        <v>0</v>
      </c>
      <c r="DX85" s="158" t="n">
        <f aca="false">IF(DX6=Assumption!$E$22,DW86+DX84,0)</f>
        <v>0</v>
      </c>
      <c r="DY85" s="158" t="n">
        <f aca="false">IF(DY6=Assumption!$E$22,DX86+DY84,0)</f>
        <v>0</v>
      </c>
      <c r="DZ85" s="158" t="n">
        <f aca="false">IF(DZ6=Assumption!$E$22,DY86+DZ84,0)</f>
        <v>0</v>
      </c>
      <c r="EA85" s="158" t="n">
        <f aca="false">IF(EA6=Assumption!$E$22,DZ86+EA84,0)</f>
        <v>0</v>
      </c>
      <c r="EB85" s="158" t="n">
        <f aca="false">IF(EB6=Assumption!$E$22,EA86+EB84,0)</f>
        <v>0</v>
      </c>
      <c r="EC85" s="158" t="n">
        <f aca="false">IF(EC6=Assumption!$E$22,EB86+EC84,0)</f>
        <v>0</v>
      </c>
      <c r="ED85" s="158" t="n">
        <f aca="false">IF(ED6=Assumption!$E$22,EC86+ED84,0)</f>
        <v>0</v>
      </c>
      <c r="EE85" s="158" t="n">
        <f aca="false">IF(EE6=Assumption!$E$22,ED86+EE84,0)</f>
        <v>0</v>
      </c>
      <c r="EF85" s="158" t="n">
        <f aca="false">IF(EF6=Assumption!$E$22,EE86+EF84,0)</f>
        <v>0</v>
      </c>
    </row>
    <row r="86" customFormat="false" ht="15" hidden="false" customHeight="false" outlineLevel="0" collapsed="false">
      <c r="A86" s="35" t="s">
        <v>546</v>
      </c>
      <c r="B86" s="241" t="s">
        <v>116</v>
      </c>
      <c r="C86" s="242" t="n">
        <f aca="false">MAX(E86:EF86)</f>
        <v>941952</v>
      </c>
      <c r="E86" s="158" t="n">
        <f aca="false">0+E84-E85</f>
        <v>0</v>
      </c>
      <c r="F86" s="158" t="n">
        <f aca="false">E86+F84-F85</f>
        <v>0</v>
      </c>
      <c r="G86" s="158" t="n">
        <f aca="false">F86+G84-G85</f>
        <v>0</v>
      </c>
      <c r="H86" s="158" t="n">
        <f aca="false">G86+H84-H85</f>
        <v>0</v>
      </c>
      <c r="I86" s="158" t="n">
        <f aca="false">H86+I84-I85</f>
        <v>0</v>
      </c>
      <c r="J86" s="158" t="n">
        <f aca="false">I86+J84-J85</f>
        <v>0</v>
      </c>
      <c r="K86" s="158" t="n">
        <f aca="false">J86+K84-K85</f>
        <v>0</v>
      </c>
      <c r="L86" s="158" t="n">
        <f aca="false">K86+L84-L85</f>
        <v>0</v>
      </c>
      <c r="M86" s="158" t="n">
        <f aca="false">L86+M84-M85</f>
        <v>0</v>
      </c>
      <c r="N86" s="158" t="n">
        <f aca="false">M86+N84-N85</f>
        <v>0</v>
      </c>
      <c r="O86" s="158" t="n">
        <f aca="false">N86+O84-O85</f>
        <v>0</v>
      </c>
      <c r="P86" s="158" t="n">
        <f aca="false">O86+P84-P85</f>
        <v>0</v>
      </c>
      <c r="Q86" s="158" t="n">
        <f aca="false">P86+Q84-Q85</f>
        <v>68060.16</v>
      </c>
      <c r="R86" s="158" t="n">
        <f aca="false">Q86+R84-R85</f>
        <v>68060.16</v>
      </c>
      <c r="S86" s="158" t="n">
        <f aca="false">R86+S84-S85</f>
        <v>68060.16</v>
      </c>
      <c r="T86" s="158" t="n">
        <f aca="false">S86+T84-T85</f>
        <v>68060.16</v>
      </c>
      <c r="U86" s="158" t="n">
        <f aca="false">T86+U84-U85</f>
        <v>68060.16</v>
      </c>
      <c r="V86" s="158" t="n">
        <f aca="false">U86+V84-V85</f>
        <v>68060.16</v>
      </c>
      <c r="W86" s="158" t="n">
        <f aca="false">V86+W84-W85</f>
        <v>68060.16</v>
      </c>
      <c r="X86" s="158" t="n">
        <f aca="false">W86+X84-X85</f>
        <v>68060.16</v>
      </c>
      <c r="Y86" s="158" t="n">
        <f aca="false">X86+Y84-Y85</f>
        <v>68060.16</v>
      </c>
      <c r="Z86" s="158" t="n">
        <f aca="false">Y86+Z84-Z85</f>
        <v>68060.16</v>
      </c>
      <c r="AA86" s="158" t="n">
        <f aca="false">Z86+AA84-AA85</f>
        <v>68060.16</v>
      </c>
      <c r="AB86" s="158" t="n">
        <f aca="false">AA86+AB84-AB85</f>
        <v>68060.16</v>
      </c>
      <c r="AC86" s="158" t="n">
        <f aca="false">AB86+AC84-AC85</f>
        <v>204180.48</v>
      </c>
      <c r="AD86" s="158" t="n">
        <f aca="false">AC86+AD84-AD85</f>
        <v>204180.48</v>
      </c>
      <c r="AE86" s="158" t="n">
        <f aca="false">AD86+AE84-AE85</f>
        <v>204180.48</v>
      </c>
      <c r="AF86" s="158" t="n">
        <f aca="false">AE86+AF84-AF85</f>
        <v>204180.48</v>
      </c>
      <c r="AG86" s="158" t="n">
        <f aca="false">AF86+AG84-AG85</f>
        <v>204180.48</v>
      </c>
      <c r="AH86" s="158" t="n">
        <f aca="false">AG86+AH84-AH85</f>
        <v>204180.48</v>
      </c>
      <c r="AI86" s="158" t="n">
        <f aca="false">AH86+AI84-AI85</f>
        <v>204180.48</v>
      </c>
      <c r="AJ86" s="158" t="n">
        <f aca="false">AI86+AJ84-AJ85</f>
        <v>204180.48</v>
      </c>
      <c r="AK86" s="158" t="n">
        <f aca="false">AJ86+AK84-AK85</f>
        <v>204180.48</v>
      </c>
      <c r="AL86" s="158" t="n">
        <f aca="false">AK86+AL84-AL85</f>
        <v>204180.48</v>
      </c>
      <c r="AM86" s="158" t="n">
        <f aca="false">AL86+AM84-AM85</f>
        <v>204180.48</v>
      </c>
      <c r="AN86" s="158" t="n">
        <f aca="false">AM86+AN84-AN85</f>
        <v>204180.48</v>
      </c>
      <c r="AO86" s="158" t="n">
        <f aca="false">AN86+AO84-AO85</f>
        <v>340300.8</v>
      </c>
      <c r="AP86" s="158" t="n">
        <f aca="false">AO86+AP84-AP85</f>
        <v>340300.8</v>
      </c>
      <c r="AQ86" s="158" t="n">
        <f aca="false">AP86+AQ84-AQ85</f>
        <v>340300.8</v>
      </c>
      <c r="AR86" s="158" t="n">
        <f aca="false">AQ86+AR84-AR85</f>
        <v>340300.8</v>
      </c>
      <c r="AS86" s="158" t="n">
        <f aca="false">AR86+AS84-AS85</f>
        <v>340300.8</v>
      </c>
      <c r="AT86" s="158" t="n">
        <f aca="false">AS86+AT84-AT85</f>
        <v>340300.8</v>
      </c>
      <c r="AU86" s="158" t="n">
        <f aca="false">AT86+AU84-AU85</f>
        <v>340300.8</v>
      </c>
      <c r="AV86" s="158" t="n">
        <f aca="false">AU86+AV84-AV85</f>
        <v>340300.8</v>
      </c>
      <c r="AW86" s="158" t="n">
        <f aca="false">AV86+AW84-AW85</f>
        <v>340300.8</v>
      </c>
      <c r="AX86" s="158" t="n">
        <f aca="false">AW86+AX84-AX85</f>
        <v>340300.8</v>
      </c>
      <c r="AY86" s="158" t="n">
        <f aca="false">AX86+AY84-AY85</f>
        <v>340300.8</v>
      </c>
      <c r="AZ86" s="158" t="n">
        <f aca="false">AY86+AZ84-AZ85</f>
        <v>340300.8</v>
      </c>
      <c r="BA86" s="158" t="n">
        <f aca="false">AZ86+BA84-BA85</f>
        <v>476421.12</v>
      </c>
      <c r="BB86" s="158" t="n">
        <f aca="false">BA86+BB84-BB85</f>
        <v>476421.12</v>
      </c>
      <c r="BC86" s="158" t="n">
        <f aca="false">BB86+BC84-BC85</f>
        <v>476421.12</v>
      </c>
      <c r="BD86" s="158" t="n">
        <f aca="false">BC86+BD84-BD85</f>
        <v>476421.12</v>
      </c>
      <c r="BE86" s="158" t="n">
        <f aca="false">BD86+BE84-BE85</f>
        <v>476421.12</v>
      </c>
      <c r="BF86" s="158" t="n">
        <f aca="false">BE86+BF84-BF85</f>
        <v>476421.12</v>
      </c>
      <c r="BG86" s="158" t="n">
        <f aca="false">BF86+BG84-BG85</f>
        <v>476421.12</v>
      </c>
      <c r="BH86" s="158" t="n">
        <f aca="false">BG86+BH84-BH85</f>
        <v>476421.12</v>
      </c>
      <c r="BI86" s="158" t="n">
        <f aca="false">BH86+BI84-BI85</f>
        <v>476421.12</v>
      </c>
      <c r="BJ86" s="158" t="n">
        <f aca="false">BI86+BJ84-BJ85</f>
        <v>476421.12</v>
      </c>
      <c r="BK86" s="158" t="n">
        <f aca="false">BJ86+BK84-BK85</f>
        <v>476421.12</v>
      </c>
      <c r="BL86" s="158" t="n">
        <f aca="false">BK86+BL84-BL85</f>
        <v>476421.12</v>
      </c>
      <c r="BM86" s="158" t="n">
        <f aca="false">BL86+BM84-BM85</f>
        <v>745401.6</v>
      </c>
      <c r="BN86" s="158" t="n">
        <f aca="false">BM86+BN84-BN85</f>
        <v>745401.6</v>
      </c>
      <c r="BO86" s="158" t="n">
        <f aca="false">BN86+BO84-BO85</f>
        <v>745401.6</v>
      </c>
      <c r="BP86" s="158" t="n">
        <f aca="false">BO86+BP84-BP85</f>
        <v>745401.6</v>
      </c>
      <c r="BQ86" s="158" t="n">
        <f aca="false">BP86+BQ84-BQ85</f>
        <v>745401.6</v>
      </c>
      <c r="BR86" s="158" t="n">
        <f aca="false">BQ86+BR84-BR85</f>
        <v>745401.6</v>
      </c>
      <c r="BS86" s="158" t="n">
        <f aca="false">BR86+BS84-BS85</f>
        <v>745401.6</v>
      </c>
      <c r="BT86" s="158" t="n">
        <f aca="false">BS86+BT84-BT85</f>
        <v>745401.6</v>
      </c>
      <c r="BU86" s="158" t="n">
        <f aca="false">BT86+BU84-BU85</f>
        <v>745401.6</v>
      </c>
      <c r="BV86" s="158" t="n">
        <f aca="false">BU86+BV84-BV85</f>
        <v>745401.6</v>
      </c>
      <c r="BW86" s="158" t="n">
        <f aca="false">BV86+BW84-BW85</f>
        <v>745401.6</v>
      </c>
      <c r="BX86" s="158" t="n">
        <f aca="false">BW86+BX84-BX85</f>
        <v>745401.6</v>
      </c>
      <c r="BY86" s="158" t="n">
        <f aca="false">BX86+BY84-BY85</f>
        <v>928752</v>
      </c>
      <c r="BZ86" s="158" t="n">
        <f aca="false">BY86+BZ84-BZ85</f>
        <v>928752</v>
      </c>
      <c r="CA86" s="158" t="n">
        <f aca="false">BZ86+CA84-CA85</f>
        <v>928752</v>
      </c>
      <c r="CB86" s="158" t="n">
        <f aca="false">CA86+CB84-CB85</f>
        <v>928752</v>
      </c>
      <c r="CC86" s="158" t="n">
        <f aca="false">CB86+CC84-CC85</f>
        <v>928752</v>
      </c>
      <c r="CD86" s="158" t="n">
        <f aca="false">CC86+CD84-CD85</f>
        <v>928752</v>
      </c>
      <c r="CE86" s="158" t="n">
        <f aca="false">CD86+CE84-CE85</f>
        <v>928752</v>
      </c>
      <c r="CF86" s="158" t="n">
        <f aca="false">CE86+CF84-CF85</f>
        <v>928752</v>
      </c>
      <c r="CG86" s="158" t="n">
        <f aca="false">CF86+CG84-CG85</f>
        <v>928752</v>
      </c>
      <c r="CH86" s="158" t="n">
        <f aca="false">CG86+CH84-CH85</f>
        <v>928752</v>
      </c>
      <c r="CI86" s="158" t="n">
        <f aca="false">CH86+CI84-CI85</f>
        <v>928752</v>
      </c>
      <c r="CJ86" s="158" t="n">
        <f aca="false">CI86+CJ84-CJ85</f>
        <v>928752</v>
      </c>
      <c r="CK86" s="158" t="n">
        <f aca="false">CJ86+CK84-CK85</f>
        <v>941952</v>
      </c>
      <c r="CL86" s="158" t="n">
        <f aca="false">CK86+CL84-CL85</f>
        <v>941952</v>
      </c>
      <c r="CM86" s="158" t="n">
        <f aca="false">CL86+CM84-CM85</f>
        <v>941952</v>
      </c>
      <c r="CN86" s="158" t="n">
        <f aca="false">CM86+CN84-CN85</f>
        <v>941952</v>
      </c>
      <c r="CO86" s="158" t="n">
        <f aca="false">CN86+CO84-CO85</f>
        <v>941952</v>
      </c>
      <c r="CP86" s="158" t="n">
        <f aca="false">CO86+CP84-CP85</f>
        <v>941952</v>
      </c>
      <c r="CQ86" s="158" t="n">
        <f aca="false">CP86+CQ84-CQ85</f>
        <v>941952</v>
      </c>
      <c r="CR86" s="158" t="n">
        <f aca="false">CQ86+CR84-CR85</f>
        <v>941952</v>
      </c>
      <c r="CS86" s="158" t="n">
        <f aca="false">CR86+CS84-CS85</f>
        <v>941952</v>
      </c>
      <c r="CT86" s="158" t="n">
        <f aca="false">CS86+CT84-CT85</f>
        <v>941952</v>
      </c>
      <c r="CU86" s="158" t="n">
        <f aca="false">CT86+CU84-CU85</f>
        <v>941952</v>
      </c>
      <c r="CV86" s="158" t="n">
        <f aca="false">CU86+CV84-CV85</f>
        <v>941952</v>
      </c>
      <c r="CW86" s="158" t="n">
        <f aca="false">CV86+CW84-CW85</f>
        <v>941952</v>
      </c>
      <c r="CX86" s="158" t="n">
        <f aca="false">CW86+CX84-CX85</f>
        <v>941952</v>
      </c>
      <c r="CY86" s="158" t="n">
        <f aca="false">CX86+CY84-CY85</f>
        <v>941952</v>
      </c>
      <c r="CZ86" s="158" t="n">
        <f aca="false">CY86+CZ84-CZ85</f>
        <v>941952</v>
      </c>
      <c r="DA86" s="158" t="n">
        <f aca="false">CZ86+DA84-DA85</f>
        <v>941952</v>
      </c>
      <c r="DB86" s="158" t="n">
        <f aca="false">DA86+DB84-DB85</f>
        <v>941952</v>
      </c>
      <c r="DC86" s="158" t="n">
        <f aca="false">DB86+DC84-DC85</f>
        <v>941952</v>
      </c>
      <c r="DD86" s="158" t="n">
        <f aca="false">DC86+DD84-DD85</f>
        <v>941952</v>
      </c>
      <c r="DE86" s="158" t="n">
        <f aca="false">DD86+DE84-DE85</f>
        <v>941952</v>
      </c>
      <c r="DF86" s="158" t="n">
        <f aca="false">DE86+DF84-DF85</f>
        <v>941952</v>
      </c>
      <c r="DG86" s="158" t="n">
        <f aca="false">DF86+DG84-DG85</f>
        <v>941952</v>
      </c>
      <c r="DH86" s="158" t="n">
        <f aca="false">DG86+DH84-DH85</f>
        <v>941952</v>
      </c>
      <c r="DI86" s="158" t="n">
        <f aca="false">DH86+DI84-DI85</f>
        <v>941952</v>
      </c>
      <c r="DJ86" s="158" t="n">
        <f aca="false">DI86+DJ84-DJ85</f>
        <v>941952</v>
      </c>
      <c r="DK86" s="158" t="n">
        <f aca="false">DJ86+DK84-DK85</f>
        <v>941952</v>
      </c>
      <c r="DL86" s="158" t="n">
        <f aca="false">DK86+DL84-DL85</f>
        <v>941952</v>
      </c>
      <c r="DM86" s="158" t="n">
        <f aca="false">DL86+DM84-DM85</f>
        <v>941952</v>
      </c>
      <c r="DN86" s="158" t="n">
        <f aca="false">DM86+DN84-DN85</f>
        <v>941952</v>
      </c>
      <c r="DO86" s="158" t="n">
        <f aca="false">DN86+DO84-DO85</f>
        <v>941952</v>
      </c>
      <c r="DP86" s="158" t="n">
        <f aca="false">DO86+DP84-DP85</f>
        <v>941952</v>
      </c>
      <c r="DQ86" s="158" t="n">
        <f aca="false">DP86+DQ84-DQ85</f>
        <v>941952</v>
      </c>
      <c r="DR86" s="158" t="n">
        <f aca="false">DQ86+DR84-DR85</f>
        <v>941952</v>
      </c>
      <c r="DS86" s="158" t="n">
        <f aca="false">DR86+DS84-DS85</f>
        <v>941952</v>
      </c>
      <c r="DT86" s="158" t="n">
        <f aca="false">DS86+DT84-DT85</f>
        <v>0</v>
      </c>
      <c r="DU86" s="158" t="n">
        <f aca="false">DT86+DU84-DU85</f>
        <v>0</v>
      </c>
      <c r="DV86" s="158" t="n">
        <f aca="false">DU86+DV84-DV85</f>
        <v>0</v>
      </c>
      <c r="DW86" s="158" t="n">
        <f aca="false">DV86+DW84-DW85</f>
        <v>0</v>
      </c>
      <c r="DX86" s="158" t="n">
        <f aca="false">DW86+DX84-DX85</f>
        <v>0</v>
      </c>
      <c r="DY86" s="158" t="n">
        <f aca="false">DX86+DY84-DY85</f>
        <v>0</v>
      </c>
      <c r="DZ86" s="158" t="n">
        <f aca="false">DY86+DZ84-DZ85</f>
        <v>0</v>
      </c>
      <c r="EA86" s="158" t="n">
        <f aca="false">DZ86+EA84-EA85</f>
        <v>0</v>
      </c>
      <c r="EB86" s="158" t="n">
        <f aca="false">EA86+EB84-EB85</f>
        <v>0</v>
      </c>
      <c r="EC86" s="158" t="n">
        <f aca="false">EB86+EC84-EC85</f>
        <v>0</v>
      </c>
      <c r="ED86" s="158" t="n">
        <f aca="false">EC86+ED84-ED85</f>
        <v>0</v>
      </c>
      <c r="EE86" s="158" t="n">
        <f aca="false">ED86+EE84-EE85</f>
        <v>0</v>
      </c>
      <c r="EF86" s="158" t="n">
        <f aca="false">EE86+EF84-EF85</f>
        <v>0</v>
      </c>
    </row>
    <row r="88" customFormat="false" ht="15" hidden="false" customHeight="false" outlineLevel="0" collapsed="false">
      <c r="A88" s="176" t="s">
        <v>547</v>
      </c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/>
      <c r="DJ88" s="86"/>
      <c r="DK88" s="86"/>
      <c r="DL88" s="86"/>
      <c r="DM88" s="86"/>
      <c r="DN88" s="86"/>
      <c r="DO88" s="86"/>
      <c r="DP88" s="86"/>
      <c r="DQ88" s="86"/>
      <c r="DR88" s="86"/>
      <c r="DS88" s="86"/>
      <c r="DT88" s="86"/>
      <c r="DU88" s="86"/>
      <c r="DV88" s="86"/>
      <c r="DW88" s="86"/>
      <c r="DX88" s="86"/>
      <c r="DY88" s="86"/>
      <c r="DZ88" s="86"/>
      <c r="EA88" s="86"/>
      <c r="EB88" s="86"/>
      <c r="EC88" s="86"/>
      <c r="ED88" s="86"/>
      <c r="EE88" s="86"/>
      <c r="EF88" s="86"/>
    </row>
    <row r="89" customFormat="false" ht="15" hidden="false" customHeight="false" outlineLevel="0" collapsed="false">
      <c r="A89" s="35" t="s">
        <v>548</v>
      </c>
      <c r="B89" s="241" t="s">
        <v>116</v>
      </c>
      <c r="C89" s="242" t="n">
        <f aca="false">SUM(E89:EF89)</f>
        <v>11000</v>
      </c>
      <c r="E89" s="158" t="n">
        <f aca="false">IF(E6=Assumption!$E$10,Assumption!$R$342*Assumption!$D$538,0)</f>
        <v>0</v>
      </c>
      <c r="F89" s="158" t="n">
        <f aca="false">IF(F6=Assumption!$E$10,Assumption!$R$342*Assumption!$D$538,0)</f>
        <v>0</v>
      </c>
      <c r="G89" s="158" t="n">
        <f aca="false">IF(G6=Assumption!$E$10,Assumption!$R$342*Assumption!$D$538,0)</f>
        <v>0</v>
      </c>
      <c r="H89" s="158" t="n">
        <f aca="false">IF(H6=Assumption!$E$10,Assumption!$R$342*Assumption!$D$538,0)</f>
        <v>11000</v>
      </c>
      <c r="I89" s="158" t="n">
        <f aca="false">IF(I6=Assumption!$E$10,Assumption!$R$342*Assumption!$D$538,0)</f>
        <v>0</v>
      </c>
      <c r="J89" s="158" t="n">
        <f aca="false">IF(J6=Assumption!$E$10,Assumption!$R$342*Assumption!$D$538,0)</f>
        <v>0</v>
      </c>
      <c r="K89" s="158" t="n">
        <f aca="false">IF(K6=Assumption!$E$10,Assumption!$R$342*Assumption!$D$538,0)</f>
        <v>0</v>
      </c>
      <c r="L89" s="158" t="n">
        <f aca="false">IF(L6=Assumption!$E$10,Assumption!$R$342*Assumption!$D$538,0)</f>
        <v>0</v>
      </c>
      <c r="M89" s="158" t="n">
        <f aca="false">IF(M6=Assumption!$E$10,Assumption!$R$342*Assumption!$D$538,0)</f>
        <v>0</v>
      </c>
      <c r="N89" s="158" t="n">
        <f aca="false">IF(N6=Assumption!$E$10,Assumption!$R$342*Assumption!$D$538,0)</f>
        <v>0</v>
      </c>
      <c r="O89" s="158" t="n">
        <f aca="false">IF(O6=Assumption!$E$10,Assumption!$R$342*Assumption!$D$538,0)</f>
        <v>0</v>
      </c>
      <c r="P89" s="158" t="n">
        <f aca="false">IF(P6=Assumption!$E$10,Assumption!$R$342*Assumption!$D$538,0)</f>
        <v>0</v>
      </c>
      <c r="Q89" s="158" t="n">
        <f aca="false">IF(Q6=Assumption!$E$10,Assumption!$R$342*Assumption!$D$538,0)</f>
        <v>0</v>
      </c>
      <c r="R89" s="158" t="n">
        <f aca="false">IF(R6=Assumption!$E$10,Assumption!$R$342*Assumption!$D$538,0)</f>
        <v>0</v>
      </c>
      <c r="S89" s="158" t="n">
        <f aca="false">IF(S6=Assumption!$E$10,Assumption!$R$342*Assumption!$D$538,0)</f>
        <v>0</v>
      </c>
      <c r="T89" s="158" t="n">
        <f aca="false">IF(T6=Assumption!$E$10,Assumption!$R$342*Assumption!$D$538,0)</f>
        <v>0</v>
      </c>
      <c r="U89" s="158" t="n">
        <f aca="false">IF(U6=Assumption!$E$10,Assumption!$R$342*Assumption!$D$538,0)</f>
        <v>0</v>
      </c>
      <c r="V89" s="158" t="n">
        <f aca="false">IF(V6=Assumption!$E$10,Assumption!$R$342*Assumption!$D$538,0)</f>
        <v>0</v>
      </c>
      <c r="W89" s="158" t="n">
        <f aca="false">IF(W6=Assumption!$E$10,Assumption!$R$342*Assumption!$D$538,0)</f>
        <v>0</v>
      </c>
      <c r="X89" s="158" t="n">
        <f aca="false">IF(X6=Assumption!$E$10,Assumption!$R$342*Assumption!$D$538,0)</f>
        <v>0</v>
      </c>
      <c r="Y89" s="158" t="n">
        <f aca="false">IF(Y6=Assumption!$E$10,Assumption!$R$342*Assumption!$D$538,0)</f>
        <v>0</v>
      </c>
      <c r="Z89" s="158" t="n">
        <f aca="false">IF(Z6=Assumption!$E$10,Assumption!$R$342*Assumption!$D$538,0)</f>
        <v>0</v>
      </c>
      <c r="AA89" s="158" t="n">
        <f aca="false">IF(AA6=Assumption!$E$10,Assumption!$R$342*Assumption!$D$538,0)</f>
        <v>0</v>
      </c>
      <c r="AB89" s="158" t="n">
        <f aca="false">IF(AB6=Assumption!$E$10,Assumption!$R$342*Assumption!$D$538,0)</f>
        <v>0</v>
      </c>
      <c r="AC89" s="158" t="n">
        <f aca="false">IF(AC6=Assumption!$E$10,Assumption!$R$342*Assumption!$D$538,0)</f>
        <v>0</v>
      </c>
      <c r="AD89" s="158" t="n">
        <f aca="false">IF(AD6=Assumption!$E$10,Assumption!$R$342*Assumption!$D$538,0)</f>
        <v>0</v>
      </c>
      <c r="AE89" s="158" t="n">
        <f aca="false">IF(AE6=Assumption!$E$10,Assumption!$R$342*Assumption!$D$538,0)</f>
        <v>0</v>
      </c>
      <c r="AF89" s="158" t="n">
        <f aca="false">IF(AF6=Assumption!$E$10,Assumption!$R$342*Assumption!$D$538,0)</f>
        <v>0</v>
      </c>
      <c r="AG89" s="158" t="n">
        <f aca="false">IF(AG6=Assumption!$E$10,Assumption!$R$342*Assumption!$D$538,0)</f>
        <v>0</v>
      </c>
      <c r="AH89" s="158" t="n">
        <f aca="false">IF(AH6=Assumption!$E$10,Assumption!$R$342*Assumption!$D$538,0)</f>
        <v>0</v>
      </c>
      <c r="AI89" s="158" t="n">
        <f aca="false">IF(AI6=Assumption!$E$10,Assumption!$R$342*Assumption!$D$538,0)</f>
        <v>0</v>
      </c>
      <c r="AJ89" s="158" t="n">
        <f aca="false">IF(AJ6=Assumption!$E$10,Assumption!$R$342*Assumption!$D$538,0)</f>
        <v>0</v>
      </c>
      <c r="AK89" s="158" t="n">
        <f aca="false">IF(AK6=Assumption!$E$10,Assumption!$R$342*Assumption!$D$538,0)</f>
        <v>0</v>
      </c>
      <c r="AL89" s="158" t="n">
        <f aca="false">IF(AL6=Assumption!$E$10,Assumption!$R$342*Assumption!$D$538,0)</f>
        <v>0</v>
      </c>
      <c r="AM89" s="158" t="n">
        <f aca="false">IF(AM6=Assumption!$E$10,Assumption!$R$342*Assumption!$D$538,0)</f>
        <v>0</v>
      </c>
      <c r="AN89" s="158" t="n">
        <f aca="false">IF(AN6=Assumption!$E$10,Assumption!$R$342*Assumption!$D$538,0)</f>
        <v>0</v>
      </c>
      <c r="AO89" s="158" t="n">
        <f aca="false">IF(AO6=Assumption!$E$10,Assumption!$R$342*Assumption!$D$538,0)</f>
        <v>0</v>
      </c>
      <c r="AP89" s="158" t="n">
        <f aca="false">IF(AP6=Assumption!$E$10,Assumption!$R$342*Assumption!$D$538,0)</f>
        <v>0</v>
      </c>
      <c r="AQ89" s="158" t="n">
        <f aca="false">IF(AQ6=Assumption!$E$10,Assumption!$R$342*Assumption!$D$538,0)</f>
        <v>0</v>
      </c>
      <c r="AR89" s="158" t="n">
        <f aca="false">IF(AR6=Assumption!$E$10,Assumption!$R$342*Assumption!$D$538,0)</f>
        <v>0</v>
      </c>
      <c r="AS89" s="158" t="n">
        <f aca="false">IF(AS6=Assumption!$E$10,Assumption!$R$342*Assumption!$D$538,0)</f>
        <v>0</v>
      </c>
      <c r="AT89" s="158" t="n">
        <f aca="false">IF(AT6=Assumption!$E$10,Assumption!$R$342*Assumption!$D$538,0)</f>
        <v>0</v>
      </c>
      <c r="AU89" s="158" t="n">
        <f aca="false">IF(AU6=Assumption!$E$10,Assumption!$R$342*Assumption!$D$538,0)</f>
        <v>0</v>
      </c>
      <c r="AV89" s="158" t="n">
        <f aca="false">IF(AV6=Assumption!$E$10,Assumption!$R$342*Assumption!$D$538,0)</f>
        <v>0</v>
      </c>
      <c r="AW89" s="158" t="n">
        <f aca="false">IF(AW6=Assumption!$E$10,Assumption!$R$342*Assumption!$D$538,0)</f>
        <v>0</v>
      </c>
      <c r="AX89" s="158" t="n">
        <f aca="false">IF(AX6=Assumption!$E$10,Assumption!$R$342*Assumption!$D$538,0)</f>
        <v>0</v>
      </c>
      <c r="AY89" s="158" t="n">
        <f aca="false">IF(AY6=Assumption!$E$10,Assumption!$R$342*Assumption!$D$538,0)</f>
        <v>0</v>
      </c>
      <c r="AZ89" s="158" t="n">
        <f aca="false">IF(AZ6=Assumption!$E$10,Assumption!$R$342*Assumption!$D$538,0)</f>
        <v>0</v>
      </c>
      <c r="BA89" s="158" t="n">
        <f aca="false">IF(BA6=Assumption!$E$10,Assumption!$R$342*Assumption!$D$538,0)</f>
        <v>0</v>
      </c>
      <c r="BB89" s="158" t="n">
        <f aca="false">IF(BB6=Assumption!$E$10,Assumption!$R$342*Assumption!$D$538,0)</f>
        <v>0</v>
      </c>
      <c r="BC89" s="158" t="n">
        <f aca="false">IF(BC6=Assumption!$E$10,Assumption!$R$342*Assumption!$D$538,0)</f>
        <v>0</v>
      </c>
      <c r="BD89" s="158" t="n">
        <f aca="false">IF(BD6=Assumption!$E$10,Assumption!$R$342*Assumption!$D$538,0)</f>
        <v>0</v>
      </c>
      <c r="BE89" s="158" t="n">
        <f aca="false">IF(BE6=Assumption!$E$10,Assumption!$R$342*Assumption!$D$538,0)</f>
        <v>0</v>
      </c>
      <c r="BF89" s="158" t="n">
        <f aca="false">IF(BF6=Assumption!$E$10,Assumption!$R$342*Assumption!$D$538,0)</f>
        <v>0</v>
      </c>
      <c r="BG89" s="158" t="n">
        <f aca="false">IF(BG6=Assumption!$E$10,Assumption!$R$342*Assumption!$D$538,0)</f>
        <v>0</v>
      </c>
      <c r="BH89" s="158" t="n">
        <f aca="false">IF(BH6=Assumption!$E$10,Assumption!$R$342*Assumption!$D$538,0)</f>
        <v>0</v>
      </c>
      <c r="BI89" s="158" t="n">
        <f aca="false">IF(BI6=Assumption!$E$10,Assumption!$R$342*Assumption!$D$538,0)</f>
        <v>0</v>
      </c>
      <c r="BJ89" s="158" t="n">
        <f aca="false">IF(BJ6=Assumption!$E$10,Assumption!$R$342*Assumption!$D$538,0)</f>
        <v>0</v>
      </c>
      <c r="BK89" s="158" t="n">
        <f aca="false">IF(BK6=Assumption!$E$10,Assumption!$R$342*Assumption!$D$538,0)</f>
        <v>0</v>
      </c>
      <c r="BL89" s="158" t="n">
        <f aca="false">IF(BL6=Assumption!$E$10,Assumption!$R$342*Assumption!$D$538,0)</f>
        <v>0</v>
      </c>
      <c r="BM89" s="158" t="n">
        <f aca="false">IF(BM6=Assumption!$E$10,Assumption!$R$342*Assumption!$D$538,0)</f>
        <v>0</v>
      </c>
      <c r="BN89" s="158" t="n">
        <f aca="false">IF(BN6=Assumption!$E$10,Assumption!$R$342*Assumption!$D$538,0)</f>
        <v>0</v>
      </c>
      <c r="BO89" s="158" t="n">
        <f aca="false">IF(BO6=Assumption!$E$10,Assumption!$R$342*Assumption!$D$538,0)</f>
        <v>0</v>
      </c>
      <c r="BP89" s="158" t="n">
        <f aca="false">IF(BP6=Assumption!$E$10,Assumption!$R$342*Assumption!$D$538,0)</f>
        <v>0</v>
      </c>
      <c r="BQ89" s="158" t="n">
        <f aca="false">IF(BQ6=Assumption!$E$10,Assumption!$R$342*Assumption!$D$538,0)</f>
        <v>0</v>
      </c>
      <c r="BR89" s="158" t="n">
        <f aca="false">IF(BR6=Assumption!$E$10,Assumption!$R$342*Assumption!$D$538,0)</f>
        <v>0</v>
      </c>
      <c r="BS89" s="158" t="n">
        <f aca="false">IF(BS6=Assumption!$E$10,Assumption!$R$342*Assumption!$D$538,0)</f>
        <v>0</v>
      </c>
      <c r="BT89" s="158" t="n">
        <f aca="false">IF(BT6=Assumption!$E$10,Assumption!$R$342*Assumption!$D$538,0)</f>
        <v>0</v>
      </c>
      <c r="BU89" s="158" t="n">
        <f aca="false">IF(BU6=Assumption!$E$10,Assumption!$R$342*Assumption!$D$538,0)</f>
        <v>0</v>
      </c>
      <c r="BV89" s="158" t="n">
        <f aca="false">IF(BV6=Assumption!$E$10,Assumption!$R$342*Assumption!$D$538,0)</f>
        <v>0</v>
      </c>
      <c r="BW89" s="158" t="n">
        <f aca="false">IF(BW6=Assumption!$E$10,Assumption!$R$342*Assumption!$D$538,0)</f>
        <v>0</v>
      </c>
      <c r="BX89" s="158" t="n">
        <f aca="false">IF(BX6=Assumption!$E$10,Assumption!$R$342*Assumption!$D$538,0)</f>
        <v>0</v>
      </c>
      <c r="BY89" s="158" t="n">
        <f aca="false">IF(BY6=Assumption!$E$10,Assumption!$R$342*Assumption!$D$538,0)</f>
        <v>0</v>
      </c>
      <c r="BZ89" s="158" t="n">
        <f aca="false">IF(BZ6=Assumption!$E$10,Assumption!$R$342*Assumption!$D$538,0)</f>
        <v>0</v>
      </c>
      <c r="CA89" s="158" t="n">
        <f aca="false">IF(CA6=Assumption!$E$10,Assumption!$R$342*Assumption!$D$538,0)</f>
        <v>0</v>
      </c>
      <c r="CB89" s="158" t="n">
        <f aca="false">IF(CB6=Assumption!$E$10,Assumption!$R$342*Assumption!$D$538,0)</f>
        <v>0</v>
      </c>
      <c r="CC89" s="158" t="n">
        <f aca="false">IF(CC6=Assumption!$E$10,Assumption!$R$342*Assumption!$D$538,0)</f>
        <v>0</v>
      </c>
      <c r="CD89" s="158" t="n">
        <f aca="false">IF(CD6=Assumption!$E$10,Assumption!$R$342*Assumption!$D$538,0)</f>
        <v>0</v>
      </c>
      <c r="CE89" s="158" t="n">
        <f aca="false">IF(CE6=Assumption!$E$10,Assumption!$R$342*Assumption!$D$538,0)</f>
        <v>0</v>
      </c>
      <c r="CF89" s="158" t="n">
        <f aca="false">IF(CF6=Assumption!$E$10,Assumption!$R$342*Assumption!$D$538,0)</f>
        <v>0</v>
      </c>
      <c r="CG89" s="158" t="n">
        <f aca="false">IF(CG6=Assumption!$E$10,Assumption!$R$342*Assumption!$D$538,0)</f>
        <v>0</v>
      </c>
      <c r="CH89" s="158" t="n">
        <f aca="false">IF(CH6=Assumption!$E$10,Assumption!$R$342*Assumption!$D$538,0)</f>
        <v>0</v>
      </c>
      <c r="CI89" s="158" t="n">
        <f aca="false">IF(CI6=Assumption!$E$10,Assumption!$R$342*Assumption!$D$538,0)</f>
        <v>0</v>
      </c>
      <c r="CJ89" s="158" t="n">
        <f aca="false">IF(CJ6=Assumption!$E$10,Assumption!$R$342*Assumption!$D$538,0)</f>
        <v>0</v>
      </c>
      <c r="CK89" s="158" t="n">
        <f aca="false">IF(CK6=Assumption!$E$10,Assumption!$R$342*Assumption!$D$538,0)</f>
        <v>0</v>
      </c>
      <c r="CL89" s="158" t="n">
        <f aca="false">IF(CL6=Assumption!$E$10,Assumption!$R$342*Assumption!$D$538,0)</f>
        <v>0</v>
      </c>
      <c r="CM89" s="158" t="n">
        <f aca="false">IF(CM6=Assumption!$E$10,Assumption!$R$342*Assumption!$D$538,0)</f>
        <v>0</v>
      </c>
      <c r="CN89" s="158" t="n">
        <f aca="false">IF(CN6=Assumption!$E$10,Assumption!$R$342*Assumption!$D$538,0)</f>
        <v>0</v>
      </c>
      <c r="CO89" s="158" t="n">
        <f aca="false">IF(CO6=Assumption!$E$10,Assumption!$R$342*Assumption!$D$538,0)</f>
        <v>0</v>
      </c>
      <c r="CP89" s="158" t="n">
        <f aca="false">IF(CP6=Assumption!$E$10,Assumption!$R$342*Assumption!$D$538,0)</f>
        <v>0</v>
      </c>
      <c r="CQ89" s="158" t="n">
        <f aca="false">IF(CQ6=Assumption!$E$10,Assumption!$R$342*Assumption!$D$538,0)</f>
        <v>0</v>
      </c>
      <c r="CR89" s="158" t="n">
        <f aca="false">IF(CR6=Assumption!$E$10,Assumption!$R$342*Assumption!$D$538,0)</f>
        <v>0</v>
      </c>
      <c r="CS89" s="158" t="n">
        <f aca="false">IF(CS6=Assumption!$E$10,Assumption!$R$342*Assumption!$D$538,0)</f>
        <v>0</v>
      </c>
      <c r="CT89" s="158" t="n">
        <f aca="false">IF(CT6=Assumption!$E$10,Assumption!$R$342*Assumption!$D$538,0)</f>
        <v>0</v>
      </c>
      <c r="CU89" s="158" t="n">
        <f aca="false">IF(CU6=Assumption!$E$10,Assumption!$R$342*Assumption!$D$538,0)</f>
        <v>0</v>
      </c>
      <c r="CV89" s="158" t="n">
        <f aca="false">IF(CV6=Assumption!$E$10,Assumption!$R$342*Assumption!$D$538,0)</f>
        <v>0</v>
      </c>
      <c r="CW89" s="158" t="n">
        <f aca="false">IF(CW6=Assumption!$E$10,Assumption!$R$342*Assumption!$D$538,0)</f>
        <v>0</v>
      </c>
      <c r="CX89" s="158" t="n">
        <f aca="false">IF(CX6=Assumption!$E$10,Assumption!$R$342*Assumption!$D$538,0)</f>
        <v>0</v>
      </c>
      <c r="CY89" s="158" t="n">
        <f aca="false">IF(CY6=Assumption!$E$10,Assumption!$R$342*Assumption!$D$538,0)</f>
        <v>0</v>
      </c>
      <c r="CZ89" s="158" t="n">
        <f aca="false">IF(CZ6=Assumption!$E$10,Assumption!$R$342*Assumption!$D$538,0)</f>
        <v>0</v>
      </c>
      <c r="DA89" s="158" t="n">
        <f aca="false">IF(DA6=Assumption!$E$10,Assumption!$R$342*Assumption!$D$538,0)</f>
        <v>0</v>
      </c>
      <c r="DB89" s="158" t="n">
        <f aca="false">IF(DB6=Assumption!$E$10,Assumption!$R$342*Assumption!$D$538,0)</f>
        <v>0</v>
      </c>
      <c r="DC89" s="158" t="n">
        <f aca="false">IF(DC6=Assumption!$E$10,Assumption!$R$342*Assumption!$D$538,0)</f>
        <v>0</v>
      </c>
      <c r="DD89" s="158" t="n">
        <f aca="false">IF(DD6=Assumption!$E$10,Assumption!$R$342*Assumption!$D$538,0)</f>
        <v>0</v>
      </c>
      <c r="DE89" s="158" t="n">
        <f aca="false">IF(DE6=Assumption!$E$10,Assumption!$R$342*Assumption!$D$538,0)</f>
        <v>0</v>
      </c>
      <c r="DF89" s="158" t="n">
        <f aca="false">IF(DF6=Assumption!$E$10,Assumption!$R$342*Assumption!$D$538,0)</f>
        <v>0</v>
      </c>
      <c r="DG89" s="158" t="n">
        <f aca="false">IF(DG6=Assumption!$E$10,Assumption!$R$342*Assumption!$D$538,0)</f>
        <v>0</v>
      </c>
      <c r="DH89" s="158" t="n">
        <f aca="false">IF(DH6=Assumption!$E$10,Assumption!$R$342*Assumption!$D$538,0)</f>
        <v>0</v>
      </c>
      <c r="DI89" s="158" t="n">
        <f aca="false">IF(DI6=Assumption!$E$10,Assumption!$R$342*Assumption!$D$538,0)</f>
        <v>0</v>
      </c>
      <c r="DJ89" s="158" t="n">
        <f aca="false">IF(DJ6=Assumption!$E$10,Assumption!$R$342*Assumption!$D$538,0)</f>
        <v>0</v>
      </c>
      <c r="DK89" s="158" t="n">
        <f aca="false">IF(DK6=Assumption!$E$10,Assumption!$R$342*Assumption!$D$538,0)</f>
        <v>0</v>
      </c>
      <c r="DL89" s="158" t="n">
        <f aca="false">IF(DL6=Assumption!$E$10,Assumption!$R$342*Assumption!$D$538,0)</f>
        <v>0</v>
      </c>
      <c r="DM89" s="158" t="n">
        <f aca="false">IF(DM6=Assumption!$E$10,Assumption!$R$342*Assumption!$D$538,0)</f>
        <v>0</v>
      </c>
      <c r="DN89" s="158" t="n">
        <f aca="false">IF(DN6=Assumption!$E$10,Assumption!$R$342*Assumption!$D$538,0)</f>
        <v>0</v>
      </c>
      <c r="DO89" s="158" t="n">
        <f aca="false">IF(DO6=Assumption!$E$10,Assumption!$R$342*Assumption!$D$538,0)</f>
        <v>0</v>
      </c>
      <c r="DP89" s="158" t="n">
        <f aca="false">IF(DP6=Assumption!$E$10,Assumption!$R$342*Assumption!$D$538,0)</f>
        <v>0</v>
      </c>
      <c r="DQ89" s="158" t="n">
        <f aca="false">IF(DQ6=Assumption!$E$10,Assumption!$R$342*Assumption!$D$538,0)</f>
        <v>0</v>
      </c>
      <c r="DR89" s="158" t="n">
        <f aca="false">IF(DR6=Assumption!$E$10,Assumption!$R$342*Assumption!$D$538,0)</f>
        <v>0</v>
      </c>
      <c r="DS89" s="158" t="n">
        <f aca="false">IF(DS6=Assumption!$E$10,Assumption!$R$342*Assumption!$D$538,0)</f>
        <v>0</v>
      </c>
      <c r="DT89" s="158" t="n">
        <f aca="false">IF(DT6=Assumption!$E$10,Assumption!$R$342*Assumption!$D$538,0)</f>
        <v>0</v>
      </c>
      <c r="DU89" s="158" t="n">
        <f aca="false">IF(DU6=Assumption!$E$10,Assumption!$R$342*Assumption!$D$538,0)</f>
        <v>0</v>
      </c>
      <c r="DV89" s="158" t="n">
        <f aca="false">IF(DV6=Assumption!$E$10,Assumption!$R$342*Assumption!$D$538,0)</f>
        <v>0</v>
      </c>
      <c r="DW89" s="158" t="n">
        <f aca="false">IF(DW6=Assumption!$E$10,Assumption!$R$342*Assumption!$D$538,0)</f>
        <v>0</v>
      </c>
      <c r="DX89" s="158" t="n">
        <f aca="false">IF(DX6=Assumption!$E$10,Assumption!$R$342*Assumption!$D$538,0)</f>
        <v>0</v>
      </c>
      <c r="DY89" s="158" t="n">
        <f aca="false">IF(DY6=Assumption!$E$10,Assumption!$R$342*Assumption!$D$538,0)</f>
        <v>0</v>
      </c>
      <c r="DZ89" s="158" t="n">
        <f aca="false">IF(DZ6=Assumption!$E$10,Assumption!$R$342*Assumption!$D$538,0)</f>
        <v>0</v>
      </c>
      <c r="EA89" s="158" t="n">
        <f aca="false">IF(EA6=Assumption!$E$10,Assumption!$R$342*Assumption!$D$538,0)</f>
        <v>0</v>
      </c>
      <c r="EB89" s="158" t="n">
        <f aca="false">IF(EB6=Assumption!$E$10,Assumption!$R$342*Assumption!$D$538,0)</f>
        <v>0</v>
      </c>
      <c r="EC89" s="158" t="n">
        <f aca="false">IF(EC6=Assumption!$E$10,Assumption!$R$342*Assumption!$D$538,0)</f>
        <v>0</v>
      </c>
      <c r="ED89" s="158" t="n">
        <f aca="false">IF(ED6=Assumption!$E$10,Assumption!$R$342*Assumption!$D$538,0)</f>
        <v>0</v>
      </c>
      <c r="EE89" s="158" t="n">
        <f aca="false">IF(EE6=Assumption!$E$10,Assumption!$R$342*Assumption!$D$538,0)</f>
        <v>0</v>
      </c>
      <c r="EF89" s="158" t="n">
        <f aca="false">IF(EF6=Assumption!$E$10,Assumption!$R$342*Assumption!$D$538,0)</f>
        <v>0</v>
      </c>
    </row>
    <row r="90" customFormat="false" ht="15" hidden="false" customHeight="false" outlineLevel="0" collapsed="false">
      <c r="A90" s="35" t="s">
        <v>549</v>
      </c>
      <c r="B90" s="241" t="s">
        <v>116</v>
      </c>
      <c r="C90" s="242" t="n">
        <f aca="false">SUM(E90:EF90)</f>
        <v>221320</v>
      </c>
      <c r="E90" s="158" t="n">
        <f aca="false">IF(E6=Assumption!$E$14,Assumption!$R$342*(1-Assumption!$D$538)+Assumption!$R$343+Assumption!$R$344+Assumption!$R$345,0)</f>
        <v>0</v>
      </c>
      <c r="F90" s="158" t="n">
        <f aca="false">IF(F6=Assumption!$E$14,Assumption!$R$342*(1-Assumption!$D$538)+Assumption!$R$343+Assumption!$R$344+Assumption!$R$345,0)</f>
        <v>0</v>
      </c>
      <c r="G90" s="158" t="n">
        <f aca="false">IF(G6=Assumption!$E$14,Assumption!$R$342*(1-Assumption!$D$538)+Assumption!$R$343+Assumption!$R$344+Assumption!$R$345,0)</f>
        <v>0</v>
      </c>
      <c r="H90" s="158" t="n">
        <f aca="false">IF(H6=Assumption!$E$14,Assumption!$R$342*(1-Assumption!$D$538)+Assumption!$R$343+Assumption!$R$344+Assumption!$R$345,0)</f>
        <v>0</v>
      </c>
      <c r="I90" s="158" t="n">
        <f aca="false">IF(I6=Assumption!$E$14,Assumption!$R$342*(1-Assumption!$D$538)+Assumption!$R$343+Assumption!$R$344+Assumption!$R$345,0)</f>
        <v>0</v>
      </c>
      <c r="J90" s="158" t="n">
        <f aca="false">IF(J6=Assumption!$E$14,Assumption!$R$342*(1-Assumption!$D$538)+Assumption!$R$343+Assumption!$R$344+Assumption!$R$345,0)</f>
        <v>0</v>
      </c>
      <c r="K90" s="158" t="n">
        <f aca="false">IF(K6=Assumption!$E$14,Assumption!$R$342*(1-Assumption!$D$538)+Assumption!$R$343+Assumption!$R$344+Assumption!$R$345,0)</f>
        <v>0</v>
      </c>
      <c r="L90" s="158" t="n">
        <f aca="false">IF(L6=Assumption!$E$14,Assumption!$R$342*(1-Assumption!$D$538)+Assumption!$R$343+Assumption!$R$344+Assumption!$R$345,0)</f>
        <v>0</v>
      </c>
      <c r="M90" s="158" t="n">
        <f aca="false">IF(M6=Assumption!$E$14,Assumption!$R$342*(1-Assumption!$D$538)+Assumption!$R$343+Assumption!$R$344+Assumption!$R$345,0)</f>
        <v>0</v>
      </c>
      <c r="N90" s="158" t="n">
        <f aca="false">IF(N6=Assumption!$E$14,Assumption!$R$342*(1-Assumption!$D$538)+Assumption!$R$343+Assumption!$R$344+Assumption!$R$345,0)</f>
        <v>0</v>
      </c>
      <c r="O90" s="158" t="n">
        <f aca="false">IF(O6=Assumption!$E$14,Assumption!$R$342*(1-Assumption!$D$538)+Assumption!$R$343+Assumption!$R$344+Assumption!$R$345,0)</f>
        <v>0</v>
      </c>
      <c r="P90" s="158" t="n">
        <f aca="false">IF(P6=Assumption!$E$14,Assumption!$R$342*(1-Assumption!$D$538)+Assumption!$R$343+Assumption!$R$344+Assumption!$R$345,0)</f>
        <v>0</v>
      </c>
      <c r="Q90" s="158" t="n">
        <f aca="false">IF(Q6=Assumption!$E$14,Assumption!$R$342*(1-Assumption!$D$538)+Assumption!$R$343+Assumption!$R$344+Assumption!$R$345,0)</f>
        <v>0</v>
      </c>
      <c r="R90" s="158" t="n">
        <f aca="false">IF(R6=Assumption!$E$14,Assumption!$R$342*(1-Assumption!$D$538)+Assumption!$R$343+Assumption!$R$344+Assumption!$R$345,0)</f>
        <v>0</v>
      </c>
      <c r="S90" s="158" t="n">
        <f aca="false">IF(S6=Assumption!$E$14,Assumption!$R$342*(1-Assumption!$D$538)+Assumption!$R$343+Assumption!$R$344+Assumption!$R$345,0)</f>
        <v>0</v>
      </c>
      <c r="T90" s="158" t="n">
        <f aca="false">IF(T6=Assumption!$E$14,Assumption!$R$342*(1-Assumption!$D$538)+Assumption!$R$343+Assumption!$R$344+Assumption!$R$345,0)</f>
        <v>0</v>
      </c>
      <c r="U90" s="158" t="n">
        <f aca="false">IF(U6=Assumption!$E$14,Assumption!$R$342*(1-Assumption!$D$538)+Assumption!$R$343+Assumption!$R$344+Assumption!$R$345,0)</f>
        <v>0</v>
      </c>
      <c r="V90" s="158" t="n">
        <f aca="false">IF(V6=Assumption!$E$14,Assumption!$R$342*(1-Assumption!$D$538)+Assumption!$R$343+Assumption!$R$344+Assumption!$R$345,0)</f>
        <v>0</v>
      </c>
      <c r="W90" s="158" t="n">
        <f aca="false">IF(W6=Assumption!$E$14,Assumption!$R$342*(1-Assumption!$D$538)+Assumption!$R$343+Assumption!$R$344+Assumption!$R$345,0)</f>
        <v>221320</v>
      </c>
      <c r="X90" s="158" t="n">
        <f aca="false">IF(X6=Assumption!$E$14,Assumption!$R$342*(1-Assumption!$D$538)+Assumption!$R$343+Assumption!$R$344+Assumption!$R$345,0)</f>
        <v>0</v>
      </c>
      <c r="Y90" s="158" t="n">
        <f aca="false">IF(Y6=Assumption!$E$14,Assumption!$R$342*(1-Assumption!$D$538)+Assumption!$R$343+Assumption!$R$344+Assumption!$R$345,0)</f>
        <v>0</v>
      </c>
      <c r="Z90" s="158" t="n">
        <f aca="false">IF(Z6=Assumption!$E$14,Assumption!$R$342*(1-Assumption!$D$538)+Assumption!$R$343+Assumption!$R$344+Assumption!$R$345,0)</f>
        <v>0</v>
      </c>
      <c r="AA90" s="158" t="n">
        <f aca="false">IF(AA6=Assumption!$E$14,Assumption!$R$342*(1-Assumption!$D$538)+Assumption!$R$343+Assumption!$R$344+Assumption!$R$345,0)</f>
        <v>0</v>
      </c>
      <c r="AB90" s="158" t="n">
        <f aca="false">IF(AB6=Assumption!$E$14,Assumption!$R$342*(1-Assumption!$D$538)+Assumption!$R$343+Assumption!$R$344+Assumption!$R$345,0)</f>
        <v>0</v>
      </c>
      <c r="AC90" s="158" t="n">
        <f aca="false">IF(AC6=Assumption!$E$14,Assumption!$R$342*(1-Assumption!$D$538)+Assumption!$R$343+Assumption!$R$344+Assumption!$R$345,0)</f>
        <v>0</v>
      </c>
      <c r="AD90" s="158" t="n">
        <f aca="false">IF(AD6=Assumption!$E$14,Assumption!$R$342*(1-Assumption!$D$538)+Assumption!$R$343+Assumption!$R$344+Assumption!$R$345,0)</f>
        <v>0</v>
      </c>
      <c r="AE90" s="158" t="n">
        <f aca="false">IF(AE6=Assumption!$E$14,Assumption!$R$342*(1-Assumption!$D$538)+Assumption!$R$343+Assumption!$R$344+Assumption!$R$345,0)</f>
        <v>0</v>
      </c>
      <c r="AF90" s="158" t="n">
        <f aca="false">IF(AF6=Assumption!$E$14,Assumption!$R$342*(1-Assumption!$D$538)+Assumption!$R$343+Assumption!$R$344+Assumption!$R$345,0)</f>
        <v>0</v>
      </c>
      <c r="AG90" s="158" t="n">
        <f aca="false">IF(AG6=Assumption!$E$14,Assumption!$R$342*(1-Assumption!$D$538)+Assumption!$R$343+Assumption!$R$344+Assumption!$R$345,0)</f>
        <v>0</v>
      </c>
      <c r="AH90" s="158" t="n">
        <f aca="false">IF(AH6=Assumption!$E$14,Assumption!$R$342*(1-Assumption!$D$538)+Assumption!$R$343+Assumption!$R$344+Assumption!$R$345,0)</f>
        <v>0</v>
      </c>
      <c r="AI90" s="158" t="n">
        <f aca="false">IF(AI6=Assumption!$E$14,Assumption!$R$342*(1-Assumption!$D$538)+Assumption!$R$343+Assumption!$R$344+Assumption!$R$345,0)</f>
        <v>0</v>
      </c>
      <c r="AJ90" s="158" t="n">
        <f aca="false">IF(AJ6=Assumption!$E$14,Assumption!$R$342*(1-Assumption!$D$538)+Assumption!$R$343+Assumption!$R$344+Assumption!$R$345,0)</f>
        <v>0</v>
      </c>
      <c r="AK90" s="158" t="n">
        <f aca="false">IF(AK6=Assumption!$E$14,Assumption!$R$342*(1-Assumption!$D$538)+Assumption!$R$343+Assumption!$R$344+Assumption!$R$345,0)</f>
        <v>0</v>
      </c>
      <c r="AL90" s="158" t="n">
        <f aca="false">IF(AL6=Assumption!$E$14,Assumption!$R$342*(1-Assumption!$D$538)+Assumption!$R$343+Assumption!$R$344+Assumption!$R$345,0)</f>
        <v>0</v>
      </c>
      <c r="AM90" s="158" t="n">
        <f aca="false">IF(AM6=Assumption!$E$14,Assumption!$R$342*(1-Assumption!$D$538)+Assumption!$R$343+Assumption!$R$344+Assumption!$R$345,0)</f>
        <v>0</v>
      </c>
      <c r="AN90" s="158" t="n">
        <f aca="false">IF(AN6=Assumption!$E$14,Assumption!$R$342*(1-Assumption!$D$538)+Assumption!$R$343+Assumption!$R$344+Assumption!$R$345,0)</f>
        <v>0</v>
      </c>
      <c r="AO90" s="158" t="n">
        <f aca="false">IF(AO6=Assumption!$E$14,Assumption!$R$342*(1-Assumption!$D$538)+Assumption!$R$343+Assumption!$R$344+Assumption!$R$345,0)</f>
        <v>0</v>
      </c>
      <c r="AP90" s="158" t="n">
        <f aca="false">IF(AP6=Assumption!$E$14,Assumption!$R$342*(1-Assumption!$D$538)+Assumption!$R$343+Assumption!$R$344+Assumption!$R$345,0)</f>
        <v>0</v>
      </c>
      <c r="AQ90" s="158" t="n">
        <f aca="false">IF(AQ6=Assumption!$E$14,Assumption!$R$342*(1-Assumption!$D$538)+Assumption!$R$343+Assumption!$R$344+Assumption!$R$345,0)</f>
        <v>0</v>
      </c>
      <c r="AR90" s="158" t="n">
        <f aca="false">IF(AR6=Assumption!$E$14,Assumption!$R$342*(1-Assumption!$D$538)+Assumption!$R$343+Assumption!$R$344+Assumption!$R$345,0)</f>
        <v>0</v>
      </c>
      <c r="AS90" s="158" t="n">
        <f aca="false">IF(AS6=Assumption!$E$14,Assumption!$R$342*(1-Assumption!$D$538)+Assumption!$R$343+Assumption!$R$344+Assumption!$R$345,0)</f>
        <v>0</v>
      </c>
      <c r="AT90" s="158" t="n">
        <f aca="false">IF(AT6=Assumption!$E$14,Assumption!$R$342*(1-Assumption!$D$538)+Assumption!$R$343+Assumption!$R$344+Assumption!$R$345,0)</f>
        <v>0</v>
      </c>
      <c r="AU90" s="158" t="n">
        <f aca="false">IF(AU6=Assumption!$E$14,Assumption!$R$342*(1-Assumption!$D$538)+Assumption!$R$343+Assumption!$R$344+Assumption!$R$345,0)</f>
        <v>0</v>
      </c>
      <c r="AV90" s="158" t="n">
        <f aca="false">IF(AV6=Assumption!$E$14,Assumption!$R$342*(1-Assumption!$D$538)+Assumption!$R$343+Assumption!$R$344+Assumption!$R$345,0)</f>
        <v>0</v>
      </c>
      <c r="AW90" s="158" t="n">
        <f aca="false">IF(AW6=Assumption!$E$14,Assumption!$R$342*(1-Assumption!$D$538)+Assumption!$R$343+Assumption!$R$344+Assumption!$R$345,0)</f>
        <v>0</v>
      </c>
      <c r="AX90" s="158" t="n">
        <f aca="false">IF(AX6=Assumption!$E$14,Assumption!$R$342*(1-Assumption!$D$538)+Assumption!$R$343+Assumption!$R$344+Assumption!$R$345,0)</f>
        <v>0</v>
      </c>
      <c r="AY90" s="158" t="n">
        <f aca="false">IF(AY6=Assumption!$E$14,Assumption!$R$342*(1-Assumption!$D$538)+Assumption!$R$343+Assumption!$R$344+Assumption!$R$345,0)</f>
        <v>0</v>
      </c>
      <c r="AZ90" s="158" t="n">
        <f aca="false">IF(AZ6=Assumption!$E$14,Assumption!$R$342*(1-Assumption!$D$538)+Assumption!$R$343+Assumption!$R$344+Assumption!$R$345,0)</f>
        <v>0</v>
      </c>
      <c r="BA90" s="158" t="n">
        <f aca="false">IF(BA6=Assumption!$E$14,Assumption!$R$342*(1-Assumption!$D$538)+Assumption!$R$343+Assumption!$R$344+Assumption!$R$345,0)</f>
        <v>0</v>
      </c>
      <c r="BB90" s="158" t="n">
        <f aca="false">IF(BB6=Assumption!$E$14,Assumption!$R$342*(1-Assumption!$D$538)+Assumption!$R$343+Assumption!$R$344+Assumption!$R$345,0)</f>
        <v>0</v>
      </c>
      <c r="BC90" s="158" t="n">
        <f aca="false">IF(BC6=Assumption!$E$14,Assumption!$R$342*(1-Assumption!$D$538)+Assumption!$R$343+Assumption!$R$344+Assumption!$R$345,0)</f>
        <v>0</v>
      </c>
      <c r="BD90" s="158" t="n">
        <f aca="false">IF(BD6=Assumption!$E$14,Assumption!$R$342*(1-Assumption!$D$538)+Assumption!$R$343+Assumption!$R$344+Assumption!$R$345,0)</f>
        <v>0</v>
      </c>
      <c r="BE90" s="158" t="n">
        <f aca="false">IF(BE6=Assumption!$E$14,Assumption!$R$342*(1-Assumption!$D$538)+Assumption!$R$343+Assumption!$R$344+Assumption!$R$345,0)</f>
        <v>0</v>
      </c>
      <c r="BF90" s="158" t="n">
        <f aca="false">IF(BF6=Assumption!$E$14,Assumption!$R$342*(1-Assumption!$D$538)+Assumption!$R$343+Assumption!$R$344+Assumption!$R$345,0)</f>
        <v>0</v>
      </c>
      <c r="BG90" s="158" t="n">
        <f aca="false">IF(BG6=Assumption!$E$14,Assumption!$R$342*(1-Assumption!$D$538)+Assumption!$R$343+Assumption!$R$344+Assumption!$R$345,0)</f>
        <v>0</v>
      </c>
      <c r="BH90" s="158" t="n">
        <f aca="false">IF(BH6=Assumption!$E$14,Assumption!$R$342*(1-Assumption!$D$538)+Assumption!$R$343+Assumption!$R$344+Assumption!$R$345,0)</f>
        <v>0</v>
      </c>
      <c r="BI90" s="158" t="n">
        <f aca="false">IF(BI6=Assumption!$E$14,Assumption!$R$342*(1-Assumption!$D$538)+Assumption!$R$343+Assumption!$R$344+Assumption!$R$345,0)</f>
        <v>0</v>
      </c>
      <c r="BJ90" s="158" t="n">
        <f aca="false">IF(BJ6=Assumption!$E$14,Assumption!$R$342*(1-Assumption!$D$538)+Assumption!$R$343+Assumption!$R$344+Assumption!$R$345,0)</f>
        <v>0</v>
      </c>
      <c r="BK90" s="158" t="n">
        <f aca="false">IF(BK6=Assumption!$E$14,Assumption!$R$342*(1-Assumption!$D$538)+Assumption!$R$343+Assumption!$R$344+Assumption!$R$345,0)</f>
        <v>0</v>
      </c>
      <c r="BL90" s="158" t="n">
        <f aca="false">IF(BL6=Assumption!$E$14,Assumption!$R$342*(1-Assumption!$D$538)+Assumption!$R$343+Assumption!$R$344+Assumption!$R$345,0)</f>
        <v>0</v>
      </c>
      <c r="BM90" s="158" t="n">
        <f aca="false">IF(BM6=Assumption!$E$14,Assumption!$R$342*(1-Assumption!$D$538)+Assumption!$R$343+Assumption!$R$344+Assumption!$R$345,0)</f>
        <v>0</v>
      </c>
      <c r="BN90" s="158" t="n">
        <f aca="false">IF(BN6=Assumption!$E$14,Assumption!$R$342*(1-Assumption!$D$538)+Assumption!$R$343+Assumption!$R$344+Assumption!$R$345,0)</f>
        <v>0</v>
      </c>
      <c r="BO90" s="158" t="n">
        <f aca="false">IF(BO6=Assumption!$E$14,Assumption!$R$342*(1-Assumption!$D$538)+Assumption!$R$343+Assumption!$R$344+Assumption!$R$345,0)</f>
        <v>0</v>
      </c>
      <c r="BP90" s="158" t="n">
        <f aca="false">IF(BP6=Assumption!$E$14,Assumption!$R$342*(1-Assumption!$D$538)+Assumption!$R$343+Assumption!$R$344+Assumption!$R$345,0)</f>
        <v>0</v>
      </c>
      <c r="BQ90" s="158" t="n">
        <f aca="false">IF(BQ6=Assumption!$E$14,Assumption!$R$342*(1-Assumption!$D$538)+Assumption!$R$343+Assumption!$R$344+Assumption!$R$345,0)</f>
        <v>0</v>
      </c>
      <c r="BR90" s="158" t="n">
        <f aca="false">IF(BR6=Assumption!$E$14,Assumption!$R$342*(1-Assumption!$D$538)+Assumption!$R$343+Assumption!$R$344+Assumption!$R$345,0)</f>
        <v>0</v>
      </c>
      <c r="BS90" s="158" t="n">
        <f aca="false">IF(BS6=Assumption!$E$14,Assumption!$R$342*(1-Assumption!$D$538)+Assumption!$R$343+Assumption!$R$344+Assumption!$R$345,0)</f>
        <v>0</v>
      </c>
      <c r="BT90" s="158" t="n">
        <f aca="false">IF(BT6=Assumption!$E$14,Assumption!$R$342*(1-Assumption!$D$538)+Assumption!$R$343+Assumption!$R$344+Assumption!$R$345,0)</f>
        <v>0</v>
      </c>
      <c r="BU90" s="158" t="n">
        <f aca="false">IF(BU6=Assumption!$E$14,Assumption!$R$342*(1-Assumption!$D$538)+Assumption!$R$343+Assumption!$R$344+Assumption!$R$345,0)</f>
        <v>0</v>
      </c>
      <c r="BV90" s="158" t="n">
        <f aca="false">IF(BV6=Assumption!$E$14,Assumption!$R$342*(1-Assumption!$D$538)+Assumption!$R$343+Assumption!$R$344+Assumption!$R$345,0)</f>
        <v>0</v>
      </c>
      <c r="BW90" s="158" t="n">
        <f aca="false">IF(BW6=Assumption!$E$14,Assumption!$R$342*(1-Assumption!$D$538)+Assumption!$R$343+Assumption!$R$344+Assumption!$R$345,0)</f>
        <v>0</v>
      </c>
      <c r="BX90" s="158" t="n">
        <f aca="false">IF(BX6=Assumption!$E$14,Assumption!$R$342*(1-Assumption!$D$538)+Assumption!$R$343+Assumption!$R$344+Assumption!$R$345,0)</f>
        <v>0</v>
      </c>
      <c r="BY90" s="158" t="n">
        <f aca="false">IF(BY6=Assumption!$E$14,Assumption!$R$342*(1-Assumption!$D$538)+Assumption!$R$343+Assumption!$R$344+Assumption!$R$345,0)</f>
        <v>0</v>
      </c>
      <c r="BZ90" s="158" t="n">
        <f aca="false">IF(BZ6=Assumption!$E$14,Assumption!$R$342*(1-Assumption!$D$538)+Assumption!$R$343+Assumption!$R$344+Assumption!$R$345,0)</f>
        <v>0</v>
      </c>
      <c r="CA90" s="158" t="n">
        <f aca="false">IF(CA6=Assumption!$E$14,Assumption!$R$342*(1-Assumption!$D$538)+Assumption!$R$343+Assumption!$R$344+Assumption!$R$345,0)</f>
        <v>0</v>
      </c>
      <c r="CB90" s="158" t="n">
        <f aca="false">IF(CB6=Assumption!$E$14,Assumption!$R$342*(1-Assumption!$D$538)+Assumption!$R$343+Assumption!$R$344+Assumption!$R$345,0)</f>
        <v>0</v>
      </c>
      <c r="CC90" s="158" t="n">
        <f aca="false">IF(CC6=Assumption!$E$14,Assumption!$R$342*(1-Assumption!$D$538)+Assumption!$R$343+Assumption!$R$344+Assumption!$R$345,0)</f>
        <v>0</v>
      </c>
      <c r="CD90" s="158" t="n">
        <f aca="false">IF(CD6=Assumption!$E$14,Assumption!$R$342*(1-Assumption!$D$538)+Assumption!$R$343+Assumption!$R$344+Assumption!$R$345,0)</f>
        <v>0</v>
      </c>
      <c r="CE90" s="158" t="n">
        <f aca="false">IF(CE6=Assumption!$E$14,Assumption!$R$342*(1-Assumption!$D$538)+Assumption!$R$343+Assumption!$R$344+Assumption!$R$345,0)</f>
        <v>0</v>
      </c>
      <c r="CF90" s="158" t="n">
        <f aca="false">IF(CF6=Assumption!$E$14,Assumption!$R$342*(1-Assumption!$D$538)+Assumption!$R$343+Assumption!$R$344+Assumption!$R$345,0)</f>
        <v>0</v>
      </c>
      <c r="CG90" s="158" t="n">
        <f aca="false">IF(CG6=Assumption!$E$14,Assumption!$R$342*(1-Assumption!$D$538)+Assumption!$R$343+Assumption!$R$344+Assumption!$R$345,0)</f>
        <v>0</v>
      </c>
      <c r="CH90" s="158" t="n">
        <f aca="false">IF(CH6=Assumption!$E$14,Assumption!$R$342*(1-Assumption!$D$538)+Assumption!$R$343+Assumption!$R$344+Assumption!$R$345,0)</f>
        <v>0</v>
      </c>
      <c r="CI90" s="158" t="n">
        <f aca="false">IF(CI6=Assumption!$E$14,Assumption!$R$342*(1-Assumption!$D$538)+Assumption!$R$343+Assumption!$R$344+Assumption!$R$345,0)</f>
        <v>0</v>
      </c>
      <c r="CJ90" s="158" t="n">
        <f aca="false">IF(CJ6=Assumption!$E$14,Assumption!$R$342*(1-Assumption!$D$538)+Assumption!$R$343+Assumption!$R$344+Assumption!$R$345,0)</f>
        <v>0</v>
      </c>
      <c r="CK90" s="158" t="n">
        <f aca="false">IF(CK6=Assumption!$E$14,Assumption!$R$342*(1-Assumption!$D$538)+Assumption!$R$343+Assumption!$R$344+Assumption!$R$345,0)</f>
        <v>0</v>
      </c>
      <c r="CL90" s="158" t="n">
        <f aca="false">IF(CL6=Assumption!$E$14,Assumption!$R$342*(1-Assumption!$D$538)+Assumption!$R$343+Assumption!$R$344+Assumption!$R$345,0)</f>
        <v>0</v>
      </c>
      <c r="CM90" s="158" t="n">
        <f aca="false">IF(CM6=Assumption!$E$14,Assumption!$R$342*(1-Assumption!$D$538)+Assumption!$R$343+Assumption!$R$344+Assumption!$R$345,0)</f>
        <v>0</v>
      </c>
      <c r="CN90" s="158" t="n">
        <f aca="false">IF(CN6=Assumption!$E$14,Assumption!$R$342*(1-Assumption!$D$538)+Assumption!$R$343+Assumption!$R$344+Assumption!$R$345,0)</f>
        <v>0</v>
      </c>
      <c r="CO90" s="158" t="n">
        <f aca="false">IF(CO6=Assumption!$E$14,Assumption!$R$342*(1-Assumption!$D$538)+Assumption!$R$343+Assumption!$R$344+Assumption!$R$345,0)</f>
        <v>0</v>
      </c>
      <c r="CP90" s="158" t="n">
        <f aca="false">IF(CP6=Assumption!$E$14,Assumption!$R$342*(1-Assumption!$D$538)+Assumption!$R$343+Assumption!$R$344+Assumption!$R$345,0)</f>
        <v>0</v>
      </c>
      <c r="CQ90" s="158" t="n">
        <f aca="false">IF(CQ6=Assumption!$E$14,Assumption!$R$342*(1-Assumption!$D$538)+Assumption!$R$343+Assumption!$R$344+Assumption!$R$345,0)</f>
        <v>0</v>
      </c>
      <c r="CR90" s="158" t="n">
        <f aca="false">IF(CR6=Assumption!$E$14,Assumption!$R$342*(1-Assumption!$D$538)+Assumption!$R$343+Assumption!$R$344+Assumption!$R$345,0)</f>
        <v>0</v>
      </c>
      <c r="CS90" s="158" t="n">
        <f aca="false">IF(CS6=Assumption!$E$14,Assumption!$R$342*(1-Assumption!$D$538)+Assumption!$R$343+Assumption!$R$344+Assumption!$R$345,0)</f>
        <v>0</v>
      </c>
      <c r="CT90" s="158" t="n">
        <f aca="false">IF(CT6=Assumption!$E$14,Assumption!$R$342*(1-Assumption!$D$538)+Assumption!$R$343+Assumption!$R$344+Assumption!$R$345,0)</f>
        <v>0</v>
      </c>
      <c r="CU90" s="158" t="n">
        <f aca="false">IF(CU6=Assumption!$E$14,Assumption!$R$342*(1-Assumption!$D$538)+Assumption!$R$343+Assumption!$R$344+Assumption!$R$345,0)</f>
        <v>0</v>
      </c>
      <c r="CV90" s="158" t="n">
        <f aca="false">IF(CV6=Assumption!$E$14,Assumption!$R$342*(1-Assumption!$D$538)+Assumption!$R$343+Assumption!$R$344+Assumption!$R$345,0)</f>
        <v>0</v>
      </c>
      <c r="CW90" s="158" t="n">
        <f aca="false">IF(CW6=Assumption!$E$14,Assumption!$R$342*(1-Assumption!$D$538)+Assumption!$R$343+Assumption!$R$344+Assumption!$R$345,0)</f>
        <v>0</v>
      </c>
      <c r="CX90" s="158" t="n">
        <f aca="false">IF(CX6=Assumption!$E$14,Assumption!$R$342*(1-Assumption!$D$538)+Assumption!$R$343+Assumption!$R$344+Assumption!$R$345,0)</f>
        <v>0</v>
      </c>
      <c r="CY90" s="158" t="n">
        <f aca="false">IF(CY6=Assumption!$E$14,Assumption!$R$342*(1-Assumption!$D$538)+Assumption!$R$343+Assumption!$R$344+Assumption!$R$345,0)</f>
        <v>0</v>
      </c>
      <c r="CZ90" s="158" t="n">
        <f aca="false">IF(CZ6=Assumption!$E$14,Assumption!$R$342*(1-Assumption!$D$538)+Assumption!$R$343+Assumption!$R$344+Assumption!$R$345,0)</f>
        <v>0</v>
      </c>
      <c r="DA90" s="158" t="n">
        <f aca="false">IF(DA6=Assumption!$E$14,Assumption!$R$342*(1-Assumption!$D$538)+Assumption!$R$343+Assumption!$R$344+Assumption!$R$345,0)</f>
        <v>0</v>
      </c>
      <c r="DB90" s="158" t="n">
        <f aca="false">IF(DB6=Assumption!$E$14,Assumption!$R$342*(1-Assumption!$D$538)+Assumption!$R$343+Assumption!$R$344+Assumption!$R$345,0)</f>
        <v>0</v>
      </c>
      <c r="DC90" s="158" t="n">
        <f aca="false">IF(DC6=Assumption!$E$14,Assumption!$R$342*(1-Assumption!$D$538)+Assumption!$R$343+Assumption!$R$344+Assumption!$R$345,0)</f>
        <v>0</v>
      </c>
      <c r="DD90" s="158" t="n">
        <f aca="false">IF(DD6=Assumption!$E$14,Assumption!$R$342*(1-Assumption!$D$538)+Assumption!$R$343+Assumption!$R$344+Assumption!$R$345,0)</f>
        <v>0</v>
      </c>
      <c r="DE90" s="158" t="n">
        <f aca="false">IF(DE6=Assumption!$E$14,Assumption!$R$342*(1-Assumption!$D$538)+Assumption!$R$343+Assumption!$R$344+Assumption!$R$345,0)</f>
        <v>0</v>
      </c>
      <c r="DF90" s="158" t="n">
        <f aca="false">IF(DF6=Assumption!$E$14,Assumption!$R$342*(1-Assumption!$D$538)+Assumption!$R$343+Assumption!$R$344+Assumption!$R$345,0)</f>
        <v>0</v>
      </c>
      <c r="DG90" s="158" t="n">
        <f aca="false">IF(DG6=Assumption!$E$14,Assumption!$R$342*(1-Assumption!$D$538)+Assumption!$R$343+Assumption!$R$344+Assumption!$R$345,0)</f>
        <v>0</v>
      </c>
      <c r="DH90" s="158" t="n">
        <f aca="false">IF(DH6=Assumption!$E$14,Assumption!$R$342*(1-Assumption!$D$538)+Assumption!$R$343+Assumption!$R$344+Assumption!$R$345,0)</f>
        <v>0</v>
      </c>
      <c r="DI90" s="158" t="n">
        <f aca="false">IF(DI6=Assumption!$E$14,Assumption!$R$342*(1-Assumption!$D$538)+Assumption!$R$343+Assumption!$R$344+Assumption!$R$345,0)</f>
        <v>0</v>
      </c>
      <c r="DJ90" s="158" t="n">
        <f aca="false">IF(DJ6=Assumption!$E$14,Assumption!$R$342*(1-Assumption!$D$538)+Assumption!$R$343+Assumption!$R$344+Assumption!$R$345,0)</f>
        <v>0</v>
      </c>
      <c r="DK90" s="158" t="n">
        <f aca="false">IF(DK6=Assumption!$E$14,Assumption!$R$342*(1-Assumption!$D$538)+Assumption!$R$343+Assumption!$R$344+Assumption!$R$345,0)</f>
        <v>0</v>
      </c>
      <c r="DL90" s="158" t="n">
        <f aca="false">IF(DL6=Assumption!$E$14,Assumption!$R$342*(1-Assumption!$D$538)+Assumption!$R$343+Assumption!$R$344+Assumption!$R$345,0)</f>
        <v>0</v>
      </c>
      <c r="DM90" s="158" t="n">
        <f aca="false">IF(DM6=Assumption!$E$14,Assumption!$R$342*(1-Assumption!$D$538)+Assumption!$R$343+Assumption!$R$344+Assumption!$R$345,0)</f>
        <v>0</v>
      </c>
      <c r="DN90" s="158" t="n">
        <f aca="false">IF(DN6=Assumption!$E$14,Assumption!$R$342*(1-Assumption!$D$538)+Assumption!$R$343+Assumption!$R$344+Assumption!$R$345,0)</f>
        <v>0</v>
      </c>
      <c r="DO90" s="158" t="n">
        <f aca="false">IF(DO6=Assumption!$E$14,Assumption!$R$342*(1-Assumption!$D$538)+Assumption!$R$343+Assumption!$R$344+Assumption!$R$345,0)</f>
        <v>0</v>
      </c>
      <c r="DP90" s="158" t="n">
        <f aca="false">IF(DP6=Assumption!$E$14,Assumption!$R$342*(1-Assumption!$D$538)+Assumption!$R$343+Assumption!$R$344+Assumption!$R$345,0)</f>
        <v>0</v>
      </c>
      <c r="DQ90" s="158" t="n">
        <f aca="false">IF(DQ6=Assumption!$E$14,Assumption!$R$342*(1-Assumption!$D$538)+Assumption!$R$343+Assumption!$R$344+Assumption!$R$345,0)</f>
        <v>0</v>
      </c>
      <c r="DR90" s="158" t="n">
        <f aca="false">IF(DR6=Assumption!$E$14,Assumption!$R$342*(1-Assumption!$D$538)+Assumption!$R$343+Assumption!$R$344+Assumption!$R$345,0)</f>
        <v>0</v>
      </c>
      <c r="DS90" s="158" t="n">
        <f aca="false">IF(DS6=Assumption!$E$14,Assumption!$R$342*(1-Assumption!$D$538)+Assumption!$R$343+Assumption!$R$344+Assumption!$R$345,0)</f>
        <v>0</v>
      </c>
      <c r="DT90" s="158" t="n">
        <f aca="false">IF(DT6=Assumption!$E$14,Assumption!$R$342*(1-Assumption!$D$538)+Assumption!$R$343+Assumption!$R$344+Assumption!$R$345,0)</f>
        <v>0</v>
      </c>
      <c r="DU90" s="158" t="n">
        <f aca="false">IF(DU6=Assumption!$E$14,Assumption!$R$342*(1-Assumption!$D$538)+Assumption!$R$343+Assumption!$R$344+Assumption!$R$345,0)</f>
        <v>0</v>
      </c>
      <c r="DV90" s="158" t="n">
        <f aca="false">IF(DV6=Assumption!$E$14,Assumption!$R$342*(1-Assumption!$D$538)+Assumption!$R$343+Assumption!$R$344+Assumption!$R$345,0)</f>
        <v>0</v>
      </c>
      <c r="DW90" s="158" t="n">
        <f aca="false">IF(DW6=Assumption!$E$14,Assumption!$R$342*(1-Assumption!$D$538)+Assumption!$R$343+Assumption!$R$344+Assumption!$R$345,0)</f>
        <v>0</v>
      </c>
      <c r="DX90" s="158" t="n">
        <f aca="false">IF(DX6=Assumption!$E$14,Assumption!$R$342*(1-Assumption!$D$538)+Assumption!$R$343+Assumption!$R$344+Assumption!$R$345,0)</f>
        <v>0</v>
      </c>
      <c r="DY90" s="158" t="n">
        <f aca="false">IF(DY6=Assumption!$E$14,Assumption!$R$342*(1-Assumption!$D$538)+Assumption!$R$343+Assumption!$R$344+Assumption!$R$345,0)</f>
        <v>0</v>
      </c>
      <c r="DZ90" s="158" t="n">
        <f aca="false">IF(DZ6=Assumption!$E$14,Assumption!$R$342*(1-Assumption!$D$538)+Assumption!$R$343+Assumption!$R$344+Assumption!$R$345,0)</f>
        <v>0</v>
      </c>
      <c r="EA90" s="158" t="n">
        <f aca="false">IF(EA6=Assumption!$E$14,Assumption!$R$342*(1-Assumption!$D$538)+Assumption!$R$343+Assumption!$R$344+Assumption!$R$345,0)</f>
        <v>0</v>
      </c>
      <c r="EB90" s="158" t="n">
        <f aca="false">IF(EB6=Assumption!$E$14,Assumption!$R$342*(1-Assumption!$D$538)+Assumption!$R$343+Assumption!$R$344+Assumption!$R$345,0)</f>
        <v>0</v>
      </c>
      <c r="EC90" s="158" t="n">
        <f aca="false">IF(EC6=Assumption!$E$14,Assumption!$R$342*(1-Assumption!$D$538)+Assumption!$R$343+Assumption!$R$344+Assumption!$R$345,0)</f>
        <v>0</v>
      </c>
      <c r="ED90" s="158" t="n">
        <f aca="false">IF(ED6=Assumption!$E$14,Assumption!$R$342*(1-Assumption!$D$538)+Assumption!$R$343+Assumption!$R$344+Assumption!$R$345,0)</f>
        <v>0</v>
      </c>
      <c r="EE90" s="158" t="n">
        <f aca="false">IF(EE6=Assumption!$E$14,Assumption!$R$342*(1-Assumption!$D$538)+Assumption!$R$343+Assumption!$R$344+Assumption!$R$345,0)</f>
        <v>0</v>
      </c>
      <c r="EF90" s="158" t="n">
        <f aca="false">IF(EF6=Assumption!$E$14,Assumption!$R$342*(1-Assumption!$D$538)+Assumption!$R$343+Assumption!$R$344+Assumption!$R$345,0)</f>
        <v>0</v>
      </c>
    </row>
    <row r="91" customFormat="false" ht="15" hidden="false" customHeight="false" outlineLevel="0" collapsed="false">
      <c r="A91" s="35" t="s">
        <v>550</v>
      </c>
      <c r="B91" s="241" t="s">
        <v>116</v>
      </c>
      <c r="C91" s="242" t="n">
        <f aca="false">SUM(E91:EF91)</f>
        <v>5324</v>
      </c>
      <c r="E91" s="158" t="n">
        <f aca="false">E11*Assumption!$R$346/Assumption!$E$15</f>
        <v>0</v>
      </c>
      <c r="F91" s="158" t="n">
        <f aca="false">F11*Assumption!$R$346/Assumption!$E$15</f>
        <v>0</v>
      </c>
      <c r="G91" s="158" t="n">
        <f aca="false">G11*Assumption!$R$346/Assumption!$E$15</f>
        <v>0</v>
      </c>
      <c r="H91" s="158" t="n">
        <f aca="false">H11*Assumption!$R$346/Assumption!$E$15</f>
        <v>0</v>
      </c>
      <c r="I91" s="158" t="n">
        <f aca="false">I11*Assumption!$R$346/Assumption!$E$15</f>
        <v>0</v>
      </c>
      <c r="J91" s="158" t="n">
        <f aca="false">J11*Assumption!$R$346/Assumption!$E$15</f>
        <v>0</v>
      </c>
      <c r="K91" s="158" t="n">
        <f aca="false">K11*Assumption!$R$346/Assumption!$E$15</f>
        <v>0</v>
      </c>
      <c r="L91" s="158" t="n">
        <f aca="false">L11*Assumption!$R$346/Assumption!$E$15</f>
        <v>0</v>
      </c>
      <c r="M91" s="158" t="n">
        <f aca="false">M11*Assumption!$R$346/Assumption!$E$15</f>
        <v>0</v>
      </c>
      <c r="N91" s="158" t="n">
        <f aca="false">N11*Assumption!$R$346/Assumption!$E$15</f>
        <v>0</v>
      </c>
      <c r="O91" s="158" t="n">
        <f aca="false">O11*Assumption!$R$346/Assumption!$E$15</f>
        <v>0</v>
      </c>
      <c r="P91" s="158" t="n">
        <f aca="false">P11*Assumption!$R$346/Assumption!$E$15</f>
        <v>0</v>
      </c>
      <c r="Q91" s="158" t="n">
        <f aca="false">Q11*Assumption!$R$346/Assumption!$E$15</f>
        <v>0</v>
      </c>
      <c r="R91" s="158" t="n">
        <f aca="false">R11*Assumption!$R$346/Assumption!$E$15</f>
        <v>0</v>
      </c>
      <c r="S91" s="158" t="n">
        <f aca="false">S11*Assumption!$R$346/Assumption!$E$15</f>
        <v>0</v>
      </c>
      <c r="T91" s="158" t="n">
        <f aca="false">T11*Assumption!$R$346/Assumption!$E$15</f>
        <v>0</v>
      </c>
      <c r="U91" s="158" t="n">
        <f aca="false">U11*Assumption!$R$346/Assumption!$E$15</f>
        <v>0</v>
      </c>
      <c r="V91" s="158" t="n">
        <f aca="false">V11*Assumption!$R$346/Assumption!$E$15</f>
        <v>0</v>
      </c>
      <c r="W91" s="158" t="n">
        <f aca="false">W11*Assumption!$R$346/Assumption!$E$15</f>
        <v>126.761904761905</v>
      </c>
      <c r="X91" s="158" t="n">
        <f aca="false">X11*Assumption!$R$346/Assumption!$E$15</f>
        <v>126.761904761905</v>
      </c>
      <c r="Y91" s="158" t="n">
        <f aca="false">Y11*Assumption!$R$346/Assumption!$E$15</f>
        <v>126.761904761905</v>
      </c>
      <c r="Z91" s="158" t="n">
        <f aca="false">Z11*Assumption!$R$346/Assumption!$E$15</f>
        <v>126.761904761905</v>
      </c>
      <c r="AA91" s="158" t="n">
        <f aca="false">AA11*Assumption!$R$346/Assumption!$E$15</f>
        <v>126.761904761905</v>
      </c>
      <c r="AB91" s="158" t="n">
        <f aca="false">AB11*Assumption!$R$346/Assumption!$E$15</f>
        <v>126.761904761905</v>
      </c>
      <c r="AC91" s="158" t="n">
        <f aca="false">AC11*Assumption!$R$346/Assumption!$E$15</f>
        <v>126.761904761905</v>
      </c>
      <c r="AD91" s="158" t="n">
        <f aca="false">AD11*Assumption!$R$346/Assumption!$E$15</f>
        <v>126.761904761905</v>
      </c>
      <c r="AE91" s="158" t="n">
        <f aca="false">AE11*Assumption!$R$346/Assumption!$E$15</f>
        <v>126.761904761905</v>
      </c>
      <c r="AF91" s="158" t="n">
        <f aca="false">AF11*Assumption!$R$346/Assumption!$E$15</f>
        <v>126.761904761905</v>
      </c>
      <c r="AG91" s="158" t="n">
        <f aca="false">AG11*Assumption!$R$346/Assumption!$E$15</f>
        <v>126.761904761905</v>
      </c>
      <c r="AH91" s="158" t="n">
        <f aca="false">AH11*Assumption!$R$346/Assumption!$E$15</f>
        <v>126.761904761905</v>
      </c>
      <c r="AI91" s="158" t="n">
        <f aca="false">AI11*Assumption!$R$346/Assumption!$E$15</f>
        <v>126.761904761905</v>
      </c>
      <c r="AJ91" s="158" t="n">
        <f aca="false">AJ11*Assumption!$R$346/Assumption!$E$15</f>
        <v>126.761904761905</v>
      </c>
      <c r="AK91" s="158" t="n">
        <f aca="false">AK11*Assumption!$R$346/Assumption!$E$15</f>
        <v>126.761904761905</v>
      </c>
      <c r="AL91" s="158" t="n">
        <f aca="false">AL11*Assumption!$R$346/Assumption!$E$15</f>
        <v>126.761904761905</v>
      </c>
      <c r="AM91" s="158" t="n">
        <f aca="false">AM11*Assumption!$R$346/Assumption!$E$15</f>
        <v>126.761904761905</v>
      </c>
      <c r="AN91" s="158" t="n">
        <f aca="false">AN11*Assumption!$R$346/Assumption!$E$15</f>
        <v>126.761904761905</v>
      </c>
      <c r="AO91" s="158" t="n">
        <f aca="false">AO11*Assumption!$R$346/Assumption!$E$15</f>
        <v>126.761904761905</v>
      </c>
      <c r="AP91" s="158" t="n">
        <f aca="false">AP11*Assumption!$R$346/Assumption!$E$15</f>
        <v>126.761904761905</v>
      </c>
      <c r="AQ91" s="158" t="n">
        <f aca="false">AQ11*Assumption!$R$346/Assumption!$E$15</f>
        <v>126.761904761905</v>
      </c>
      <c r="AR91" s="158" t="n">
        <f aca="false">AR11*Assumption!$R$346/Assumption!$E$15</f>
        <v>126.761904761905</v>
      </c>
      <c r="AS91" s="158" t="n">
        <f aca="false">AS11*Assumption!$R$346/Assumption!$E$15</f>
        <v>126.761904761905</v>
      </c>
      <c r="AT91" s="158" t="n">
        <f aca="false">AT11*Assumption!$R$346/Assumption!$E$15</f>
        <v>126.761904761905</v>
      </c>
      <c r="AU91" s="158" t="n">
        <f aca="false">AU11*Assumption!$R$346/Assumption!$E$15</f>
        <v>126.761904761905</v>
      </c>
      <c r="AV91" s="158" t="n">
        <f aca="false">AV11*Assumption!$R$346/Assumption!$E$15</f>
        <v>126.761904761905</v>
      </c>
      <c r="AW91" s="158" t="n">
        <f aca="false">AW11*Assumption!$R$346/Assumption!$E$15</f>
        <v>126.761904761905</v>
      </c>
      <c r="AX91" s="158" t="n">
        <f aca="false">AX11*Assumption!$R$346/Assumption!$E$15</f>
        <v>126.761904761905</v>
      </c>
      <c r="AY91" s="158" t="n">
        <f aca="false">AY11*Assumption!$R$346/Assumption!$E$15</f>
        <v>126.761904761905</v>
      </c>
      <c r="AZ91" s="158" t="n">
        <f aca="false">AZ11*Assumption!$R$346/Assumption!$E$15</f>
        <v>126.761904761905</v>
      </c>
      <c r="BA91" s="158" t="n">
        <f aca="false">BA11*Assumption!$R$346/Assumption!$E$15</f>
        <v>126.761904761905</v>
      </c>
      <c r="BB91" s="158" t="n">
        <f aca="false">BB11*Assumption!$R$346/Assumption!$E$15</f>
        <v>126.761904761905</v>
      </c>
      <c r="BC91" s="158" t="n">
        <f aca="false">BC11*Assumption!$R$346/Assumption!$E$15</f>
        <v>126.761904761905</v>
      </c>
      <c r="BD91" s="158" t="n">
        <f aca="false">BD11*Assumption!$R$346/Assumption!$E$15</f>
        <v>126.761904761905</v>
      </c>
      <c r="BE91" s="158" t="n">
        <f aca="false">BE11*Assumption!$R$346/Assumption!$E$15</f>
        <v>126.761904761905</v>
      </c>
      <c r="BF91" s="158" t="n">
        <f aca="false">BF11*Assumption!$R$346/Assumption!$E$15</f>
        <v>126.761904761905</v>
      </c>
      <c r="BG91" s="158" t="n">
        <f aca="false">BG11*Assumption!$R$346/Assumption!$E$15</f>
        <v>126.761904761905</v>
      </c>
      <c r="BH91" s="158" t="n">
        <f aca="false">BH11*Assumption!$R$346/Assumption!$E$15</f>
        <v>126.761904761905</v>
      </c>
      <c r="BI91" s="158" t="n">
        <f aca="false">BI11*Assumption!$R$346/Assumption!$E$15</f>
        <v>126.761904761905</v>
      </c>
      <c r="BJ91" s="158" t="n">
        <f aca="false">BJ11*Assumption!$R$346/Assumption!$E$15</f>
        <v>126.761904761905</v>
      </c>
      <c r="BK91" s="158" t="n">
        <f aca="false">BK11*Assumption!$R$346/Assumption!$E$15</f>
        <v>126.761904761905</v>
      </c>
      <c r="BL91" s="158" t="n">
        <f aca="false">BL11*Assumption!$R$346/Assumption!$E$15</f>
        <v>126.761904761905</v>
      </c>
      <c r="BM91" s="158" t="n">
        <f aca="false">BM11*Assumption!$R$346/Assumption!$E$15</f>
        <v>0</v>
      </c>
      <c r="BN91" s="158" t="n">
        <f aca="false">BN11*Assumption!$R$346/Assumption!$E$15</f>
        <v>0</v>
      </c>
      <c r="BO91" s="158" t="n">
        <f aca="false">BO11*Assumption!$R$346/Assumption!$E$15</f>
        <v>0</v>
      </c>
      <c r="BP91" s="158" t="n">
        <f aca="false">BP11*Assumption!$R$346/Assumption!$E$15</f>
        <v>0</v>
      </c>
      <c r="BQ91" s="158" t="n">
        <f aca="false">BQ11*Assumption!$R$346/Assumption!$E$15</f>
        <v>0</v>
      </c>
      <c r="BR91" s="158" t="n">
        <f aca="false">BR11*Assumption!$R$346/Assumption!$E$15</f>
        <v>0</v>
      </c>
      <c r="BS91" s="158" t="n">
        <f aca="false">BS11*Assumption!$R$346/Assumption!$E$15</f>
        <v>0</v>
      </c>
      <c r="BT91" s="158" t="n">
        <f aca="false">BT11*Assumption!$R$346/Assumption!$E$15</f>
        <v>0</v>
      </c>
      <c r="BU91" s="158" t="n">
        <f aca="false">BU11*Assumption!$R$346/Assumption!$E$15</f>
        <v>0</v>
      </c>
      <c r="BV91" s="158" t="n">
        <f aca="false">BV11*Assumption!$R$346/Assumption!$E$15</f>
        <v>0</v>
      </c>
      <c r="BW91" s="158" t="n">
        <f aca="false">BW11*Assumption!$R$346/Assumption!$E$15</f>
        <v>0</v>
      </c>
      <c r="BX91" s="158" t="n">
        <f aca="false">BX11*Assumption!$R$346/Assumption!$E$15</f>
        <v>0</v>
      </c>
      <c r="BY91" s="158" t="n">
        <f aca="false">BY11*Assumption!$R$346/Assumption!$E$15</f>
        <v>0</v>
      </c>
      <c r="BZ91" s="158" t="n">
        <f aca="false">BZ11*Assumption!$R$346/Assumption!$E$15</f>
        <v>0</v>
      </c>
      <c r="CA91" s="158" t="n">
        <f aca="false">CA11*Assumption!$R$346/Assumption!$E$15</f>
        <v>0</v>
      </c>
      <c r="CB91" s="158" t="n">
        <f aca="false">CB11*Assumption!$R$346/Assumption!$E$15</f>
        <v>0</v>
      </c>
      <c r="CC91" s="158" t="n">
        <f aca="false">CC11*Assumption!$R$346/Assumption!$E$15</f>
        <v>0</v>
      </c>
      <c r="CD91" s="158" t="n">
        <f aca="false">CD11*Assumption!$R$346/Assumption!$E$15</f>
        <v>0</v>
      </c>
      <c r="CE91" s="158" t="n">
        <f aca="false">CE11*Assumption!$R$346/Assumption!$E$15</f>
        <v>0</v>
      </c>
      <c r="CF91" s="158" t="n">
        <f aca="false">CF11*Assumption!$R$346/Assumption!$E$15</f>
        <v>0</v>
      </c>
      <c r="CG91" s="158" t="n">
        <f aca="false">CG11*Assumption!$R$346/Assumption!$E$15</f>
        <v>0</v>
      </c>
      <c r="CH91" s="158" t="n">
        <f aca="false">CH11*Assumption!$R$346/Assumption!$E$15</f>
        <v>0</v>
      </c>
      <c r="CI91" s="158" t="n">
        <f aca="false">CI11*Assumption!$R$346/Assumption!$E$15</f>
        <v>0</v>
      </c>
      <c r="CJ91" s="158" t="n">
        <f aca="false">CJ11*Assumption!$R$346/Assumption!$E$15</f>
        <v>0</v>
      </c>
      <c r="CK91" s="158" t="n">
        <f aca="false">CK11*Assumption!$R$346/Assumption!$E$15</f>
        <v>0</v>
      </c>
      <c r="CL91" s="158" t="n">
        <f aca="false">CL11*Assumption!$R$346/Assumption!$E$15</f>
        <v>0</v>
      </c>
      <c r="CM91" s="158" t="n">
        <f aca="false">CM11*Assumption!$R$346/Assumption!$E$15</f>
        <v>0</v>
      </c>
      <c r="CN91" s="158" t="n">
        <f aca="false">CN11*Assumption!$R$346/Assumption!$E$15</f>
        <v>0</v>
      </c>
      <c r="CO91" s="158" t="n">
        <f aca="false">CO11*Assumption!$R$346/Assumption!$E$15</f>
        <v>0</v>
      </c>
      <c r="CP91" s="158" t="n">
        <f aca="false">CP11*Assumption!$R$346/Assumption!$E$15</f>
        <v>0</v>
      </c>
      <c r="CQ91" s="158" t="n">
        <f aca="false">CQ11*Assumption!$R$346/Assumption!$E$15</f>
        <v>0</v>
      </c>
      <c r="CR91" s="158" t="n">
        <f aca="false">CR11*Assumption!$R$346/Assumption!$E$15</f>
        <v>0</v>
      </c>
      <c r="CS91" s="158" t="n">
        <f aca="false">CS11*Assumption!$R$346/Assumption!$E$15</f>
        <v>0</v>
      </c>
      <c r="CT91" s="158" t="n">
        <f aca="false">CT11*Assumption!$R$346/Assumption!$E$15</f>
        <v>0</v>
      </c>
      <c r="CU91" s="158" t="n">
        <f aca="false">CU11*Assumption!$R$346/Assumption!$E$15</f>
        <v>0</v>
      </c>
      <c r="CV91" s="158" t="n">
        <f aca="false">CV11*Assumption!$R$346/Assumption!$E$15</f>
        <v>0</v>
      </c>
      <c r="CW91" s="158" t="n">
        <f aca="false">CW11*Assumption!$R$346/Assumption!$E$15</f>
        <v>0</v>
      </c>
      <c r="CX91" s="158" t="n">
        <f aca="false">CX11*Assumption!$R$346/Assumption!$E$15</f>
        <v>0</v>
      </c>
      <c r="CY91" s="158" t="n">
        <f aca="false">CY11*Assumption!$R$346/Assumption!$E$15</f>
        <v>0</v>
      </c>
      <c r="CZ91" s="158" t="n">
        <f aca="false">CZ11*Assumption!$R$346/Assumption!$E$15</f>
        <v>0</v>
      </c>
      <c r="DA91" s="158" t="n">
        <f aca="false">DA11*Assumption!$R$346/Assumption!$E$15</f>
        <v>0</v>
      </c>
      <c r="DB91" s="158" t="n">
        <f aca="false">DB11*Assumption!$R$346/Assumption!$E$15</f>
        <v>0</v>
      </c>
      <c r="DC91" s="158" t="n">
        <f aca="false">DC11*Assumption!$R$346/Assumption!$E$15</f>
        <v>0</v>
      </c>
      <c r="DD91" s="158" t="n">
        <f aca="false">DD11*Assumption!$R$346/Assumption!$E$15</f>
        <v>0</v>
      </c>
      <c r="DE91" s="158" t="n">
        <f aca="false">DE11*Assumption!$R$346/Assumption!$E$15</f>
        <v>0</v>
      </c>
      <c r="DF91" s="158" t="n">
        <f aca="false">DF11*Assumption!$R$346/Assumption!$E$15</f>
        <v>0</v>
      </c>
      <c r="DG91" s="158" t="n">
        <f aca="false">DG11*Assumption!$R$346/Assumption!$E$15</f>
        <v>0</v>
      </c>
      <c r="DH91" s="158" t="n">
        <f aca="false">DH11*Assumption!$R$346/Assumption!$E$15</f>
        <v>0</v>
      </c>
      <c r="DI91" s="158" t="n">
        <f aca="false">DI11*Assumption!$R$346/Assumption!$E$15</f>
        <v>0</v>
      </c>
      <c r="DJ91" s="158" t="n">
        <f aca="false">DJ11*Assumption!$R$346/Assumption!$E$15</f>
        <v>0</v>
      </c>
      <c r="DK91" s="158" t="n">
        <f aca="false">DK11*Assumption!$R$346/Assumption!$E$15</f>
        <v>0</v>
      </c>
      <c r="DL91" s="158" t="n">
        <f aca="false">DL11*Assumption!$R$346/Assumption!$E$15</f>
        <v>0</v>
      </c>
      <c r="DM91" s="158" t="n">
        <f aca="false">DM11*Assumption!$R$346/Assumption!$E$15</f>
        <v>0</v>
      </c>
      <c r="DN91" s="158" t="n">
        <f aca="false">DN11*Assumption!$R$346/Assumption!$E$15</f>
        <v>0</v>
      </c>
      <c r="DO91" s="158" t="n">
        <f aca="false">DO11*Assumption!$R$346/Assumption!$E$15</f>
        <v>0</v>
      </c>
      <c r="DP91" s="158" t="n">
        <f aca="false">DP11*Assumption!$R$346/Assumption!$E$15</f>
        <v>0</v>
      </c>
      <c r="DQ91" s="158" t="n">
        <f aca="false">DQ11*Assumption!$R$346/Assumption!$E$15</f>
        <v>0</v>
      </c>
      <c r="DR91" s="158" t="n">
        <f aca="false">DR11*Assumption!$R$346/Assumption!$E$15</f>
        <v>0</v>
      </c>
      <c r="DS91" s="158" t="n">
        <f aca="false">DS11*Assumption!$R$346/Assumption!$E$15</f>
        <v>0</v>
      </c>
      <c r="DT91" s="158" t="n">
        <f aca="false">DT11*Assumption!$R$346/Assumption!$E$15</f>
        <v>0</v>
      </c>
      <c r="DU91" s="158" t="n">
        <f aca="false">DU11*Assumption!$R$346/Assumption!$E$15</f>
        <v>0</v>
      </c>
      <c r="DV91" s="158" t="n">
        <f aca="false">DV11*Assumption!$R$346/Assumption!$E$15</f>
        <v>0</v>
      </c>
      <c r="DW91" s="158" t="n">
        <f aca="false">DW11*Assumption!$R$346/Assumption!$E$15</f>
        <v>0</v>
      </c>
      <c r="DX91" s="158" t="n">
        <f aca="false">DX11*Assumption!$R$346/Assumption!$E$15</f>
        <v>0</v>
      </c>
      <c r="DY91" s="158" t="n">
        <f aca="false">DY11*Assumption!$R$346/Assumption!$E$15</f>
        <v>0</v>
      </c>
      <c r="DZ91" s="158" t="n">
        <f aca="false">DZ11*Assumption!$R$346/Assumption!$E$15</f>
        <v>0</v>
      </c>
      <c r="EA91" s="158" t="n">
        <f aca="false">EA11*Assumption!$R$346/Assumption!$E$15</f>
        <v>0</v>
      </c>
      <c r="EB91" s="158" t="n">
        <f aca="false">EB11*Assumption!$R$346/Assumption!$E$15</f>
        <v>0</v>
      </c>
      <c r="EC91" s="158" t="n">
        <f aca="false">EC11*Assumption!$R$346/Assumption!$E$15</f>
        <v>0</v>
      </c>
      <c r="ED91" s="158" t="n">
        <f aca="false">ED11*Assumption!$R$346/Assumption!$E$15</f>
        <v>0</v>
      </c>
      <c r="EE91" s="158" t="n">
        <f aca="false">EE11*Assumption!$R$346/Assumption!$E$15</f>
        <v>0</v>
      </c>
      <c r="EF91" s="158" t="n">
        <f aca="false">EF11*Assumption!$R$346/Assumption!$E$15</f>
        <v>0</v>
      </c>
    </row>
    <row r="92" customFormat="false" ht="15" hidden="false" customHeight="false" outlineLevel="0" collapsed="false">
      <c r="A92" s="35" t="s">
        <v>551</v>
      </c>
      <c r="B92" s="241" t="s">
        <v>116</v>
      </c>
      <c r="C92" s="242" t="n">
        <f aca="false">SUM(E92:EF92)</f>
        <v>554609.172934095</v>
      </c>
      <c r="E92" s="158" t="n">
        <f aca="false">E13*(Assumption!$R$351-Assumption!$E$417)</f>
        <v>0</v>
      </c>
      <c r="F92" s="158" t="n">
        <f aca="false">F13*(Assumption!$R$351-Assumption!$E$417)</f>
        <v>0</v>
      </c>
      <c r="G92" s="158" t="n">
        <f aca="false">G13*(Assumption!$R$351-Assumption!$E$417)</f>
        <v>0</v>
      </c>
      <c r="H92" s="158" t="n">
        <f aca="false">H13*(Assumption!$R$351-Assumption!$E$417)</f>
        <v>0</v>
      </c>
      <c r="I92" s="158" t="n">
        <f aca="false">I13*(Assumption!$R$351-Assumption!$E$417)</f>
        <v>0</v>
      </c>
      <c r="J92" s="158" t="n">
        <f aca="false">J13*(Assumption!$R$351-Assumption!$E$417)</f>
        <v>0</v>
      </c>
      <c r="K92" s="158" t="n">
        <f aca="false">K13*(Assumption!$R$351-Assumption!$E$417)</f>
        <v>0</v>
      </c>
      <c r="L92" s="158" t="n">
        <f aca="false">L13*(Assumption!$R$351-Assumption!$E$417)</f>
        <v>0</v>
      </c>
      <c r="M92" s="158" t="n">
        <f aca="false">M13*(Assumption!$R$351-Assumption!$E$417)</f>
        <v>0</v>
      </c>
      <c r="N92" s="158" t="n">
        <f aca="false">N13*(Assumption!$R$351-Assumption!$E$417)</f>
        <v>0</v>
      </c>
      <c r="O92" s="158" t="n">
        <f aca="false">O13*(Assumption!$R$351-Assumption!$E$417)</f>
        <v>0</v>
      </c>
      <c r="P92" s="158" t="n">
        <f aca="false">P13*(Assumption!$R$351-Assumption!$E$417)</f>
        <v>0</v>
      </c>
      <c r="Q92" s="158" t="n">
        <f aca="false">Q13*(Assumption!$R$351-Assumption!$E$417)</f>
        <v>0</v>
      </c>
      <c r="R92" s="158" t="n">
        <f aca="false">R13*(Assumption!$R$351-Assumption!$E$417)</f>
        <v>0</v>
      </c>
      <c r="S92" s="158" t="n">
        <f aca="false">S13*(Assumption!$R$351-Assumption!$E$417)</f>
        <v>0</v>
      </c>
      <c r="T92" s="158" t="n">
        <f aca="false">T13*(Assumption!$R$351-Assumption!$E$417)</f>
        <v>0</v>
      </c>
      <c r="U92" s="158" t="n">
        <f aca="false">U13*(Assumption!$R$351-Assumption!$E$417)</f>
        <v>0</v>
      </c>
      <c r="V92" s="158" t="n">
        <f aca="false">V13*(Assumption!$R$351-Assumption!$E$417)</f>
        <v>0</v>
      </c>
      <c r="W92" s="158" t="n">
        <f aca="false">W13*(Assumption!$R$351-Assumption!$E$417)</f>
        <v>775.399866350837</v>
      </c>
      <c r="X92" s="158" t="n">
        <f aca="false">X13*(Assumption!$R$351-Assumption!$E$417)</f>
        <v>2321.86324846849</v>
      </c>
      <c r="Y92" s="158" t="n">
        <f aca="false">Y13*(Assumption!$R$351-Assumption!$E$417)</f>
        <v>3855.34182946557</v>
      </c>
      <c r="Z92" s="158" t="n">
        <f aca="false">Z13*(Assumption!$R$351-Assumption!$E$417)</f>
        <v>5367.25977508056</v>
      </c>
      <c r="AA92" s="158" t="n">
        <f aca="false">AA13*(Assumption!$R$351-Assumption!$E$417)</f>
        <v>6849.16182687066</v>
      </c>
      <c r="AB92" s="158" t="n">
        <f aca="false">AB13*(Assumption!$R$351-Assumption!$E$417)</f>
        <v>8292.76058744709</v>
      </c>
      <c r="AC92" s="158" t="n">
        <f aca="false">AC13*(Assumption!$R$351-Assumption!$E$417)</f>
        <v>9689.98286696268</v>
      </c>
      <c r="AD92" s="158" t="n">
        <f aca="false">AD13*(Assumption!$R$351-Assumption!$E$417)</f>
        <v>11033.0148316645</v>
      </c>
      <c r="AE92" s="158" t="n">
        <f aca="false">AE13*(Assumption!$R$351-Assumption!$E$417)</f>
        <v>12314.3457020215</v>
      </c>
      <c r="AF92" s="158" t="n">
        <f aca="false">AF13*(Assumption!$R$351-Assumption!$E$417)</f>
        <v>13526.8097560506</v>
      </c>
      <c r="AG92" s="158" t="n">
        <f aca="false">AG13*(Assumption!$R$351-Assumption!$E$417)</f>
        <v>14663.6264029407</v>
      </c>
      <c r="AH92" s="158" t="n">
        <f aca="false">AH13*(Assumption!$R$351-Assumption!$E$417)</f>
        <v>15718.4381028669</v>
      </c>
      <c r="AI92" s="158" t="n">
        <f aca="false">AI13*(Assumption!$R$351-Assumption!$E$417)</f>
        <v>16685.3459209316</v>
      </c>
      <c r="AJ92" s="158" t="n">
        <f aca="false">AJ13*(Assumption!$R$351-Assumption!$E$417)</f>
        <v>17558.9425164021</v>
      </c>
      <c r="AK92" s="158" t="n">
        <f aca="false">AK13*(Assumption!$R$351-Assumption!$E$417)</f>
        <v>18334.342382753</v>
      </c>
      <c r="AL92" s="158" t="n">
        <f aca="false">AL13*(Assumption!$R$351-Assumption!$E$417)</f>
        <v>19007.2091694001</v>
      </c>
      <c r="AM92" s="158" t="n">
        <f aca="false">AM13*(Assumption!$R$351-Assumption!$E$417)</f>
        <v>19573.7799323325</v>
      </c>
      <c r="AN92" s="158" t="n">
        <f aca="false">AN13*(Assumption!$R$351-Assumption!$E$417)</f>
        <v>20030.8861780213</v>
      </c>
      <c r="AO92" s="158" t="n">
        <f aca="false">AO13*(Assumption!$R$351-Assumption!$E$417)</f>
        <v>20375.9715829212</v>
      </c>
      <c r="AP92" s="158" t="n">
        <f aca="false">AP13*(Assumption!$R$351-Assumption!$E$417)</f>
        <v>20607.1062894686</v>
      </c>
      <c r="AQ92" s="158" t="n">
        <f aca="false">AQ13*(Assumption!$R$351-Assumption!$E$417)</f>
        <v>20722.9976986272</v>
      </c>
      <c r="AR92" s="158" t="n">
        <f aca="false">AR13*(Assumption!$R$351-Assumption!$E$417)</f>
        <v>20722.9976986271</v>
      </c>
      <c r="AS92" s="158" t="n">
        <f aca="false">AS13*(Assumption!$R$351-Assumption!$E$417)</f>
        <v>20607.1062894686</v>
      </c>
      <c r="AT92" s="158" t="n">
        <f aca="false">AT13*(Assumption!$R$351-Assumption!$E$417)</f>
        <v>20375.9715829213</v>
      </c>
      <c r="AU92" s="158" t="n">
        <f aca="false">AU13*(Assumption!$R$351-Assumption!$E$417)</f>
        <v>20030.8861780213</v>
      </c>
      <c r="AV92" s="158" t="n">
        <f aca="false">AV13*(Assumption!$R$351-Assumption!$E$417)</f>
        <v>19573.7799323325</v>
      </c>
      <c r="AW92" s="158" t="n">
        <f aca="false">AW13*(Assumption!$R$351-Assumption!$E$417)</f>
        <v>19007.2091694</v>
      </c>
      <c r="AX92" s="158" t="n">
        <f aca="false">AX13*(Assumption!$R$351-Assumption!$E$417)</f>
        <v>18334.3423827529</v>
      </c>
      <c r="AY92" s="158" t="n">
        <f aca="false">AY13*(Assumption!$R$351-Assumption!$E$417)</f>
        <v>17558.9425164022</v>
      </c>
      <c r="AZ92" s="158" t="n">
        <f aca="false">AZ13*(Assumption!$R$351-Assumption!$E$417)</f>
        <v>16685.3459209316</v>
      </c>
      <c r="BA92" s="158" t="n">
        <f aca="false">BA13*(Assumption!$R$351-Assumption!$E$417)</f>
        <v>15718.4381028668</v>
      </c>
      <c r="BB92" s="158" t="n">
        <f aca="false">BB13*(Assumption!$R$351-Assumption!$E$417)</f>
        <v>14663.6264029408</v>
      </c>
      <c r="BC92" s="158" t="n">
        <f aca="false">BC13*(Assumption!$R$351-Assumption!$E$417)</f>
        <v>13526.8097560506</v>
      </c>
      <c r="BD92" s="158" t="n">
        <f aca="false">BD13*(Assumption!$R$351-Assumption!$E$417)</f>
        <v>12314.3457020215</v>
      </c>
      <c r="BE92" s="158" t="n">
        <f aca="false">BE13*(Assumption!$R$351-Assumption!$E$417)</f>
        <v>11033.0148316644</v>
      </c>
      <c r="BF92" s="158" t="n">
        <f aca="false">BF13*(Assumption!$R$351-Assumption!$E$417)</f>
        <v>9689.98286696271</v>
      </c>
      <c r="BG92" s="158" t="n">
        <f aca="false">BG13*(Assumption!$R$351-Assumption!$E$417)</f>
        <v>8292.76058744715</v>
      </c>
      <c r="BH92" s="158" t="n">
        <f aca="false">BH13*(Assumption!$R$351-Assumption!$E$417)</f>
        <v>6849.1618268706</v>
      </c>
      <c r="BI92" s="158" t="n">
        <f aca="false">BI13*(Assumption!$R$351-Assumption!$E$417)</f>
        <v>5367.25977508059</v>
      </c>
      <c r="BJ92" s="158" t="n">
        <f aca="false">BJ13*(Assumption!$R$351-Assumption!$E$417)</f>
        <v>3855.34182946557</v>
      </c>
      <c r="BK92" s="158" t="n">
        <f aca="false">BK13*(Assumption!$R$351-Assumption!$E$417)</f>
        <v>2321.86324846849</v>
      </c>
      <c r="BL92" s="158" t="n">
        <f aca="false">BL13*(Assumption!$R$351-Assumption!$E$417)</f>
        <v>775.399866350837</v>
      </c>
      <c r="BM92" s="158" t="n">
        <f aca="false">BM13*(Assumption!$R$351-Assumption!$E$417)</f>
        <v>0</v>
      </c>
      <c r="BN92" s="158" t="n">
        <f aca="false">BN13*(Assumption!$R$351-Assumption!$E$417)</f>
        <v>0</v>
      </c>
      <c r="BO92" s="158" t="n">
        <f aca="false">BO13*(Assumption!$R$351-Assumption!$E$417)</f>
        <v>0</v>
      </c>
      <c r="BP92" s="158" t="n">
        <f aca="false">BP13*(Assumption!$R$351-Assumption!$E$417)</f>
        <v>0</v>
      </c>
      <c r="BQ92" s="158" t="n">
        <f aca="false">BQ13*(Assumption!$R$351-Assumption!$E$417)</f>
        <v>0</v>
      </c>
      <c r="BR92" s="158" t="n">
        <f aca="false">BR13*(Assumption!$R$351-Assumption!$E$417)</f>
        <v>0</v>
      </c>
      <c r="BS92" s="158" t="n">
        <f aca="false">BS13*(Assumption!$R$351-Assumption!$E$417)</f>
        <v>0</v>
      </c>
      <c r="BT92" s="158" t="n">
        <f aca="false">BT13*(Assumption!$R$351-Assumption!$E$417)</f>
        <v>0</v>
      </c>
      <c r="BU92" s="158" t="n">
        <f aca="false">BU13*(Assumption!$R$351-Assumption!$E$417)</f>
        <v>0</v>
      </c>
      <c r="BV92" s="158" t="n">
        <f aca="false">BV13*(Assumption!$R$351-Assumption!$E$417)</f>
        <v>0</v>
      </c>
      <c r="BW92" s="158" t="n">
        <f aca="false">BW13*(Assumption!$R$351-Assumption!$E$417)</f>
        <v>0</v>
      </c>
      <c r="BX92" s="158" t="n">
        <f aca="false">BX13*(Assumption!$R$351-Assumption!$E$417)</f>
        <v>0</v>
      </c>
      <c r="BY92" s="158" t="n">
        <f aca="false">BY13*(Assumption!$R$351-Assumption!$E$417)</f>
        <v>0</v>
      </c>
      <c r="BZ92" s="158" t="n">
        <f aca="false">BZ13*(Assumption!$R$351-Assumption!$E$417)</f>
        <v>0</v>
      </c>
      <c r="CA92" s="158" t="n">
        <f aca="false">CA13*(Assumption!$R$351-Assumption!$E$417)</f>
        <v>0</v>
      </c>
      <c r="CB92" s="158" t="n">
        <f aca="false">CB13*(Assumption!$R$351-Assumption!$E$417)</f>
        <v>0</v>
      </c>
      <c r="CC92" s="158" t="n">
        <f aca="false">CC13*(Assumption!$R$351-Assumption!$E$417)</f>
        <v>0</v>
      </c>
      <c r="CD92" s="158" t="n">
        <f aca="false">CD13*(Assumption!$R$351-Assumption!$E$417)</f>
        <v>0</v>
      </c>
      <c r="CE92" s="158" t="n">
        <f aca="false">CE13*(Assumption!$R$351-Assumption!$E$417)</f>
        <v>0</v>
      </c>
      <c r="CF92" s="158" t="n">
        <f aca="false">CF13*(Assumption!$R$351-Assumption!$E$417)</f>
        <v>0</v>
      </c>
      <c r="CG92" s="158" t="n">
        <f aca="false">CG13*(Assumption!$R$351-Assumption!$E$417)</f>
        <v>0</v>
      </c>
      <c r="CH92" s="158" t="n">
        <f aca="false">CH13*(Assumption!$R$351-Assumption!$E$417)</f>
        <v>0</v>
      </c>
      <c r="CI92" s="158" t="n">
        <f aca="false">CI13*(Assumption!$R$351-Assumption!$E$417)</f>
        <v>0</v>
      </c>
      <c r="CJ92" s="158" t="n">
        <f aca="false">CJ13*(Assumption!$R$351-Assumption!$E$417)</f>
        <v>0</v>
      </c>
      <c r="CK92" s="158" t="n">
        <f aca="false">CK13*(Assumption!$R$351-Assumption!$E$417)</f>
        <v>0</v>
      </c>
      <c r="CL92" s="158" t="n">
        <f aca="false">CL13*(Assumption!$R$351-Assumption!$E$417)</f>
        <v>0</v>
      </c>
      <c r="CM92" s="158" t="n">
        <f aca="false">CM13*(Assumption!$R$351-Assumption!$E$417)</f>
        <v>0</v>
      </c>
      <c r="CN92" s="158" t="n">
        <f aca="false">CN13*(Assumption!$R$351-Assumption!$E$417)</f>
        <v>0</v>
      </c>
      <c r="CO92" s="158" t="n">
        <f aca="false">CO13*(Assumption!$R$351-Assumption!$E$417)</f>
        <v>0</v>
      </c>
      <c r="CP92" s="158" t="n">
        <f aca="false">CP13*(Assumption!$R$351-Assumption!$E$417)</f>
        <v>0</v>
      </c>
      <c r="CQ92" s="158" t="n">
        <f aca="false">CQ13*(Assumption!$R$351-Assumption!$E$417)</f>
        <v>0</v>
      </c>
      <c r="CR92" s="158" t="n">
        <f aca="false">CR13*(Assumption!$R$351-Assumption!$E$417)</f>
        <v>0</v>
      </c>
      <c r="CS92" s="158" t="n">
        <f aca="false">CS13*(Assumption!$R$351-Assumption!$E$417)</f>
        <v>0</v>
      </c>
      <c r="CT92" s="158" t="n">
        <f aca="false">CT13*(Assumption!$R$351-Assumption!$E$417)</f>
        <v>0</v>
      </c>
      <c r="CU92" s="158" t="n">
        <f aca="false">CU13*(Assumption!$R$351-Assumption!$E$417)</f>
        <v>0</v>
      </c>
      <c r="CV92" s="158" t="n">
        <f aca="false">CV13*(Assumption!$R$351-Assumption!$E$417)</f>
        <v>0</v>
      </c>
      <c r="CW92" s="158" t="n">
        <f aca="false">CW13*(Assumption!$R$351-Assumption!$E$417)</f>
        <v>0</v>
      </c>
      <c r="CX92" s="158" t="n">
        <f aca="false">CX13*(Assumption!$R$351-Assumption!$E$417)</f>
        <v>0</v>
      </c>
      <c r="CY92" s="158" t="n">
        <f aca="false">CY13*(Assumption!$R$351-Assumption!$E$417)</f>
        <v>0</v>
      </c>
      <c r="CZ92" s="158" t="n">
        <f aca="false">CZ13*(Assumption!$R$351-Assumption!$E$417)</f>
        <v>0</v>
      </c>
      <c r="DA92" s="158" t="n">
        <f aca="false">DA13*(Assumption!$R$351-Assumption!$E$417)</f>
        <v>0</v>
      </c>
      <c r="DB92" s="158" t="n">
        <f aca="false">DB13*(Assumption!$R$351-Assumption!$E$417)</f>
        <v>0</v>
      </c>
      <c r="DC92" s="158" t="n">
        <f aca="false">DC13*(Assumption!$R$351-Assumption!$E$417)</f>
        <v>0</v>
      </c>
      <c r="DD92" s="158" t="n">
        <f aca="false">DD13*(Assumption!$R$351-Assumption!$E$417)</f>
        <v>0</v>
      </c>
      <c r="DE92" s="158" t="n">
        <f aca="false">DE13*(Assumption!$R$351-Assumption!$E$417)</f>
        <v>0</v>
      </c>
      <c r="DF92" s="158" t="n">
        <f aca="false">DF13*(Assumption!$R$351-Assumption!$E$417)</f>
        <v>0</v>
      </c>
      <c r="DG92" s="158" t="n">
        <f aca="false">DG13*(Assumption!$R$351-Assumption!$E$417)</f>
        <v>0</v>
      </c>
      <c r="DH92" s="158" t="n">
        <f aca="false">DH13*(Assumption!$R$351-Assumption!$E$417)</f>
        <v>0</v>
      </c>
      <c r="DI92" s="158" t="n">
        <f aca="false">DI13*(Assumption!$R$351-Assumption!$E$417)</f>
        <v>0</v>
      </c>
      <c r="DJ92" s="158" t="n">
        <f aca="false">DJ13*(Assumption!$R$351-Assumption!$E$417)</f>
        <v>0</v>
      </c>
      <c r="DK92" s="158" t="n">
        <f aca="false">DK13*(Assumption!$R$351-Assumption!$E$417)</f>
        <v>0</v>
      </c>
      <c r="DL92" s="158" t="n">
        <f aca="false">DL13*(Assumption!$R$351-Assumption!$E$417)</f>
        <v>0</v>
      </c>
      <c r="DM92" s="158" t="n">
        <f aca="false">DM13*(Assumption!$R$351-Assumption!$E$417)</f>
        <v>0</v>
      </c>
      <c r="DN92" s="158" t="n">
        <f aca="false">DN13*(Assumption!$R$351-Assumption!$E$417)</f>
        <v>0</v>
      </c>
      <c r="DO92" s="158" t="n">
        <f aca="false">DO13*(Assumption!$R$351-Assumption!$E$417)</f>
        <v>0</v>
      </c>
      <c r="DP92" s="158" t="n">
        <f aca="false">DP13*(Assumption!$R$351-Assumption!$E$417)</f>
        <v>0</v>
      </c>
      <c r="DQ92" s="158" t="n">
        <f aca="false">DQ13*(Assumption!$R$351-Assumption!$E$417)</f>
        <v>0</v>
      </c>
      <c r="DR92" s="158" t="n">
        <f aca="false">DR13*(Assumption!$R$351-Assumption!$E$417)</f>
        <v>0</v>
      </c>
      <c r="DS92" s="158" t="n">
        <f aca="false">DS13*(Assumption!$R$351-Assumption!$E$417)</f>
        <v>0</v>
      </c>
      <c r="DT92" s="158" t="n">
        <f aca="false">DT13*(Assumption!$R$351-Assumption!$E$417)</f>
        <v>0</v>
      </c>
      <c r="DU92" s="158" t="n">
        <f aca="false">DU13*(Assumption!$R$351-Assumption!$E$417)</f>
        <v>0</v>
      </c>
      <c r="DV92" s="158" t="n">
        <f aca="false">DV13*(Assumption!$R$351-Assumption!$E$417)</f>
        <v>0</v>
      </c>
      <c r="DW92" s="158" t="n">
        <f aca="false">DW13*(Assumption!$R$351-Assumption!$E$417)</f>
        <v>0</v>
      </c>
      <c r="DX92" s="158" t="n">
        <f aca="false">DX13*(Assumption!$R$351-Assumption!$E$417)</f>
        <v>0</v>
      </c>
      <c r="DY92" s="158" t="n">
        <f aca="false">DY13*(Assumption!$R$351-Assumption!$E$417)</f>
        <v>0</v>
      </c>
      <c r="DZ92" s="158" t="n">
        <f aca="false">DZ13*(Assumption!$R$351-Assumption!$E$417)</f>
        <v>0</v>
      </c>
      <c r="EA92" s="158" t="n">
        <f aca="false">EA13*(Assumption!$R$351-Assumption!$E$417)</f>
        <v>0</v>
      </c>
      <c r="EB92" s="158" t="n">
        <f aca="false">EB13*(Assumption!$R$351-Assumption!$E$417)</f>
        <v>0</v>
      </c>
      <c r="EC92" s="158" t="n">
        <f aca="false">EC13*(Assumption!$R$351-Assumption!$E$417)</f>
        <v>0</v>
      </c>
      <c r="ED92" s="158" t="n">
        <f aca="false">ED13*(Assumption!$R$351-Assumption!$E$417)</f>
        <v>0</v>
      </c>
      <c r="EE92" s="158" t="n">
        <f aca="false">EE13*(Assumption!$R$351-Assumption!$E$417)</f>
        <v>0</v>
      </c>
      <c r="EF92" s="158" t="n">
        <f aca="false">EF13*(Assumption!$R$351-Assumption!$E$417)</f>
        <v>0</v>
      </c>
    </row>
    <row r="93" customFormat="false" ht="15" hidden="false" customHeight="false" outlineLevel="0" collapsed="false">
      <c r="A93" s="35" t="s">
        <v>552</v>
      </c>
      <c r="B93" s="241" t="s">
        <v>116</v>
      </c>
      <c r="C93" s="242" t="n">
        <f aca="false">SUM(E93:EF93)</f>
        <v>59683.9667971091</v>
      </c>
      <c r="E93" s="158" t="n">
        <f aca="false">IF(E6=Assumption!$E$18,Assumption!$E$417,0)</f>
        <v>0</v>
      </c>
      <c r="F93" s="158" t="n">
        <f aca="false">IF(F6=Assumption!$E$18,Assumption!$E$417,0)</f>
        <v>0</v>
      </c>
      <c r="G93" s="158" t="n">
        <f aca="false">IF(G6=Assumption!$E$18,Assumption!$E$417,0)</f>
        <v>0</v>
      </c>
      <c r="H93" s="158" t="n">
        <f aca="false">IF(H6=Assumption!$E$18,Assumption!$E$417,0)</f>
        <v>0</v>
      </c>
      <c r="I93" s="158" t="n">
        <f aca="false">IF(I6=Assumption!$E$18,Assumption!$E$417,0)</f>
        <v>0</v>
      </c>
      <c r="J93" s="158" t="n">
        <f aca="false">IF(J6=Assumption!$E$18,Assumption!$E$417,0)</f>
        <v>0</v>
      </c>
      <c r="K93" s="158" t="n">
        <f aca="false">IF(K6=Assumption!$E$18,Assumption!$E$417,0)</f>
        <v>0</v>
      </c>
      <c r="L93" s="158" t="n">
        <f aca="false">IF(L6=Assumption!$E$18,Assumption!$E$417,0)</f>
        <v>0</v>
      </c>
      <c r="M93" s="158" t="n">
        <f aca="false">IF(M6=Assumption!$E$18,Assumption!$E$417,0)</f>
        <v>0</v>
      </c>
      <c r="N93" s="158" t="n">
        <f aca="false">IF(N6=Assumption!$E$18,Assumption!$E$417,0)</f>
        <v>0</v>
      </c>
      <c r="O93" s="158" t="n">
        <f aca="false">IF(O6=Assumption!$E$18,Assumption!$E$417,0)</f>
        <v>0</v>
      </c>
      <c r="P93" s="158" t="n">
        <f aca="false">IF(P6=Assumption!$E$18,Assumption!$E$417,0)</f>
        <v>0</v>
      </c>
      <c r="Q93" s="158" t="n">
        <f aca="false">IF(Q6=Assumption!$E$18,Assumption!$E$417,0)</f>
        <v>0</v>
      </c>
      <c r="R93" s="158" t="n">
        <f aca="false">IF(R6=Assumption!$E$18,Assumption!$E$417,0)</f>
        <v>0</v>
      </c>
      <c r="S93" s="158" t="n">
        <f aca="false">IF(S6=Assumption!$E$18,Assumption!$E$417,0)</f>
        <v>0</v>
      </c>
      <c r="T93" s="158" t="n">
        <f aca="false">IF(T6=Assumption!$E$18,Assumption!$E$417,0)</f>
        <v>0</v>
      </c>
      <c r="U93" s="158" t="n">
        <f aca="false">IF(U6=Assumption!$E$18,Assumption!$E$417,0)</f>
        <v>0</v>
      </c>
      <c r="V93" s="158" t="n">
        <f aca="false">IF(V6=Assumption!$E$18,Assumption!$E$417,0)</f>
        <v>0</v>
      </c>
      <c r="W93" s="158" t="n">
        <f aca="false">IF(W6=Assumption!$E$18,Assumption!$E$417,0)</f>
        <v>0</v>
      </c>
      <c r="X93" s="158" t="n">
        <f aca="false">IF(X6=Assumption!$E$18,Assumption!$E$417,0)</f>
        <v>0</v>
      </c>
      <c r="Y93" s="158" t="n">
        <f aca="false">IF(Y6=Assumption!$E$18,Assumption!$E$417,0)</f>
        <v>0</v>
      </c>
      <c r="Z93" s="158" t="n">
        <f aca="false">IF(Z6=Assumption!$E$18,Assumption!$E$417,0)</f>
        <v>0</v>
      </c>
      <c r="AA93" s="158" t="n">
        <f aca="false">IF(AA6=Assumption!$E$18,Assumption!$E$417,0)</f>
        <v>0</v>
      </c>
      <c r="AB93" s="158" t="n">
        <f aca="false">IF(AB6=Assumption!$E$18,Assumption!$E$417,0)</f>
        <v>0</v>
      </c>
      <c r="AC93" s="158" t="n">
        <f aca="false">IF(AC6=Assumption!$E$18,Assumption!$E$417,0)</f>
        <v>0</v>
      </c>
      <c r="AD93" s="158" t="n">
        <f aca="false">IF(AD6=Assumption!$E$18,Assumption!$E$417,0)</f>
        <v>0</v>
      </c>
      <c r="AE93" s="158" t="n">
        <f aca="false">IF(AE6=Assumption!$E$18,Assumption!$E$417,0)</f>
        <v>0</v>
      </c>
      <c r="AF93" s="158" t="n">
        <f aca="false">IF(AF6=Assumption!$E$18,Assumption!$E$417,0)</f>
        <v>0</v>
      </c>
      <c r="AG93" s="158" t="n">
        <f aca="false">IF(AG6=Assumption!$E$18,Assumption!$E$417,0)</f>
        <v>0</v>
      </c>
      <c r="AH93" s="158" t="n">
        <f aca="false">IF(AH6=Assumption!$E$18,Assumption!$E$417,0)</f>
        <v>0</v>
      </c>
      <c r="AI93" s="158" t="n">
        <f aca="false">IF(AI6=Assumption!$E$18,Assumption!$E$417,0)</f>
        <v>0</v>
      </c>
      <c r="AJ93" s="158" t="n">
        <f aca="false">IF(AJ6=Assumption!$E$18,Assumption!$E$417,0)</f>
        <v>0</v>
      </c>
      <c r="AK93" s="158" t="n">
        <f aca="false">IF(AK6=Assumption!$E$18,Assumption!$E$417,0)</f>
        <v>0</v>
      </c>
      <c r="AL93" s="158" t="n">
        <f aca="false">IF(AL6=Assumption!$E$18,Assumption!$E$417,0)</f>
        <v>0</v>
      </c>
      <c r="AM93" s="158" t="n">
        <f aca="false">IF(AM6=Assumption!$E$18,Assumption!$E$417,0)</f>
        <v>0</v>
      </c>
      <c r="AN93" s="158" t="n">
        <f aca="false">IF(AN6=Assumption!$E$18,Assumption!$E$417,0)</f>
        <v>0</v>
      </c>
      <c r="AO93" s="158" t="n">
        <f aca="false">IF(AO6=Assumption!$E$18,Assumption!$E$417,0)</f>
        <v>0</v>
      </c>
      <c r="AP93" s="158" t="n">
        <f aca="false">IF(AP6=Assumption!$E$18,Assumption!$E$417,0)</f>
        <v>0</v>
      </c>
      <c r="AQ93" s="158" t="n">
        <f aca="false">IF(AQ6=Assumption!$E$18,Assumption!$E$417,0)</f>
        <v>0</v>
      </c>
      <c r="AR93" s="158" t="n">
        <f aca="false">IF(AR6=Assumption!$E$18,Assumption!$E$417,0)</f>
        <v>0</v>
      </c>
      <c r="AS93" s="158" t="n">
        <f aca="false">IF(AS6=Assumption!$E$18,Assumption!$E$417,0)</f>
        <v>0</v>
      </c>
      <c r="AT93" s="158" t="n">
        <f aca="false">IF(AT6=Assumption!$E$18,Assumption!$E$417,0)</f>
        <v>0</v>
      </c>
      <c r="AU93" s="158" t="n">
        <f aca="false">IF(AU6=Assumption!$E$18,Assumption!$E$417,0)</f>
        <v>0</v>
      </c>
      <c r="AV93" s="158" t="n">
        <f aca="false">IF(AV6=Assumption!$E$18,Assumption!$E$417,0)</f>
        <v>0</v>
      </c>
      <c r="AW93" s="158" t="n">
        <f aca="false">IF(AW6=Assumption!$E$18,Assumption!$E$417,0)</f>
        <v>0</v>
      </c>
      <c r="AX93" s="158" t="n">
        <f aca="false">IF(AX6=Assumption!$E$18,Assumption!$E$417,0)</f>
        <v>0</v>
      </c>
      <c r="AY93" s="158" t="n">
        <f aca="false">IF(AY6=Assumption!$E$18,Assumption!$E$417,0)</f>
        <v>0</v>
      </c>
      <c r="AZ93" s="158" t="n">
        <f aca="false">IF(AZ6=Assumption!$E$18,Assumption!$E$417,0)</f>
        <v>0</v>
      </c>
      <c r="BA93" s="158" t="n">
        <f aca="false">IF(BA6=Assumption!$E$18,Assumption!$E$417,0)</f>
        <v>0</v>
      </c>
      <c r="BB93" s="158" t="n">
        <f aca="false">IF(BB6=Assumption!$E$18,Assumption!$E$417,0)</f>
        <v>0</v>
      </c>
      <c r="BC93" s="158" t="n">
        <f aca="false">IF(BC6=Assumption!$E$18,Assumption!$E$417,0)</f>
        <v>0</v>
      </c>
      <c r="BD93" s="158" t="n">
        <f aca="false">IF(BD6=Assumption!$E$18,Assumption!$E$417,0)</f>
        <v>0</v>
      </c>
      <c r="BE93" s="158" t="n">
        <f aca="false">IF(BE6=Assumption!$E$18,Assumption!$E$417,0)</f>
        <v>0</v>
      </c>
      <c r="BF93" s="158" t="n">
        <f aca="false">IF(BF6=Assumption!$E$18,Assumption!$E$417,0)</f>
        <v>0</v>
      </c>
      <c r="BG93" s="158" t="n">
        <f aca="false">IF(BG6=Assumption!$E$18,Assumption!$E$417,0)</f>
        <v>0</v>
      </c>
      <c r="BH93" s="158" t="n">
        <f aca="false">IF(BH6=Assumption!$E$18,Assumption!$E$417,0)</f>
        <v>0</v>
      </c>
      <c r="BI93" s="158" t="n">
        <f aca="false">IF(BI6=Assumption!$E$18,Assumption!$E$417,0)</f>
        <v>0</v>
      </c>
      <c r="BJ93" s="158" t="n">
        <f aca="false">IF(BJ6=Assumption!$E$18,Assumption!$E$417,0)</f>
        <v>0</v>
      </c>
      <c r="BK93" s="158" t="n">
        <f aca="false">IF(BK6=Assumption!$E$18,Assumption!$E$417,0)</f>
        <v>0</v>
      </c>
      <c r="BL93" s="158" t="n">
        <f aca="false">IF(BL6=Assumption!$E$18,Assumption!$E$417,0)</f>
        <v>0</v>
      </c>
      <c r="BM93" s="158" t="n">
        <f aca="false">IF(BM6=Assumption!$E$18,Assumption!$E$417,0)</f>
        <v>59683.9667971091</v>
      </c>
      <c r="BN93" s="158" t="n">
        <f aca="false">IF(BN6=Assumption!$E$18,Assumption!$E$417,0)</f>
        <v>0</v>
      </c>
      <c r="BO93" s="158" t="n">
        <f aca="false">IF(BO6=Assumption!$E$18,Assumption!$E$417,0)</f>
        <v>0</v>
      </c>
      <c r="BP93" s="158" t="n">
        <f aca="false">IF(BP6=Assumption!$E$18,Assumption!$E$417,0)</f>
        <v>0</v>
      </c>
      <c r="BQ93" s="158" t="n">
        <f aca="false">IF(BQ6=Assumption!$E$18,Assumption!$E$417,0)</f>
        <v>0</v>
      </c>
      <c r="BR93" s="158" t="n">
        <f aca="false">IF(BR6=Assumption!$E$18,Assumption!$E$417,0)</f>
        <v>0</v>
      </c>
      <c r="BS93" s="158" t="n">
        <f aca="false">IF(BS6=Assumption!$E$18,Assumption!$E$417,0)</f>
        <v>0</v>
      </c>
      <c r="BT93" s="158" t="n">
        <f aca="false">IF(BT6=Assumption!$E$18,Assumption!$E$417,0)</f>
        <v>0</v>
      </c>
      <c r="BU93" s="158" t="n">
        <f aca="false">IF(BU6=Assumption!$E$18,Assumption!$E$417,0)</f>
        <v>0</v>
      </c>
      <c r="BV93" s="158" t="n">
        <f aca="false">IF(BV6=Assumption!$E$18,Assumption!$E$417,0)</f>
        <v>0</v>
      </c>
      <c r="BW93" s="158" t="n">
        <f aca="false">IF(BW6=Assumption!$E$18,Assumption!$E$417,0)</f>
        <v>0</v>
      </c>
      <c r="BX93" s="158" t="n">
        <f aca="false">IF(BX6=Assumption!$E$18,Assumption!$E$417,0)</f>
        <v>0</v>
      </c>
      <c r="BY93" s="158" t="n">
        <f aca="false">IF(BY6=Assumption!$E$18,Assumption!$E$417,0)</f>
        <v>0</v>
      </c>
      <c r="BZ93" s="158" t="n">
        <f aca="false">IF(BZ6=Assumption!$E$18,Assumption!$E$417,0)</f>
        <v>0</v>
      </c>
      <c r="CA93" s="158" t="n">
        <f aca="false">IF(CA6=Assumption!$E$18,Assumption!$E$417,0)</f>
        <v>0</v>
      </c>
      <c r="CB93" s="158" t="n">
        <f aca="false">IF(CB6=Assumption!$E$18,Assumption!$E$417,0)</f>
        <v>0</v>
      </c>
      <c r="CC93" s="158" t="n">
        <f aca="false">IF(CC6=Assumption!$E$18,Assumption!$E$417,0)</f>
        <v>0</v>
      </c>
      <c r="CD93" s="158" t="n">
        <f aca="false">IF(CD6=Assumption!$E$18,Assumption!$E$417,0)</f>
        <v>0</v>
      </c>
      <c r="CE93" s="158" t="n">
        <f aca="false">IF(CE6=Assumption!$E$18,Assumption!$E$417,0)</f>
        <v>0</v>
      </c>
      <c r="CF93" s="158" t="n">
        <f aca="false">IF(CF6=Assumption!$E$18,Assumption!$E$417,0)</f>
        <v>0</v>
      </c>
      <c r="CG93" s="158" t="n">
        <f aca="false">IF(CG6=Assumption!$E$18,Assumption!$E$417,0)</f>
        <v>0</v>
      </c>
      <c r="CH93" s="158" t="n">
        <f aca="false">IF(CH6=Assumption!$E$18,Assumption!$E$417,0)</f>
        <v>0</v>
      </c>
      <c r="CI93" s="158" t="n">
        <f aca="false">IF(CI6=Assumption!$E$18,Assumption!$E$417,0)</f>
        <v>0</v>
      </c>
      <c r="CJ93" s="158" t="n">
        <f aca="false">IF(CJ6=Assumption!$E$18,Assumption!$E$417,0)</f>
        <v>0</v>
      </c>
      <c r="CK93" s="158" t="n">
        <f aca="false">IF(CK6=Assumption!$E$18,Assumption!$E$417,0)</f>
        <v>0</v>
      </c>
      <c r="CL93" s="158" t="n">
        <f aca="false">IF(CL6=Assumption!$E$18,Assumption!$E$417,0)</f>
        <v>0</v>
      </c>
      <c r="CM93" s="158" t="n">
        <f aca="false">IF(CM6=Assumption!$E$18,Assumption!$E$417,0)</f>
        <v>0</v>
      </c>
      <c r="CN93" s="158" t="n">
        <f aca="false">IF(CN6=Assumption!$E$18,Assumption!$E$417,0)</f>
        <v>0</v>
      </c>
      <c r="CO93" s="158" t="n">
        <f aca="false">IF(CO6=Assumption!$E$18,Assumption!$E$417,0)</f>
        <v>0</v>
      </c>
      <c r="CP93" s="158" t="n">
        <f aca="false">IF(CP6=Assumption!$E$18,Assumption!$E$417,0)</f>
        <v>0</v>
      </c>
      <c r="CQ93" s="158" t="n">
        <f aca="false">IF(CQ6=Assumption!$E$18,Assumption!$E$417,0)</f>
        <v>0</v>
      </c>
      <c r="CR93" s="158" t="n">
        <f aca="false">IF(CR6=Assumption!$E$18,Assumption!$E$417,0)</f>
        <v>0</v>
      </c>
      <c r="CS93" s="158" t="n">
        <f aca="false">IF(CS6=Assumption!$E$18,Assumption!$E$417,0)</f>
        <v>0</v>
      </c>
      <c r="CT93" s="158" t="n">
        <f aca="false">IF(CT6=Assumption!$E$18,Assumption!$E$417,0)</f>
        <v>0</v>
      </c>
      <c r="CU93" s="158" t="n">
        <f aca="false">IF(CU6=Assumption!$E$18,Assumption!$E$417,0)</f>
        <v>0</v>
      </c>
      <c r="CV93" s="158" t="n">
        <f aca="false">IF(CV6=Assumption!$E$18,Assumption!$E$417,0)</f>
        <v>0</v>
      </c>
      <c r="CW93" s="158" t="n">
        <f aca="false">IF(CW6=Assumption!$E$18,Assumption!$E$417,0)</f>
        <v>0</v>
      </c>
      <c r="CX93" s="158" t="n">
        <f aca="false">IF(CX6=Assumption!$E$18,Assumption!$E$417,0)</f>
        <v>0</v>
      </c>
      <c r="CY93" s="158" t="n">
        <f aca="false">IF(CY6=Assumption!$E$18,Assumption!$E$417,0)</f>
        <v>0</v>
      </c>
      <c r="CZ93" s="158" t="n">
        <f aca="false">IF(CZ6=Assumption!$E$18,Assumption!$E$417,0)</f>
        <v>0</v>
      </c>
      <c r="DA93" s="158" t="n">
        <f aca="false">IF(DA6=Assumption!$E$18,Assumption!$E$417,0)</f>
        <v>0</v>
      </c>
      <c r="DB93" s="158" t="n">
        <f aca="false">IF(DB6=Assumption!$E$18,Assumption!$E$417,0)</f>
        <v>0</v>
      </c>
      <c r="DC93" s="158" t="n">
        <f aca="false">IF(DC6=Assumption!$E$18,Assumption!$E$417,0)</f>
        <v>0</v>
      </c>
      <c r="DD93" s="158" t="n">
        <f aca="false">IF(DD6=Assumption!$E$18,Assumption!$E$417,0)</f>
        <v>0</v>
      </c>
      <c r="DE93" s="158" t="n">
        <f aca="false">IF(DE6=Assumption!$E$18,Assumption!$E$417,0)</f>
        <v>0</v>
      </c>
      <c r="DF93" s="158" t="n">
        <f aca="false">IF(DF6=Assumption!$E$18,Assumption!$E$417,0)</f>
        <v>0</v>
      </c>
      <c r="DG93" s="158" t="n">
        <f aca="false">IF(DG6=Assumption!$E$18,Assumption!$E$417,0)</f>
        <v>0</v>
      </c>
      <c r="DH93" s="158" t="n">
        <f aca="false">IF(DH6=Assumption!$E$18,Assumption!$E$417,0)</f>
        <v>0</v>
      </c>
      <c r="DI93" s="158" t="n">
        <f aca="false">IF(DI6=Assumption!$E$18,Assumption!$E$417,0)</f>
        <v>0</v>
      </c>
      <c r="DJ93" s="158" t="n">
        <f aca="false">IF(DJ6=Assumption!$E$18,Assumption!$E$417,0)</f>
        <v>0</v>
      </c>
      <c r="DK93" s="158" t="n">
        <f aca="false">IF(DK6=Assumption!$E$18,Assumption!$E$417,0)</f>
        <v>0</v>
      </c>
      <c r="DL93" s="158" t="n">
        <f aca="false">IF(DL6=Assumption!$E$18,Assumption!$E$417,0)</f>
        <v>0</v>
      </c>
      <c r="DM93" s="158" t="n">
        <f aca="false">IF(DM6=Assumption!$E$18,Assumption!$E$417,0)</f>
        <v>0</v>
      </c>
      <c r="DN93" s="158" t="n">
        <f aca="false">IF(DN6=Assumption!$E$18,Assumption!$E$417,0)</f>
        <v>0</v>
      </c>
      <c r="DO93" s="158" t="n">
        <f aca="false">IF(DO6=Assumption!$E$18,Assumption!$E$417,0)</f>
        <v>0</v>
      </c>
      <c r="DP93" s="158" t="n">
        <f aca="false">IF(DP6=Assumption!$E$18,Assumption!$E$417,0)</f>
        <v>0</v>
      </c>
      <c r="DQ93" s="158" t="n">
        <f aca="false">IF(DQ6=Assumption!$E$18,Assumption!$E$417,0)</f>
        <v>0</v>
      </c>
      <c r="DR93" s="158" t="n">
        <f aca="false">IF(DR6=Assumption!$E$18,Assumption!$E$417,0)</f>
        <v>0</v>
      </c>
      <c r="DS93" s="158" t="n">
        <f aca="false">IF(DS6=Assumption!$E$18,Assumption!$E$417,0)</f>
        <v>0</v>
      </c>
      <c r="DT93" s="158" t="n">
        <f aca="false">IF(DT6=Assumption!$E$18,Assumption!$E$417,0)</f>
        <v>0</v>
      </c>
      <c r="DU93" s="158" t="n">
        <f aca="false">IF(DU6=Assumption!$E$18,Assumption!$E$417,0)</f>
        <v>0</v>
      </c>
      <c r="DV93" s="158" t="n">
        <f aca="false">IF(DV6=Assumption!$E$18,Assumption!$E$417,0)</f>
        <v>0</v>
      </c>
      <c r="DW93" s="158" t="n">
        <f aca="false">IF(DW6=Assumption!$E$18,Assumption!$E$417,0)</f>
        <v>0</v>
      </c>
      <c r="DX93" s="158" t="n">
        <f aca="false">IF(DX6=Assumption!$E$18,Assumption!$E$417,0)</f>
        <v>0</v>
      </c>
      <c r="DY93" s="158" t="n">
        <f aca="false">IF(DY6=Assumption!$E$18,Assumption!$E$417,0)</f>
        <v>0</v>
      </c>
      <c r="DZ93" s="158" t="n">
        <f aca="false">IF(DZ6=Assumption!$E$18,Assumption!$E$417,0)</f>
        <v>0</v>
      </c>
      <c r="EA93" s="158" t="n">
        <f aca="false">IF(EA6=Assumption!$E$18,Assumption!$E$417,0)</f>
        <v>0</v>
      </c>
      <c r="EB93" s="158" t="n">
        <f aca="false">IF(EB6=Assumption!$E$18,Assumption!$E$417,0)</f>
        <v>0</v>
      </c>
      <c r="EC93" s="158" t="n">
        <f aca="false">IF(EC6=Assumption!$E$18,Assumption!$E$417,0)</f>
        <v>0</v>
      </c>
      <c r="ED93" s="158" t="n">
        <f aca="false">IF(ED6=Assumption!$E$18,Assumption!$E$417,0)</f>
        <v>0</v>
      </c>
      <c r="EE93" s="158" t="n">
        <f aca="false">IF(EE6=Assumption!$E$18,Assumption!$E$417,0)</f>
        <v>0</v>
      </c>
      <c r="EF93" s="158" t="n">
        <f aca="false">IF(EF6=Assumption!$E$18,Assumption!$E$417,0)</f>
        <v>0</v>
      </c>
    </row>
    <row r="94" customFormat="false" ht="15" hidden="false" customHeight="false" outlineLevel="0" collapsed="false">
      <c r="A94" s="35" t="s">
        <v>553</v>
      </c>
      <c r="B94" s="241" t="s">
        <v>116</v>
      </c>
      <c r="C94" s="242" t="n">
        <f aca="false">SUM(E94:EF94)</f>
        <v>476391.087008823</v>
      </c>
      <c r="E94" s="158" t="n">
        <f aca="false">E13*Assumption!$R$365</f>
        <v>0</v>
      </c>
      <c r="F94" s="158" t="n">
        <f aca="false">F13*Assumption!$R$365</f>
        <v>0</v>
      </c>
      <c r="G94" s="158" t="n">
        <f aca="false">G13*Assumption!$R$365</f>
        <v>0</v>
      </c>
      <c r="H94" s="158" t="n">
        <f aca="false">H13*Assumption!$R$365</f>
        <v>0</v>
      </c>
      <c r="I94" s="158" t="n">
        <f aca="false">I13*Assumption!$R$365</f>
        <v>0</v>
      </c>
      <c r="J94" s="158" t="n">
        <f aca="false">J13*Assumption!$R$365</f>
        <v>0</v>
      </c>
      <c r="K94" s="158" t="n">
        <f aca="false">K13*Assumption!$R$365</f>
        <v>0</v>
      </c>
      <c r="L94" s="158" t="n">
        <f aca="false">L13*Assumption!$R$365</f>
        <v>0</v>
      </c>
      <c r="M94" s="158" t="n">
        <f aca="false">M13*Assumption!$R$365</f>
        <v>0</v>
      </c>
      <c r="N94" s="158" t="n">
        <f aca="false">N13*Assumption!$R$365</f>
        <v>0</v>
      </c>
      <c r="O94" s="158" t="n">
        <f aca="false">O13*Assumption!$R$365</f>
        <v>0</v>
      </c>
      <c r="P94" s="158" t="n">
        <f aca="false">P13*Assumption!$R$365</f>
        <v>0</v>
      </c>
      <c r="Q94" s="158" t="n">
        <f aca="false">Q13*Assumption!$R$365</f>
        <v>0</v>
      </c>
      <c r="R94" s="158" t="n">
        <f aca="false">R13*Assumption!$R$365</f>
        <v>0</v>
      </c>
      <c r="S94" s="158" t="n">
        <f aca="false">S13*Assumption!$R$365</f>
        <v>0</v>
      </c>
      <c r="T94" s="158" t="n">
        <f aca="false">T13*Assumption!$R$365</f>
        <v>0</v>
      </c>
      <c r="U94" s="158" t="n">
        <f aca="false">U13*Assumption!$R$365</f>
        <v>0</v>
      </c>
      <c r="V94" s="158" t="n">
        <f aca="false">V13*Assumption!$R$365</f>
        <v>0</v>
      </c>
      <c r="W94" s="158" t="n">
        <f aca="false">W13*Assumption!$R$365</f>
        <v>666.043050177367</v>
      </c>
      <c r="X94" s="158" t="n">
        <f aca="false">X13*Assumption!$R$365</f>
        <v>1994.40436762336</v>
      </c>
      <c r="Y94" s="158" t="n">
        <f aca="false">Y13*Assumption!$R$365</f>
        <v>3311.61216684013</v>
      </c>
      <c r="Z94" s="158" t="n">
        <f aca="false">Z13*Assumption!$R$365</f>
        <v>4610.30008750541</v>
      </c>
      <c r="AA94" s="158" t="n">
        <f aca="false">AA13*Assumption!$R$365</f>
        <v>5883.20533997006</v>
      </c>
      <c r="AB94" s="158" t="n">
        <f aca="false">AB13*Assumption!$R$365</f>
        <v>7123.20932172411</v>
      </c>
      <c r="AC94" s="158" t="n">
        <f aca="false">AC13*Assumption!$R$365</f>
        <v>8323.37742750925</v>
      </c>
      <c r="AD94" s="158" t="n">
        <f aca="false">AD13*Assumption!$R$365</f>
        <v>9476.99783044461</v>
      </c>
      <c r="AE94" s="158" t="n">
        <f aca="false">AE13*Assumption!$R$365</f>
        <v>10577.6190172851</v>
      </c>
      <c r="AF94" s="158" t="n">
        <f aca="false">AF13*Assumption!$R$365</f>
        <v>11619.0858679004</v>
      </c>
      <c r="AG94" s="158" t="n">
        <f aca="false">AG13*Assumption!$R$365</f>
        <v>12595.574077204</v>
      </c>
      <c r="AH94" s="158" t="n">
        <f aca="false">AH13*Assumption!$R$365</f>
        <v>13501.6227270288</v>
      </c>
      <c r="AI94" s="158" t="n">
        <f aca="false">AI13*Assumption!$R$365</f>
        <v>14332.1648257978</v>
      </c>
      <c r="AJ94" s="158" t="n">
        <f aca="false">AJ13*Assumption!$R$365</f>
        <v>15082.5556451953</v>
      </c>
      <c r="AK94" s="158" t="n">
        <f aca="false">AK13*Assumption!$R$365</f>
        <v>15748.5986953727</v>
      </c>
      <c r="AL94" s="158" t="n">
        <f aca="false">AL13*Assumption!$R$365</f>
        <v>16326.5691934212</v>
      </c>
      <c r="AM94" s="158" t="n">
        <f aca="false">AM13*Assumption!$R$365</f>
        <v>16813.234893869</v>
      </c>
      <c r="AN94" s="158" t="n">
        <f aca="false">AN13*Assumption!$R$365</f>
        <v>17205.8741647093</v>
      </c>
      <c r="AO94" s="158" t="n">
        <f aca="false">AO13*Assumption!$R$365</f>
        <v>17502.2912078705</v>
      </c>
      <c r="AP94" s="158" t="n">
        <f aca="false">AP13*Assumption!$R$365</f>
        <v>17700.8283390092</v>
      </c>
      <c r="AQ94" s="158" t="n">
        <f aca="false">AQ13*Assumption!$R$365</f>
        <v>17800.3752579539</v>
      </c>
      <c r="AR94" s="158" t="n">
        <f aca="false">AR13*Assumption!$R$365</f>
        <v>17800.3752579538</v>
      </c>
      <c r="AS94" s="158" t="n">
        <f aca="false">AS13*Assumption!$R$365</f>
        <v>17700.8283390092</v>
      </c>
      <c r="AT94" s="158" t="n">
        <f aca="false">AT13*Assumption!$R$365</f>
        <v>17502.2912078705</v>
      </c>
      <c r="AU94" s="158" t="n">
        <f aca="false">AU13*Assumption!$R$365</f>
        <v>17205.8741647094</v>
      </c>
      <c r="AV94" s="158" t="n">
        <f aca="false">AV13*Assumption!$R$365</f>
        <v>16813.234893869</v>
      </c>
      <c r="AW94" s="158" t="n">
        <f aca="false">AW13*Assumption!$R$365</f>
        <v>16326.5691934211</v>
      </c>
      <c r="AX94" s="158" t="n">
        <f aca="false">AX13*Assumption!$R$365</f>
        <v>15748.5986953727</v>
      </c>
      <c r="AY94" s="158" t="n">
        <f aca="false">AY13*Assumption!$R$365</f>
        <v>15082.5556451954</v>
      </c>
      <c r="AZ94" s="158" t="n">
        <f aca="false">AZ13*Assumption!$R$365</f>
        <v>14332.1648257978</v>
      </c>
      <c r="BA94" s="158" t="n">
        <f aca="false">BA13*Assumption!$R$365</f>
        <v>13501.6227270288</v>
      </c>
      <c r="BB94" s="158" t="n">
        <f aca="false">BB13*Assumption!$R$365</f>
        <v>12595.574077204</v>
      </c>
      <c r="BC94" s="158" t="n">
        <f aca="false">BC13*Assumption!$R$365</f>
        <v>11619.0858679004</v>
      </c>
      <c r="BD94" s="158" t="n">
        <f aca="false">BD13*Assumption!$R$365</f>
        <v>10577.6190172851</v>
      </c>
      <c r="BE94" s="158" t="n">
        <f aca="false">BE13*Assumption!$R$365</f>
        <v>9476.99783044453</v>
      </c>
      <c r="BF94" s="158" t="n">
        <f aca="false">BF13*Assumption!$R$365</f>
        <v>8323.37742750928</v>
      </c>
      <c r="BG94" s="158" t="n">
        <f aca="false">BG13*Assumption!$R$365</f>
        <v>7123.20932172416</v>
      </c>
      <c r="BH94" s="158" t="n">
        <f aca="false">BH13*Assumption!$R$365</f>
        <v>5883.20533997001</v>
      </c>
      <c r="BI94" s="158" t="n">
        <f aca="false">BI13*Assumption!$R$365</f>
        <v>4610.30008750544</v>
      </c>
      <c r="BJ94" s="158" t="n">
        <f aca="false">BJ13*Assumption!$R$365</f>
        <v>3311.61216684013</v>
      </c>
      <c r="BK94" s="158" t="n">
        <f aca="false">BK13*Assumption!$R$365</f>
        <v>1994.40436762336</v>
      </c>
      <c r="BL94" s="158" t="n">
        <f aca="false">BL13*Assumption!$R$365</f>
        <v>666.043050177367</v>
      </c>
      <c r="BM94" s="158" t="n">
        <f aca="false">BM13*Assumption!$R$365</f>
        <v>0</v>
      </c>
      <c r="BN94" s="158" t="n">
        <f aca="false">BN13*Assumption!$R$365</f>
        <v>0</v>
      </c>
      <c r="BO94" s="158" t="n">
        <f aca="false">BO13*Assumption!$R$365</f>
        <v>0</v>
      </c>
      <c r="BP94" s="158" t="n">
        <f aca="false">BP13*Assumption!$R$365</f>
        <v>0</v>
      </c>
      <c r="BQ94" s="158" t="n">
        <f aca="false">BQ13*Assumption!$R$365</f>
        <v>0</v>
      </c>
      <c r="BR94" s="158" t="n">
        <f aca="false">BR13*Assumption!$R$365</f>
        <v>0</v>
      </c>
      <c r="BS94" s="158" t="n">
        <f aca="false">BS13*Assumption!$R$365</f>
        <v>0</v>
      </c>
      <c r="BT94" s="158" t="n">
        <f aca="false">BT13*Assumption!$R$365</f>
        <v>0</v>
      </c>
      <c r="BU94" s="158" t="n">
        <f aca="false">BU13*Assumption!$R$365</f>
        <v>0</v>
      </c>
      <c r="BV94" s="158" t="n">
        <f aca="false">BV13*Assumption!$R$365</f>
        <v>0</v>
      </c>
      <c r="BW94" s="158" t="n">
        <f aca="false">BW13*Assumption!$R$365</f>
        <v>0</v>
      </c>
      <c r="BX94" s="158" t="n">
        <f aca="false">BX13*Assumption!$R$365</f>
        <v>0</v>
      </c>
      <c r="BY94" s="158" t="n">
        <f aca="false">BY13*Assumption!$R$365</f>
        <v>0</v>
      </c>
      <c r="BZ94" s="158" t="n">
        <f aca="false">BZ13*Assumption!$R$365</f>
        <v>0</v>
      </c>
      <c r="CA94" s="158" t="n">
        <f aca="false">CA13*Assumption!$R$365</f>
        <v>0</v>
      </c>
      <c r="CB94" s="158" t="n">
        <f aca="false">CB13*Assumption!$R$365</f>
        <v>0</v>
      </c>
      <c r="CC94" s="158" t="n">
        <f aca="false">CC13*Assumption!$R$365</f>
        <v>0</v>
      </c>
      <c r="CD94" s="158" t="n">
        <f aca="false">CD13*Assumption!$R$365</f>
        <v>0</v>
      </c>
      <c r="CE94" s="158" t="n">
        <f aca="false">CE13*Assumption!$R$365</f>
        <v>0</v>
      </c>
      <c r="CF94" s="158" t="n">
        <f aca="false">CF13*Assumption!$R$365</f>
        <v>0</v>
      </c>
      <c r="CG94" s="158" t="n">
        <f aca="false">CG13*Assumption!$R$365</f>
        <v>0</v>
      </c>
      <c r="CH94" s="158" t="n">
        <f aca="false">CH13*Assumption!$R$365</f>
        <v>0</v>
      </c>
      <c r="CI94" s="158" t="n">
        <f aca="false">CI13*Assumption!$R$365</f>
        <v>0</v>
      </c>
      <c r="CJ94" s="158" t="n">
        <f aca="false">CJ13*Assumption!$R$365</f>
        <v>0</v>
      </c>
      <c r="CK94" s="158" t="n">
        <f aca="false">CK13*Assumption!$R$365</f>
        <v>0</v>
      </c>
      <c r="CL94" s="158" t="n">
        <f aca="false">CL13*Assumption!$R$365</f>
        <v>0</v>
      </c>
      <c r="CM94" s="158" t="n">
        <f aca="false">CM13*Assumption!$R$365</f>
        <v>0</v>
      </c>
      <c r="CN94" s="158" t="n">
        <f aca="false">CN13*Assumption!$R$365</f>
        <v>0</v>
      </c>
      <c r="CO94" s="158" t="n">
        <f aca="false">CO13*Assumption!$R$365</f>
        <v>0</v>
      </c>
      <c r="CP94" s="158" t="n">
        <f aca="false">CP13*Assumption!$R$365</f>
        <v>0</v>
      </c>
      <c r="CQ94" s="158" t="n">
        <f aca="false">CQ13*Assumption!$R$365</f>
        <v>0</v>
      </c>
      <c r="CR94" s="158" t="n">
        <f aca="false">CR13*Assumption!$R$365</f>
        <v>0</v>
      </c>
      <c r="CS94" s="158" t="n">
        <f aca="false">CS13*Assumption!$R$365</f>
        <v>0</v>
      </c>
      <c r="CT94" s="158" t="n">
        <f aca="false">CT13*Assumption!$R$365</f>
        <v>0</v>
      </c>
      <c r="CU94" s="158" t="n">
        <f aca="false">CU13*Assumption!$R$365</f>
        <v>0</v>
      </c>
      <c r="CV94" s="158" t="n">
        <f aca="false">CV13*Assumption!$R$365</f>
        <v>0</v>
      </c>
      <c r="CW94" s="158" t="n">
        <f aca="false">CW13*Assumption!$R$365</f>
        <v>0</v>
      </c>
      <c r="CX94" s="158" t="n">
        <f aca="false">CX13*Assumption!$R$365</f>
        <v>0</v>
      </c>
      <c r="CY94" s="158" t="n">
        <f aca="false">CY13*Assumption!$R$365</f>
        <v>0</v>
      </c>
      <c r="CZ94" s="158" t="n">
        <f aca="false">CZ13*Assumption!$R$365</f>
        <v>0</v>
      </c>
      <c r="DA94" s="158" t="n">
        <f aca="false">DA13*Assumption!$R$365</f>
        <v>0</v>
      </c>
      <c r="DB94" s="158" t="n">
        <f aca="false">DB13*Assumption!$R$365</f>
        <v>0</v>
      </c>
      <c r="DC94" s="158" t="n">
        <f aca="false">DC13*Assumption!$R$365</f>
        <v>0</v>
      </c>
      <c r="DD94" s="158" t="n">
        <f aca="false">DD13*Assumption!$R$365</f>
        <v>0</v>
      </c>
      <c r="DE94" s="158" t="n">
        <f aca="false">DE13*Assumption!$R$365</f>
        <v>0</v>
      </c>
      <c r="DF94" s="158" t="n">
        <f aca="false">DF13*Assumption!$R$365</f>
        <v>0</v>
      </c>
      <c r="DG94" s="158" t="n">
        <f aca="false">DG13*Assumption!$R$365</f>
        <v>0</v>
      </c>
      <c r="DH94" s="158" t="n">
        <f aca="false">DH13*Assumption!$R$365</f>
        <v>0</v>
      </c>
      <c r="DI94" s="158" t="n">
        <f aca="false">DI13*Assumption!$R$365</f>
        <v>0</v>
      </c>
      <c r="DJ94" s="158" t="n">
        <f aca="false">DJ13*Assumption!$R$365</f>
        <v>0</v>
      </c>
      <c r="DK94" s="158" t="n">
        <f aca="false">DK13*Assumption!$R$365</f>
        <v>0</v>
      </c>
      <c r="DL94" s="158" t="n">
        <f aca="false">DL13*Assumption!$R$365</f>
        <v>0</v>
      </c>
      <c r="DM94" s="158" t="n">
        <f aca="false">DM13*Assumption!$R$365</f>
        <v>0</v>
      </c>
      <c r="DN94" s="158" t="n">
        <f aca="false">DN13*Assumption!$R$365</f>
        <v>0</v>
      </c>
      <c r="DO94" s="158" t="n">
        <f aca="false">DO13*Assumption!$R$365</f>
        <v>0</v>
      </c>
      <c r="DP94" s="158" t="n">
        <f aca="false">DP13*Assumption!$R$365</f>
        <v>0</v>
      </c>
      <c r="DQ94" s="158" t="n">
        <f aca="false">DQ13*Assumption!$R$365</f>
        <v>0</v>
      </c>
      <c r="DR94" s="158" t="n">
        <f aca="false">DR13*Assumption!$R$365</f>
        <v>0</v>
      </c>
      <c r="DS94" s="158" t="n">
        <f aca="false">DS13*Assumption!$R$365</f>
        <v>0</v>
      </c>
      <c r="DT94" s="158" t="n">
        <f aca="false">DT13*Assumption!$R$365</f>
        <v>0</v>
      </c>
      <c r="DU94" s="158" t="n">
        <f aca="false">DU13*Assumption!$R$365</f>
        <v>0</v>
      </c>
      <c r="DV94" s="158" t="n">
        <f aca="false">DV13*Assumption!$R$365</f>
        <v>0</v>
      </c>
      <c r="DW94" s="158" t="n">
        <f aca="false">DW13*Assumption!$R$365</f>
        <v>0</v>
      </c>
      <c r="DX94" s="158" t="n">
        <f aca="false">DX13*Assumption!$R$365</f>
        <v>0</v>
      </c>
      <c r="DY94" s="158" t="n">
        <f aca="false">DY13*Assumption!$R$365</f>
        <v>0</v>
      </c>
      <c r="DZ94" s="158" t="n">
        <f aca="false">DZ13*Assumption!$R$365</f>
        <v>0</v>
      </c>
      <c r="EA94" s="158" t="n">
        <f aca="false">EA13*Assumption!$R$365</f>
        <v>0</v>
      </c>
      <c r="EB94" s="158" t="n">
        <f aca="false">EB13*Assumption!$R$365</f>
        <v>0</v>
      </c>
      <c r="EC94" s="158" t="n">
        <f aca="false">EC13*Assumption!$R$365</f>
        <v>0</v>
      </c>
      <c r="ED94" s="158" t="n">
        <f aca="false">ED13*Assumption!$R$365</f>
        <v>0</v>
      </c>
      <c r="EE94" s="158" t="n">
        <f aca="false">EE13*Assumption!$R$365</f>
        <v>0</v>
      </c>
      <c r="EF94" s="158" t="n">
        <f aca="false">EF13*Assumption!$R$365</f>
        <v>0</v>
      </c>
    </row>
    <row r="95" customFormat="false" ht="15" hidden="false" customHeight="false" outlineLevel="0" collapsed="false">
      <c r="A95" s="35" t="s">
        <v>300</v>
      </c>
      <c r="B95" s="241" t="s">
        <v>116</v>
      </c>
      <c r="C95" s="242" t="n">
        <f aca="false">SUM(E95:EF95)</f>
        <v>30843.702735198</v>
      </c>
      <c r="E95" s="158" t="n">
        <f aca="false">E11*Assumption!$R$370/Assumption!$E$15</f>
        <v>0</v>
      </c>
      <c r="F95" s="158" t="n">
        <f aca="false">F11*Assumption!$R$370/Assumption!$E$15</f>
        <v>0</v>
      </c>
      <c r="G95" s="158" t="n">
        <f aca="false">G11*Assumption!$R$370/Assumption!$E$15</f>
        <v>0</v>
      </c>
      <c r="H95" s="158" t="n">
        <f aca="false">H11*Assumption!$R$370/Assumption!$E$15</f>
        <v>0</v>
      </c>
      <c r="I95" s="158" t="n">
        <f aca="false">I11*Assumption!$R$370/Assumption!$E$15</f>
        <v>0</v>
      </c>
      <c r="J95" s="158" t="n">
        <f aca="false">J11*Assumption!$R$370/Assumption!$E$15</f>
        <v>0</v>
      </c>
      <c r="K95" s="158" t="n">
        <f aca="false">K11*Assumption!$R$370/Assumption!$E$15</f>
        <v>0</v>
      </c>
      <c r="L95" s="158" t="n">
        <f aca="false">L11*Assumption!$R$370/Assumption!$E$15</f>
        <v>0</v>
      </c>
      <c r="M95" s="158" t="n">
        <f aca="false">M11*Assumption!$R$370/Assumption!$E$15</f>
        <v>0</v>
      </c>
      <c r="N95" s="158" t="n">
        <f aca="false">N11*Assumption!$R$370/Assumption!$E$15</f>
        <v>0</v>
      </c>
      <c r="O95" s="158" t="n">
        <f aca="false">O11*Assumption!$R$370/Assumption!$E$15</f>
        <v>0</v>
      </c>
      <c r="P95" s="158" t="n">
        <f aca="false">P11*Assumption!$R$370/Assumption!$E$15</f>
        <v>0</v>
      </c>
      <c r="Q95" s="158" t="n">
        <f aca="false">Q11*Assumption!$R$370/Assumption!$E$15</f>
        <v>0</v>
      </c>
      <c r="R95" s="158" t="n">
        <f aca="false">R11*Assumption!$R$370/Assumption!$E$15</f>
        <v>0</v>
      </c>
      <c r="S95" s="158" t="n">
        <f aca="false">S11*Assumption!$R$370/Assumption!$E$15</f>
        <v>0</v>
      </c>
      <c r="T95" s="158" t="n">
        <f aca="false">T11*Assumption!$R$370/Assumption!$E$15</f>
        <v>0</v>
      </c>
      <c r="U95" s="158" t="n">
        <f aca="false">U11*Assumption!$R$370/Assumption!$E$15</f>
        <v>0</v>
      </c>
      <c r="V95" s="158" t="n">
        <f aca="false">V11*Assumption!$R$370/Assumption!$E$15</f>
        <v>0</v>
      </c>
      <c r="W95" s="158" t="n">
        <f aca="false">W11*Assumption!$R$370/Assumption!$E$15</f>
        <v>734.373874647571</v>
      </c>
      <c r="X95" s="158" t="n">
        <f aca="false">X11*Assumption!$R$370/Assumption!$E$15</f>
        <v>734.373874647571</v>
      </c>
      <c r="Y95" s="158" t="n">
        <f aca="false">Y11*Assumption!$R$370/Assumption!$E$15</f>
        <v>734.373874647571</v>
      </c>
      <c r="Z95" s="158" t="n">
        <f aca="false">Z11*Assumption!$R$370/Assumption!$E$15</f>
        <v>734.373874647571</v>
      </c>
      <c r="AA95" s="158" t="n">
        <f aca="false">AA11*Assumption!$R$370/Assumption!$E$15</f>
        <v>734.373874647571</v>
      </c>
      <c r="AB95" s="158" t="n">
        <f aca="false">AB11*Assumption!$R$370/Assumption!$E$15</f>
        <v>734.373874647571</v>
      </c>
      <c r="AC95" s="158" t="n">
        <f aca="false">AC11*Assumption!$R$370/Assumption!$E$15</f>
        <v>734.373874647571</v>
      </c>
      <c r="AD95" s="158" t="n">
        <f aca="false">AD11*Assumption!$R$370/Assumption!$E$15</f>
        <v>734.373874647571</v>
      </c>
      <c r="AE95" s="158" t="n">
        <f aca="false">AE11*Assumption!$R$370/Assumption!$E$15</f>
        <v>734.373874647571</v>
      </c>
      <c r="AF95" s="158" t="n">
        <f aca="false">AF11*Assumption!$R$370/Assumption!$E$15</f>
        <v>734.373874647571</v>
      </c>
      <c r="AG95" s="158" t="n">
        <f aca="false">AG11*Assumption!$R$370/Assumption!$E$15</f>
        <v>734.373874647571</v>
      </c>
      <c r="AH95" s="158" t="n">
        <f aca="false">AH11*Assumption!$R$370/Assumption!$E$15</f>
        <v>734.373874647571</v>
      </c>
      <c r="AI95" s="158" t="n">
        <f aca="false">AI11*Assumption!$R$370/Assumption!$E$15</f>
        <v>734.373874647571</v>
      </c>
      <c r="AJ95" s="158" t="n">
        <f aca="false">AJ11*Assumption!$R$370/Assumption!$E$15</f>
        <v>734.373874647571</v>
      </c>
      <c r="AK95" s="158" t="n">
        <f aca="false">AK11*Assumption!$R$370/Assumption!$E$15</f>
        <v>734.373874647571</v>
      </c>
      <c r="AL95" s="158" t="n">
        <f aca="false">AL11*Assumption!$R$370/Assumption!$E$15</f>
        <v>734.373874647571</v>
      </c>
      <c r="AM95" s="158" t="n">
        <f aca="false">AM11*Assumption!$R$370/Assumption!$E$15</f>
        <v>734.373874647571</v>
      </c>
      <c r="AN95" s="158" t="n">
        <f aca="false">AN11*Assumption!$R$370/Assumption!$E$15</f>
        <v>734.373874647571</v>
      </c>
      <c r="AO95" s="158" t="n">
        <f aca="false">AO11*Assumption!$R$370/Assumption!$E$15</f>
        <v>734.373874647571</v>
      </c>
      <c r="AP95" s="158" t="n">
        <f aca="false">AP11*Assumption!$R$370/Assumption!$E$15</f>
        <v>734.373874647571</v>
      </c>
      <c r="AQ95" s="158" t="n">
        <f aca="false">AQ11*Assumption!$R$370/Assumption!$E$15</f>
        <v>734.373874647571</v>
      </c>
      <c r="AR95" s="158" t="n">
        <f aca="false">AR11*Assumption!$R$370/Assumption!$E$15</f>
        <v>734.373874647571</v>
      </c>
      <c r="AS95" s="158" t="n">
        <f aca="false">AS11*Assumption!$R$370/Assumption!$E$15</f>
        <v>734.373874647571</v>
      </c>
      <c r="AT95" s="158" t="n">
        <f aca="false">AT11*Assumption!$R$370/Assumption!$E$15</f>
        <v>734.373874647571</v>
      </c>
      <c r="AU95" s="158" t="n">
        <f aca="false">AU11*Assumption!$R$370/Assumption!$E$15</f>
        <v>734.373874647571</v>
      </c>
      <c r="AV95" s="158" t="n">
        <f aca="false">AV11*Assumption!$R$370/Assumption!$E$15</f>
        <v>734.373874647571</v>
      </c>
      <c r="AW95" s="158" t="n">
        <f aca="false">AW11*Assumption!$R$370/Assumption!$E$15</f>
        <v>734.373874647571</v>
      </c>
      <c r="AX95" s="158" t="n">
        <f aca="false">AX11*Assumption!$R$370/Assumption!$E$15</f>
        <v>734.373874647571</v>
      </c>
      <c r="AY95" s="158" t="n">
        <f aca="false">AY11*Assumption!$R$370/Assumption!$E$15</f>
        <v>734.373874647571</v>
      </c>
      <c r="AZ95" s="158" t="n">
        <f aca="false">AZ11*Assumption!$R$370/Assumption!$E$15</f>
        <v>734.373874647571</v>
      </c>
      <c r="BA95" s="158" t="n">
        <f aca="false">BA11*Assumption!$R$370/Assumption!$E$15</f>
        <v>734.373874647571</v>
      </c>
      <c r="BB95" s="158" t="n">
        <f aca="false">BB11*Assumption!$R$370/Assumption!$E$15</f>
        <v>734.373874647571</v>
      </c>
      <c r="BC95" s="158" t="n">
        <f aca="false">BC11*Assumption!$R$370/Assumption!$E$15</f>
        <v>734.373874647571</v>
      </c>
      <c r="BD95" s="158" t="n">
        <f aca="false">BD11*Assumption!$R$370/Assumption!$E$15</f>
        <v>734.373874647571</v>
      </c>
      <c r="BE95" s="158" t="n">
        <f aca="false">BE11*Assumption!$R$370/Assumption!$E$15</f>
        <v>734.373874647571</v>
      </c>
      <c r="BF95" s="158" t="n">
        <f aca="false">BF11*Assumption!$R$370/Assumption!$E$15</f>
        <v>734.373874647571</v>
      </c>
      <c r="BG95" s="158" t="n">
        <f aca="false">BG11*Assumption!$R$370/Assumption!$E$15</f>
        <v>734.373874647571</v>
      </c>
      <c r="BH95" s="158" t="n">
        <f aca="false">BH11*Assumption!$R$370/Assumption!$E$15</f>
        <v>734.373874647571</v>
      </c>
      <c r="BI95" s="158" t="n">
        <f aca="false">BI11*Assumption!$R$370/Assumption!$E$15</f>
        <v>734.373874647571</v>
      </c>
      <c r="BJ95" s="158" t="n">
        <f aca="false">BJ11*Assumption!$R$370/Assumption!$E$15</f>
        <v>734.373874647571</v>
      </c>
      <c r="BK95" s="158" t="n">
        <f aca="false">BK11*Assumption!$R$370/Assumption!$E$15</f>
        <v>734.373874647571</v>
      </c>
      <c r="BL95" s="158" t="n">
        <f aca="false">BL11*Assumption!$R$370/Assumption!$E$15</f>
        <v>734.373874647571</v>
      </c>
      <c r="BM95" s="158" t="n">
        <f aca="false">BM11*Assumption!$R$370/Assumption!$E$15</f>
        <v>0</v>
      </c>
      <c r="BN95" s="158" t="n">
        <f aca="false">BN11*Assumption!$R$370/Assumption!$E$15</f>
        <v>0</v>
      </c>
      <c r="BO95" s="158" t="n">
        <f aca="false">BO11*Assumption!$R$370/Assumption!$E$15</f>
        <v>0</v>
      </c>
      <c r="BP95" s="158" t="n">
        <f aca="false">BP11*Assumption!$R$370/Assumption!$E$15</f>
        <v>0</v>
      </c>
      <c r="BQ95" s="158" t="n">
        <f aca="false">BQ11*Assumption!$R$370/Assumption!$E$15</f>
        <v>0</v>
      </c>
      <c r="BR95" s="158" t="n">
        <f aca="false">BR11*Assumption!$R$370/Assumption!$E$15</f>
        <v>0</v>
      </c>
      <c r="BS95" s="158" t="n">
        <f aca="false">BS11*Assumption!$R$370/Assumption!$E$15</f>
        <v>0</v>
      </c>
      <c r="BT95" s="158" t="n">
        <f aca="false">BT11*Assumption!$R$370/Assumption!$E$15</f>
        <v>0</v>
      </c>
      <c r="BU95" s="158" t="n">
        <f aca="false">BU11*Assumption!$R$370/Assumption!$E$15</f>
        <v>0</v>
      </c>
      <c r="BV95" s="158" t="n">
        <f aca="false">BV11*Assumption!$R$370/Assumption!$E$15</f>
        <v>0</v>
      </c>
      <c r="BW95" s="158" t="n">
        <f aca="false">BW11*Assumption!$R$370/Assumption!$E$15</f>
        <v>0</v>
      </c>
      <c r="BX95" s="158" t="n">
        <f aca="false">BX11*Assumption!$R$370/Assumption!$E$15</f>
        <v>0</v>
      </c>
      <c r="BY95" s="158" t="n">
        <f aca="false">BY11*Assumption!$R$370/Assumption!$E$15</f>
        <v>0</v>
      </c>
      <c r="BZ95" s="158" t="n">
        <f aca="false">BZ11*Assumption!$R$370/Assumption!$E$15</f>
        <v>0</v>
      </c>
      <c r="CA95" s="158" t="n">
        <f aca="false">CA11*Assumption!$R$370/Assumption!$E$15</f>
        <v>0</v>
      </c>
      <c r="CB95" s="158" t="n">
        <f aca="false">CB11*Assumption!$R$370/Assumption!$E$15</f>
        <v>0</v>
      </c>
      <c r="CC95" s="158" t="n">
        <f aca="false">CC11*Assumption!$R$370/Assumption!$E$15</f>
        <v>0</v>
      </c>
      <c r="CD95" s="158" t="n">
        <f aca="false">CD11*Assumption!$R$370/Assumption!$E$15</f>
        <v>0</v>
      </c>
      <c r="CE95" s="158" t="n">
        <f aca="false">CE11*Assumption!$R$370/Assumption!$E$15</f>
        <v>0</v>
      </c>
      <c r="CF95" s="158" t="n">
        <f aca="false">CF11*Assumption!$R$370/Assumption!$E$15</f>
        <v>0</v>
      </c>
      <c r="CG95" s="158" t="n">
        <f aca="false">CG11*Assumption!$R$370/Assumption!$E$15</f>
        <v>0</v>
      </c>
      <c r="CH95" s="158" t="n">
        <f aca="false">CH11*Assumption!$R$370/Assumption!$E$15</f>
        <v>0</v>
      </c>
      <c r="CI95" s="158" t="n">
        <f aca="false">CI11*Assumption!$R$370/Assumption!$E$15</f>
        <v>0</v>
      </c>
      <c r="CJ95" s="158" t="n">
        <f aca="false">CJ11*Assumption!$R$370/Assumption!$E$15</f>
        <v>0</v>
      </c>
      <c r="CK95" s="158" t="n">
        <f aca="false">CK11*Assumption!$R$370/Assumption!$E$15</f>
        <v>0</v>
      </c>
      <c r="CL95" s="158" t="n">
        <f aca="false">CL11*Assumption!$R$370/Assumption!$E$15</f>
        <v>0</v>
      </c>
      <c r="CM95" s="158" t="n">
        <f aca="false">CM11*Assumption!$R$370/Assumption!$E$15</f>
        <v>0</v>
      </c>
      <c r="CN95" s="158" t="n">
        <f aca="false">CN11*Assumption!$R$370/Assumption!$E$15</f>
        <v>0</v>
      </c>
      <c r="CO95" s="158" t="n">
        <f aca="false">CO11*Assumption!$R$370/Assumption!$E$15</f>
        <v>0</v>
      </c>
      <c r="CP95" s="158" t="n">
        <f aca="false">CP11*Assumption!$R$370/Assumption!$E$15</f>
        <v>0</v>
      </c>
      <c r="CQ95" s="158" t="n">
        <f aca="false">CQ11*Assumption!$R$370/Assumption!$E$15</f>
        <v>0</v>
      </c>
      <c r="CR95" s="158" t="n">
        <f aca="false">CR11*Assumption!$R$370/Assumption!$E$15</f>
        <v>0</v>
      </c>
      <c r="CS95" s="158" t="n">
        <f aca="false">CS11*Assumption!$R$370/Assumption!$E$15</f>
        <v>0</v>
      </c>
      <c r="CT95" s="158" t="n">
        <f aca="false">CT11*Assumption!$R$370/Assumption!$E$15</f>
        <v>0</v>
      </c>
      <c r="CU95" s="158" t="n">
        <f aca="false">CU11*Assumption!$R$370/Assumption!$E$15</f>
        <v>0</v>
      </c>
      <c r="CV95" s="158" t="n">
        <f aca="false">CV11*Assumption!$R$370/Assumption!$E$15</f>
        <v>0</v>
      </c>
      <c r="CW95" s="158" t="n">
        <f aca="false">CW11*Assumption!$R$370/Assumption!$E$15</f>
        <v>0</v>
      </c>
      <c r="CX95" s="158" t="n">
        <f aca="false">CX11*Assumption!$R$370/Assumption!$E$15</f>
        <v>0</v>
      </c>
      <c r="CY95" s="158" t="n">
        <f aca="false">CY11*Assumption!$R$370/Assumption!$E$15</f>
        <v>0</v>
      </c>
      <c r="CZ95" s="158" t="n">
        <f aca="false">CZ11*Assumption!$R$370/Assumption!$E$15</f>
        <v>0</v>
      </c>
      <c r="DA95" s="158" t="n">
        <f aca="false">DA11*Assumption!$R$370/Assumption!$E$15</f>
        <v>0</v>
      </c>
      <c r="DB95" s="158" t="n">
        <f aca="false">DB11*Assumption!$R$370/Assumption!$E$15</f>
        <v>0</v>
      </c>
      <c r="DC95" s="158" t="n">
        <f aca="false">DC11*Assumption!$R$370/Assumption!$E$15</f>
        <v>0</v>
      </c>
      <c r="DD95" s="158" t="n">
        <f aca="false">DD11*Assumption!$R$370/Assumption!$E$15</f>
        <v>0</v>
      </c>
      <c r="DE95" s="158" t="n">
        <f aca="false">DE11*Assumption!$R$370/Assumption!$E$15</f>
        <v>0</v>
      </c>
      <c r="DF95" s="158" t="n">
        <f aca="false">DF11*Assumption!$R$370/Assumption!$E$15</f>
        <v>0</v>
      </c>
      <c r="DG95" s="158" t="n">
        <f aca="false">DG11*Assumption!$R$370/Assumption!$E$15</f>
        <v>0</v>
      </c>
      <c r="DH95" s="158" t="n">
        <f aca="false">DH11*Assumption!$R$370/Assumption!$E$15</f>
        <v>0</v>
      </c>
      <c r="DI95" s="158" t="n">
        <f aca="false">DI11*Assumption!$R$370/Assumption!$E$15</f>
        <v>0</v>
      </c>
      <c r="DJ95" s="158" t="n">
        <f aca="false">DJ11*Assumption!$R$370/Assumption!$E$15</f>
        <v>0</v>
      </c>
      <c r="DK95" s="158" t="n">
        <f aca="false">DK11*Assumption!$R$370/Assumption!$E$15</f>
        <v>0</v>
      </c>
      <c r="DL95" s="158" t="n">
        <f aca="false">DL11*Assumption!$R$370/Assumption!$E$15</f>
        <v>0</v>
      </c>
      <c r="DM95" s="158" t="n">
        <f aca="false">DM11*Assumption!$R$370/Assumption!$E$15</f>
        <v>0</v>
      </c>
      <c r="DN95" s="158" t="n">
        <f aca="false">DN11*Assumption!$R$370/Assumption!$E$15</f>
        <v>0</v>
      </c>
      <c r="DO95" s="158" t="n">
        <f aca="false">DO11*Assumption!$R$370/Assumption!$E$15</f>
        <v>0</v>
      </c>
      <c r="DP95" s="158" t="n">
        <f aca="false">DP11*Assumption!$R$370/Assumption!$E$15</f>
        <v>0</v>
      </c>
      <c r="DQ95" s="158" t="n">
        <f aca="false">DQ11*Assumption!$R$370/Assumption!$E$15</f>
        <v>0</v>
      </c>
      <c r="DR95" s="158" t="n">
        <f aca="false">DR11*Assumption!$R$370/Assumption!$E$15</f>
        <v>0</v>
      </c>
      <c r="DS95" s="158" t="n">
        <f aca="false">DS11*Assumption!$R$370/Assumption!$E$15</f>
        <v>0</v>
      </c>
      <c r="DT95" s="158" t="n">
        <f aca="false">DT11*Assumption!$R$370/Assumption!$E$15</f>
        <v>0</v>
      </c>
      <c r="DU95" s="158" t="n">
        <f aca="false">DU11*Assumption!$R$370/Assumption!$E$15</f>
        <v>0</v>
      </c>
      <c r="DV95" s="158" t="n">
        <f aca="false">DV11*Assumption!$R$370/Assumption!$E$15</f>
        <v>0</v>
      </c>
      <c r="DW95" s="158" t="n">
        <f aca="false">DW11*Assumption!$R$370/Assumption!$E$15</f>
        <v>0</v>
      </c>
      <c r="DX95" s="158" t="n">
        <f aca="false">DX11*Assumption!$R$370/Assumption!$E$15</f>
        <v>0</v>
      </c>
      <c r="DY95" s="158" t="n">
        <f aca="false">DY11*Assumption!$R$370/Assumption!$E$15</f>
        <v>0</v>
      </c>
      <c r="DZ95" s="158" t="n">
        <f aca="false">DZ11*Assumption!$R$370/Assumption!$E$15</f>
        <v>0</v>
      </c>
      <c r="EA95" s="158" t="n">
        <f aca="false">EA11*Assumption!$R$370/Assumption!$E$15</f>
        <v>0</v>
      </c>
      <c r="EB95" s="158" t="n">
        <f aca="false">EB11*Assumption!$R$370/Assumption!$E$15</f>
        <v>0</v>
      </c>
      <c r="EC95" s="158" t="n">
        <f aca="false">EC11*Assumption!$R$370/Assumption!$E$15</f>
        <v>0</v>
      </c>
      <c r="ED95" s="158" t="n">
        <f aca="false">ED11*Assumption!$R$370/Assumption!$E$15</f>
        <v>0</v>
      </c>
      <c r="EE95" s="158" t="n">
        <f aca="false">EE11*Assumption!$R$370/Assumption!$E$15</f>
        <v>0</v>
      </c>
      <c r="EF95" s="158" t="n">
        <f aca="false">EF11*Assumption!$R$370/Assumption!$E$15</f>
        <v>0</v>
      </c>
    </row>
    <row r="96" customFormat="false" ht="15" hidden="false" customHeight="false" outlineLevel="0" collapsed="false">
      <c r="A96" s="35" t="s">
        <v>554</v>
      </c>
      <c r="B96" s="241" t="s">
        <v>116</v>
      </c>
      <c r="C96" s="242" t="n">
        <f aca="false">SUM(E96:EF96)</f>
        <v>29598.3136</v>
      </c>
      <c r="E96" s="158" t="n">
        <f aca="false">IF(E6=Assumption!$E$16,Assumption!$R$373,0)</f>
        <v>0</v>
      </c>
      <c r="F96" s="158" t="n">
        <f aca="false">IF(F6=Assumption!$E$16,Assumption!$R$373,0)</f>
        <v>0</v>
      </c>
      <c r="G96" s="158" t="n">
        <f aca="false">IF(G6=Assumption!$E$16,Assumption!$R$373,0)</f>
        <v>0</v>
      </c>
      <c r="H96" s="158" t="n">
        <f aca="false">IF(H6=Assumption!$E$16,Assumption!$R$373,0)</f>
        <v>0</v>
      </c>
      <c r="I96" s="158" t="n">
        <f aca="false">IF(I6=Assumption!$E$16,Assumption!$R$373,0)</f>
        <v>0</v>
      </c>
      <c r="J96" s="158" t="n">
        <f aca="false">IF(J6=Assumption!$E$16,Assumption!$R$373,0)</f>
        <v>0</v>
      </c>
      <c r="K96" s="158" t="n">
        <f aca="false">IF(K6=Assumption!$E$16,Assumption!$R$373,0)</f>
        <v>0</v>
      </c>
      <c r="L96" s="158" t="n">
        <f aca="false">IF(L6=Assumption!$E$16,Assumption!$R$373,0)</f>
        <v>0</v>
      </c>
      <c r="M96" s="158" t="n">
        <f aca="false">IF(M6=Assumption!$E$16,Assumption!$R$373,0)</f>
        <v>0</v>
      </c>
      <c r="N96" s="158" t="n">
        <f aca="false">IF(N6=Assumption!$E$16,Assumption!$R$373,0)</f>
        <v>0</v>
      </c>
      <c r="O96" s="158" t="n">
        <f aca="false">IF(O6=Assumption!$E$16,Assumption!$R$373,0)</f>
        <v>0</v>
      </c>
      <c r="P96" s="158" t="n">
        <f aca="false">IF(P6=Assumption!$E$16,Assumption!$R$373,0)</f>
        <v>0</v>
      </c>
      <c r="Q96" s="158" t="n">
        <f aca="false">IF(Q6=Assumption!$E$16,Assumption!$R$373,0)</f>
        <v>0</v>
      </c>
      <c r="R96" s="158" t="n">
        <f aca="false">IF(R6=Assumption!$E$16,Assumption!$R$373,0)</f>
        <v>0</v>
      </c>
      <c r="S96" s="158" t="n">
        <f aca="false">IF(S6=Assumption!$E$16,Assumption!$R$373,0)</f>
        <v>0</v>
      </c>
      <c r="T96" s="158" t="n">
        <f aca="false">IF(T6=Assumption!$E$16,Assumption!$R$373,0)</f>
        <v>0</v>
      </c>
      <c r="U96" s="158" t="n">
        <f aca="false">IF(U6=Assumption!$E$16,Assumption!$R$373,0)</f>
        <v>0</v>
      </c>
      <c r="V96" s="158" t="n">
        <f aca="false">IF(V6=Assumption!$E$16,Assumption!$R$373,0)</f>
        <v>0</v>
      </c>
      <c r="W96" s="158" t="n">
        <f aca="false">IF(W6=Assumption!$E$16,Assumption!$R$373,0)</f>
        <v>0</v>
      </c>
      <c r="X96" s="158" t="n">
        <f aca="false">IF(X6=Assumption!$E$16,Assumption!$R$373,0)</f>
        <v>0</v>
      </c>
      <c r="Y96" s="158" t="n">
        <f aca="false">IF(Y6=Assumption!$E$16,Assumption!$R$373,0)</f>
        <v>0</v>
      </c>
      <c r="Z96" s="158" t="n">
        <f aca="false">IF(Z6=Assumption!$E$16,Assumption!$R$373,0)</f>
        <v>0</v>
      </c>
      <c r="AA96" s="158" t="n">
        <f aca="false">IF(AA6=Assumption!$E$16,Assumption!$R$373,0)</f>
        <v>0</v>
      </c>
      <c r="AB96" s="158" t="n">
        <f aca="false">IF(AB6=Assumption!$E$16,Assumption!$R$373,0)</f>
        <v>0</v>
      </c>
      <c r="AC96" s="158" t="n">
        <f aca="false">IF(AC6=Assumption!$E$16,Assumption!$R$373,0)</f>
        <v>0</v>
      </c>
      <c r="AD96" s="158" t="n">
        <f aca="false">IF(AD6=Assumption!$E$16,Assumption!$R$373,0)</f>
        <v>0</v>
      </c>
      <c r="AE96" s="158" t="n">
        <f aca="false">IF(AE6=Assumption!$E$16,Assumption!$R$373,0)</f>
        <v>0</v>
      </c>
      <c r="AF96" s="158" t="n">
        <f aca="false">IF(AF6=Assumption!$E$16,Assumption!$R$373,0)</f>
        <v>0</v>
      </c>
      <c r="AG96" s="158" t="n">
        <f aca="false">IF(AG6=Assumption!$E$16,Assumption!$R$373,0)</f>
        <v>0</v>
      </c>
      <c r="AH96" s="158" t="n">
        <f aca="false">IF(AH6=Assumption!$E$16,Assumption!$R$373,0)</f>
        <v>0</v>
      </c>
      <c r="AI96" s="158" t="n">
        <f aca="false">IF(AI6=Assumption!$E$16,Assumption!$R$373,0)</f>
        <v>0</v>
      </c>
      <c r="AJ96" s="158" t="n">
        <f aca="false">IF(AJ6=Assumption!$E$16,Assumption!$R$373,0)</f>
        <v>0</v>
      </c>
      <c r="AK96" s="158" t="n">
        <f aca="false">IF(AK6=Assumption!$E$16,Assumption!$R$373,0)</f>
        <v>0</v>
      </c>
      <c r="AL96" s="158" t="n">
        <f aca="false">IF(AL6=Assumption!$E$16,Assumption!$R$373,0)</f>
        <v>0</v>
      </c>
      <c r="AM96" s="158" t="n">
        <f aca="false">IF(AM6=Assumption!$E$16,Assumption!$R$373,0)</f>
        <v>0</v>
      </c>
      <c r="AN96" s="158" t="n">
        <f aca="false">IF(AN6=Assumption!$E$16,Assumption!$R$373,0)</f>
        <v>0</v>
      </c>
      <c r="AO96" s="158" t="n">
        <f aca="false">IF(AO6=Assumption!$E$16,Assumption!$R$373,0)</f>
        <v>0</v>
      </c>
      <c r="AP96" s="158" t="n">
        <f aca="false">IF(AP6=Assumption!$E$16,Assumption!$R$373,0)</f>
        <v>0</v>
      </c>
      <c r="AQ96" s="158" t="n">
        <f aca="false">IF(AQ6=Assumption!$E$16,Assumption!$R$373,0)</f>
        <v>0</v>
      </c>
      <c r="AR96" s="158" t="n">
        <f aca="false">IF(AR6=Assumption!$E$16,Assumption!$R$373,0)</f>
        <v>0</v>
      </c>
      <c r="AS96" s="158" t="n">
        <f aca="false">IF(AS6=Assumption!$E$16,Assumption!$R$373,0)</f>
        <v>0</v>
      </c>
      <c r="AT96" s="158" t="n">
        <f aca="false">IF(AT6=Assumption!$E$16,Assumption!$R$373,0)</f>
        <v>0</v>
      </c>
      <c r="AU96" s="158" t="n">
        <f aca="false">IF(AU6=Assumption!$E$16,Assumption!$R$373,0)</f>
        <v>0</v>
      </c>
      <c r="AV96" s="158" t="n">
        <f aca="false">IF(AV6=Assumption!$E$16,Assumption!$R$373,0)</f>
        <v>0</v>
      </c>
      <c r="AW96" s="158" t="n">
        <f aca="false">IF(AW6=Assumption!$E$16,Assumption!$R$373,0)</f>
        <v>0</v>
      </c>
      <c r="AX96" s="158" t="n">
        <f aca="false">IF(AX6=Assumption!$E$16,Assumption!$R$373,0)</f>
        <v>0</v>
      </c>
      <c r="AY96" s="158" t="n">
        <f aca="false">IF(AY6=Assumption!$E$16,Assumption!$R$373,0)</f>
        <v>0</v>
      </c>
      <c r="AZ96" s="158" t="n">
        <f aca="false">IF(AZ6=Assumption!$E$16,Assumption!$R$373,0)</f>
        <v>0</v>
      </c>
      <c r="BA96" s="158" t="n">
        <f aca="false">IF(BA6=Assumption!$E$16,Assumption!$R$373,0)</f>
        <v>0</v>
      </c>
      <c r="BB96" s="158" t="n">
        <f aca="false">IF(BB6=Assumption!$E$16,Assumption!$R$373,0)</f>
        <v>0</v>
      </c>
      <c r="BC96" s="158" t="n">
        <f aca="false">IF(BC6=Assumption!$E$16,Assumption!$R$373,0)</f>
        <v>0</v>
      </c>
      <c r="BD96" s="158" t="n">
        <f aca="false">IF(BD6=Assumption!$E$16,Assumption!$R$373,0)</f>
        <v>0</v>
      </c>
      <c r="BE96" s="158" t="n">
        <f aca="false">IF(BE6=Assumption!$E$16,Assumption!$R$373,0)</f>
        <v>0</v>
      </c>
      <c r="BF96" s="158" t="n">
        <f aca="false">IF(BF6=Assumption!$E$16,Assumption!$R$373,0)</f>
        <v>0</v>
      </c>
      <c r="BG96" s="158" t="n">
        <f aca="false">IF(BG6=Assumption!$E$16,Assumption!$R$373,0)</f>
        <v>0</v>
      </c>
      <c r="BH96" s="158" t="n">
        <f aca="false">IF(BH6=Assumption!$E$16,Assumption!$R$373,0)</f>
        <v>0</v>
      </c>
      <c r="BI96" s="158" t="n">
        <f aca="false">IF(BI6=Assumption!$E$16,Assumption!$R$373,0)</f>
        <v>0</v>
      </c>
      <c r="BJ96" s="158" t="n">
        <f aca="false">IF(BJ6=Assumption!$E$16,Assumption!$R$373,0)</f>
        <v>0</v>
      </c>
      <c r="BK96" s="158" t="n">
        <f aca="false">IF(BK6=Assumption!$E$16,Assumption!$R$373,0)</f>
        <v>0</v>
      </c>
      <c r="BL96" s="158" t="n">
        <f aca="false">IF(BL6=Assumption!$E$16,Assumption!$R$373,0)</f>
        <v>29598.3136</v>
      </c>
      <c r="BM96" s="158" t="n">
        <f aca="false">IF(BM6=Assumption!$E$16,Assumption!$R$373,0)</f>
        <v>0</v>
      </c>
      <c r="BN96" s="158" t="n">
        <f aca="false">IF(BN6=Assumption!$E$16,Assumption!$R$373,0)</f>
        <v>0</v>
      </c>
      <c r="BO96" s="158" t="n">
        <f aca="false">IF(BO6=Assumption!$E$16,Assumption!$R$373,0)</f>
        <v>0</v>
      </c>
      <c r="BP96" s="158" t="n">
        <f aca="false">IF(BP6=Assumption!$E$16,Assumption!$R$373,0)</f>
        <v>0</v>
      </c>
      <c r="BQ96" s="158" t="n">
        <f aca="false">IF(BQ6=Assumption!$E$16,Assumption!$R$373,0)</f>
        <v>0</v>
      </c>
      <c r="BR96" s="158" t="n">
        <f aca="false">IF(BR6=Assumption!$E$16,Assumption!$R$373,0)</f>
        <v>0</v>
      </c>
      <c r="BS96" s="158" t="n">
        <f aca="false">IF(BS6=Assumption!$E$16,Assumption!$R$373,0)</f>
        <v>0</v>
      </c>
      <c r="BT96" s="158" t="n">
        <f aca="false">IF(BT6=Assumption!$E$16,Assumption!$R$373,0)</f>
        <v>0</v>
      </c>
      <c r="BU96" s="158" t="n">
        <f aca="false">IF(BU6=Assumption!$E$16,Assumption!$R$373,0)</f>
        <v>0</v>
      </c>
      <c r="BV96" s="158" t="n">
        <f aca="false">IF(BV6=Assumption!$E$16,Assumption!$R$373,0)</f>
        <v>0</v>
      </c>
      <c r="BW96" s="158" t="n">
        <f aca="false">IF(BW6=Assumption!$E$16,Assumption!$R$373,0)</f>
        <v>0</v>
      </c>
      <c r="BX96" s="158" t="n">
        <f aca="false">IF(BX6=Assumption!$E$16,Assumption!$R$373,0)</f>
        <v>0</v>
      </c>
      <c r="BY96" s="158" t="n">
        <f aca="false">IF(BY6=Assumption!$E$16,Assumption!$R$373,0)</f>
        <v>0</v>
      </c>
      <c r="BZ96" s="158" t="n">
        <f aca="false">IF(BZ6=Assumption!$E$16,Assumption!$R$373,0)</f>
        <v>0</v>
      </c>
      <c r="CA96" s="158" t="n">
        <f aca="false">IF(CA6=Assumption!$E$16,Assumption!$R$373,0)</f>
        <v>0</v>
      </c>
      <c r="CB96" s="158" t="n">
        <f aca="false">IF(CB6=Assumption!$E$16,Assumption!$R$373,0)</f>
        <v>0</v>
      </c>
      <c r="CC96" s="158" t="n">
        <f aca="false">IF(CC6=Assumption!$E$16,Assumption!$R$373,0)</f>
        <v>0</v>
      </c>
      <c r="CD96" s="158" t="n">
        <f aca="false">IF(CD6=Assumption!$E$16,Assumption!$R$373,0)</f>
        <v>0</v>
      </c>
      <c r="CE96" s="158" t="n">
        <f aca="false">IF(CE6=Assumption!$E$16,Assumption!$R$373,0)</f>
        <v>0</v>
      </c>
      <c r="CF96" s="158" t="n">
        <f aca="false">IF(CF6=Assumption!$E$16,Assumption!$R$373,0)</f>
        <v>0</v>
      </c>
      <c r="CG96" s="158" t="n">
        <f aca="false">IF(CG6=Assumption!$E$16,Assumption!$R$373,0)</f>
        <v>0</v>
      </c>
      <c r="CH96" s="158" t="n">
        <f aca="false">IF(CH6=Assumption!$E$16,Assumption!$R$373,0)</f>
        <v>0</v>
      </c>
      <c r="CI96" s="158" t="n">
        <f aca="false">IF(CI6=Assumption!$E$16,Assumption!$R$373,0)</f>
        <v>0</v>
      </c>
      <c r="CJ96" s="158" t="n">
        <f aca="false">IF(CJ6=Assumption!$E$16,Assumption!$R$373,0)</f>
        <v>0</v>
      </c>
      <c r="CK96" s="158" t="n">
        <f aca="false">IF(CK6=Assumption!$E$16,Assumption!$R$373,0)</f>
        <v>0</v>
      </c>
      <c r="CL96" s="158" t="n">
        <f aca="false">IF(CL6=Assumption!$E$16,Assumption!$R$373,0)</f>
        <v>0</v>
      </c>
      <c r="CM96" s="158" t="n">
        <f aca="false">IF(CM6=Assumption!$E$16,Assumption!$R$373,0)</f>
        <v>0</v>
      </c>
      <c r="CN96" s="158" t="n">
        <f aca="false">IF(CN6=Assumption!$E$16,Assumption!$R$373,0)</f>
        <v>0</v>
      </c>
      <c r="CO96" s="158" t="n">
        <f aca="false">IF(CO6=Assumption!$E$16,Assumption!$R$373,0)</f>
        <v>0</v>
      </c>
      <c r="CP96" s="158" t="n">
        <f aca="false">IF(CP6=Assumption!$E$16,Assumption!$R$373,0)</f>
        <v>0</v>
      </c>
      <c r="CQ96" s="158" t="n">
        <f aca="false">IF(CQ6=Assumption!$E$16,Assumption!$R$373,0)</f>
        <v>0</v>
      </c>
      <c r="CR96" s="158" t="n">
        <f aca="false">IF(CR6=Assumption!$E$16,Assumption!$R$373,0)</f>
        <v>0</v>
      </c>
      <c r="CS96" s="158" t="n">
        <f aca="false">IF(CS6=Assumption!$E$16,Assumption!$R$373,0)</f>
        <v>0</v>
      </c>
      <c r="CT96" s="158" t="n">
        <f aca="false">IF(CT6=Assumption!$E$16,Assumption!$R$373,0)</f>
        <v>0</v>
      </c>
      <c r="CU96" s="158" t="n">
        <f aca="false">IF(CU6=Assumption!$E$16,Assumption!$R$373,0)</f>
        <v>0</v>
      </c>
      <c r="CV96" s="158" t="n">
        <f aca="false">IF(CV6=Assumption!$E$16,Assumption!$R$373,0)</f>
        <v>0</v>
      </c>
      <c r="CW96" s="158" t="n">
        <f aca="false">IF(CW6=Assumption!$E$16,Assumption!$R$373,0)</f>
        <v>0</v>
      </c>
      <c r="CX96" s="158" t="n">
        <f aca="false">IF(CX6=Assumption!$E$16,Assumption!$R$373,0)</f>
        <v>0</v>
      </c>
      <c r="CY96" s="158" t="n">
        <f aca="false">IF(CY6=Assumption!$E$16,Assumption!$R$373,0)</f>
        <v>0</v>
      </c>
      <c r="CZ96" s="158" t="n">
        <f aca="false">IF(CZ6=Assumption!$E$16,Assumption!$R$373,0)</f>
        <v>0</v>
      </c>
      <c r="DA96" s="158" t="n">
        <f aca="false">IF(DA6=Assumption!$E$16,Assumption!$R$373,0)</f>
        <v>0</v>
      </c>
      <c r="DB96" s="158" t="n">
        <f aca="false">IF(DB6=Assumption!$E$16,Assumption!$R$373,0)</f>
        <v>0</v>
      </c>
      <c r="DC96" s="158" t="n">
        <f aca="false">IF(DC6=Assumption!$E$16,Assumption!$R$373,0)</f>
        <v>0</v>
      </c>
      <c r="DD96" s="158" t="n">
        <f aca="false">IF(DD6=Assumption!$E$16,Assumption!$R$373,0)</f>
        <v>0</v>
      </c>
      <c r="DE96" s="158" t="n">
        <f aca="false">IF(DE6=Assumption!$E$16,Assumption!$R$373,0)</f>
        <v>0</v>
      </c>
      <c r="DF96" s="158" t="n">
        <f aca="false">IF(DF6=Assumption!$E$16,Assumption!$R$373,0)</f>
        <v>0</v>
      </c>
      <c r="DG96" s="158" t="n">
        <f aca="false">IF(DG6=Assumption!$E$16,Assumption!$R$373,0)</f>
        <v>0</v>
      </c>
      <c r="DH96" s="158" t="n">
        <f aca="false">IF(DH6=Assumption!$E$16,Assumption!$R$373,0)</f>
        <v>0</v>
      </c>
      <c r="DI96" s="158" t="n">
        <f aca="false">IF(DI6=Assumption!$E$16,Assumption!$R$373,0)</f>
        <v>0</v>
      </c>
      <c r="DJ96" s="158" t="n">
        <f aca="false">IF(DJ6=Assumption!$E$16,Assumption!$R$373,0)</f>
        <v>0</v>
      </c>
      <c r="DK96" s="158" t="n">
        <f aca="false">IF(DK6=Assumption!$E$16,Assumption!$R$373,0)</f>
        <v>0</v>
      </c>
      <c r="DL96" s="158" t="n">
        <f aca="false">IF(DL6=Assumption!$E$16,Assumption!$R$373,0)</f>
        <v>0</v>
      </c>
      <c r="DM96" s="158" t="n">
        <f aca="false">IF(DM6=Assumption!$E$16,Assumption!$R$373,0)</f>
        <v>0</v>
      </c>
      <c r="DN96" s="158" t="n">
        <f aca="false">IF(DN6=Assumption!$E$16,Assumption!$R$373,0)</f>
        <v>0</v>
      </c>
      <c r="DO96" s="158" t="n">
        <f aca="false">IF(DO6=Assumption!$E$16,Assumption!$R$373,0)</f>
        <v>0</v>
      </c>
      <c r="DP96" s="158" t="n">
        <f aca="false">IF(DP6=Assumption!$E$16,Assumption!$R$373,0)</f>
        <v>0</v>
      </c>
      <c r="DQ96" s="158" t="n">
        <f aca="false">IF(DQ6=Assumption!$E$16,Assumption!$R$373,0)</f>
        <v>0</v>
      </c>
      <c r="DR96" s="158" t="n">
        <f aca="false">IF(DR6=Assumption!$E$16,Assumption!$R$373,0)</f>
        <v>0</v>
      </c>
      <c r="DS96" s="158" t="n">
        <f aca="false">IF(DS6=Assumption!$E$16,Assumption!$R$373,0)</f>
        <v>0</v>
      </c>
      <c r="DT96" s="158" t="n">
        <f aca="false">IF(DT6=Assumption!$E$16,Assumption!$R$373,0)</f>
        <v>0</v>
      </c>
      <c r="DU96" s="158" t="n">
        <f aca="false">IF(DU6=Assumption!$E$16,Assumption!$R$373,0)</f>
        <v>0</v>
      </c>
      <c r="DV96" s="158" t="n">
        <f aca="false">IF(DV6=Assumption!$E$16,Assumption!$R$373,0)</f>
        <v>0</v>
      </c>
      <c r="DW96" s="158" t="n">
        <f aca="false">IF(DW6=Assumption!$E$16,Assumption!$R$373,0)</f>
        <v>0</v>
      </c>
      <c r="DX96" s="158" t="n">
        <f aca="false">IF(DX6=Assumption!$E$16,Assumption!$R$373,0)</f>
        <v>0</v>
      </c>
      <c r="DY96" s="158" t="n">
        <f aca="false">IF(DY6=Assumption!$E$16,Assumption!$R$373,0)</f>
        <v>0</v>
      </c>
      <c r="DZ96" s="158" t="n">
        <f aca="false">IF(DZ6=Assumption!$E$16,Assumption!$R$373,0)</f>
        <v>0</v>
      </c>
      <c r="EA96" s="158" t="n">
        <f aca="false">IF(EA6=Assumption!$E$16,Assumption!$R$373,0)</f>
        <v>0</v>
      </c>
      <c r="EB96" s="158" t="n">
        <f aca="false">IF(EB6=Assumption!$E$16,Assumption!$R$373,0)</f>
        <v>0</v>
      </c>
      <c r="EC96" s="158" t="n">
        <f aca="false">IF(EC6=Assumption!$E$16,Assumption!$R$373,0)</f>
        <v>0</v>
      </c>
      <c r="ED96" s="158" t="n">
        <f aca="false">IF(ED6=Assumption!$E$16,Assumption!$R$373,0)</f>
        <v>0</v>
      </c>
      <c r="EE96" s="158" t="n">
        <f aca="false">IF(EE6=Assumption!$E$16,Assumption!$R$373,0)</f>
        <v>0</v>
      </c>
      <c r="EF96" s="158" t="n">
        <f aca="false">IF(EF6=Assumption!$E$16,Assumption!$R$373,0)</f>
        <v>0</v>
      </c>
    </row>
    <row r="97" customFormat="false" ht="15" hidden="false" customHeight="false" outlineLevel="0" collapsed="false">
      <c r="A97" s="35" t="s">
        <v>555</v>
      </c>
      <c r="B97" s="241" t="s">
        <v>116</v>
      </c>
      <c r="C97" s="242" t="n">
        <f aca="false">SUM(E97:EF97)</f>
        <v>1945.32895718698</v>
      </c>
      <c r="E97" s="158" t="n">
        <f aca="false">IF(E6=Assumption!$E$8,Assumption!$R$393+Assumption!$R$394+Assumption!$R$395,0)</f>
        <v>1945.32895718698</v>
      </c>
      <c r="F97" s="158" t="n">
        <f aca="false">IF(F6=Assumption!$E$8,Assumption!$R$393+Assumption!$R$394+Assumption!$R$395,0)</f>
        <v>0</v>
      </c>
      <c r="G97" s="158" t="n">
        <f aca="false">IF(G6=Assumption!$E$8,Assumption!$R$393+Assumption!$R$394+Assumption!$R$395,0)</f>
        <v>0</v>
      </c>
      <c r="H97" s="158" t="n">
        <f aca="false">IF(H6=Assumption!$E$8,Assumption!$R$393+Assumption!$R$394+Assumption!$R$395,0)</f>
        <v>0</v>
      </c>
      <c r="I97" s="158" t="n">
        <f aca="false">IF(I6=Assumption!$E$8,Assumption!$R$393+Assumption!$R$394+Assumption!$R$395,0)</f>
        <v>0</v>
      </c>
      <c r="J97" s="158" t="n">
        <f aca="false">IF(J6=Assumption!$E$8,Assumption!$R$393+Assumption!$R$394+Assumption!$R$395,0)</f>
        <v>0</v>
      </c>
      <c r="K97" s="158" t="n">
        <f aca="false">IF(K6=Assumption!$E$8,Assumption!$R$393+Assumption!$R$394+Assumption!$R$395,0)</f>
        <v>0</v>
      </c>
      <c r="L97" s="158" t="n">
        <f aca="false">IF(L6=Assumption!$E$8,Assumption!$R$393+Assumption!$R$394+Assumption!$R$395,0)</f>
        <v>0</v>
      </c>
      <c r="M97" s="158" t="n">
        <f aca="false">IF(M6=Assumption!$E$8,Assumption!$R$393+Assumption!$R$394+Assumption!$R$395,0)</f>
        <v>0</v>
      </c>
      <c r="N97" s="158" t="n">
        <f aca="false">IF(N6=Assumption!$E$8,Assumption!$R$393+Assumption!$R$394+Assumption!$R$395,0)</f>
        <v>0</v>
      </c>
      <c r="O97" s="158" t="n">
        <f aca="false">IF(O6=Assumption!$E$8,Assumption!$R$393+Assumption!$R$394+Assumption!$R$395,0)</f>
        <v>0</v>
      </c>
      <c r="P97" s="158" t="n">
        <f aca="false">IF(P6=Assumption!$E$8,Assumption!$R$393+Assumption!$R$394+Assumption!$R$395,0)</f>
        <v>0</v>
      </c>
      <c r="Q97" s="158" t="n">
        <f aca="false">IF(Q6=Assumption!$E$8,Assumption!$R$393+Assumption!$R$394+Assumption!$R$395,0)</f>
        <v>0</v>
      </c>
      <c r="R97" s="158" t="n">
        <f aca="false">IF(R6=Assumption!$E$8,Assumption!$R$393+Assumption!$R$394+Assumption!$R$395,0)</f>
        <v>0</v>
      </c>
      <c r="S97" s="158" t="n">
        <f aca="false">IF(S6=Assumption!$E$8,Assumption!$R$393+Assumption!$R$394+Assumption!$R$395,0)</f>
        <v>0</v>
      </c>
      <c r="T97" s="158" t="n">
        <f aca="false">IF(T6=Assumption!$E$8,Assumption!$R$393+Assumption!$R$394+Assumption!$R$395,0)</f>
        <v>0</v>
      </c>
      <c r="U97" s="158" t="n">
        <f aca="false">IF(U6=Assumption!$E$8,Assumption!$R$393+Assumption!$R$394+Assumption!$R$395,0)</f>
        <v>0</v>
      </c>
      <c r="V97" s="158" t="n">
        <f aca="false">IF(V6=Assumption!$E$8,Assumption!$R$393+Assumption!$R$394+Assumption!$R$395,0)</f>
        <v>0</v>
      </c>
      <c r="W97" s="158" t="n">
        <f aca="false">IF(W6=Assumption!$E$8,Assumption!$R$393+Assumption!$R$394+Assumption!$R$395,0)</f>
        <v>0</v>
      </c>
      <c r="X97" s="158" t="n">
        <f aca="false">IF(X6=Assumption!$E$8,Assumption!$R$393+Assumption!$R$394+Assumption!$R$395,0)</f>
        <v>0</v>
      </c>
      <c r="Y97" s="158" t="n">
        <f aca="false">IF(Y6=Assumption!$E$8,Assumption!$R$393+Assumption!$R$394+Assumption!$R$395,0)</f>
        <v>0</v>
      </c>
      <c r="Z97" s="158" t="n">
        <f aca="false">IF(Z6=Assumption!$E$8,Assumption!$R$393+Assumption!$R$394+Assumption!$R$395,0)</f>
        <v>0</v>
      </c>
      <c r="AA97" s="158" t="n">
        <f aca="false">IF(AA6=Assumption!$E$8,Assumption!$R$393+Assumption!$R$394+Assumption!$R$395,0)</f>
        <v>0</v>
      </c>
      <c r="AB97" s="158" t="n">
        <f aca="false">IF(AB6=Assumption!$E$8,Assumption!$R$393+Assumption!$R$394+Assumption!$R$395,0)</f>
        <v>0</v>
      </c>
      <c r="AC97" s="158" t="n">
        <f aca="false">IF(AC6=Assumption!$E$8,Assumption!$R$393+Assumption!$R$394+Assumption!$R$395,0)</f>
        <v>0</v>
      </c>
      <c r="AD97" s="158" t="n">
        <f aca="false">IF(AD6=Assumption!$E$8,Assumption!$R$393+Assumption!$R$394+Assumption!$R$395,0)</f>
        <v>0</v>
      </c>
      <c r="AE97" s="158" t="n">
        <f aca="false">IF(AE6=Assumption!$E$8,Assumption!$R$393+Assumption!$R$394+Assumption!$R$395,0)</f>
        <v>0</v>
      </c>
      <c r="AF97" s="158" t="n">
        <f aca="false">IF(AF6=Assumption!$E$8,Assumption!$R$393+Assumption!$R$394+Assumption!$R$395,0)</f>
        <v>0</v>
      </c>
      <c r="AG97" s="158" t="n">
        <f aca="false">IF(AG6=Assumption!$E$8,Assumption!$R$393+Assumption!$R$394+Assumption!$R$395,0)</f>
        <v>0</v>
      </c>
      <c r="AH97" s="158" t="n">
        <f aca="false">IF(AH6=Assumption!$E$8,Assumption!$R$393+Assumption!$R$394+Assumption!$R$395,0)</f>
        <v>0</v>
      </c>
      <c r="AI97" s="158" t="n">
        <f aca="false">IF(AI6=Assumption!$E$8,Assumption!$R$393+Assumption!$R$394+Assumption!$R$395,0)</f>
        <v>0</v>
      </c>
      <c r="AJ97" s="158" t="n">
        <f aca="false">IF(AJ6=Assumption!$E$8,Assumption!$R$393+Assumption!$R$394+Assumption!$R$395,0)</f>
        <v>0</v>
      </c>
      <c r="AK97" s="158" t="n">
        <f aca="false">IF(AK6=Assumption!$E$8,Assumption!$R$393+Assumption!$R$394+Assumption!$R$395,0)</f>
        <v>0</v>
      </c>
      <c r="AL97" s="158" t="n">
        <f aca="false">IF(AL6=Assumption!$E$8,Assumption!$R$393+Assumption!$R$394+Assumption!$R$395,0)</f>
        <v>0</v>
      </c>
      <c r="AM97" s="158" t="n">
        <f aca="false">IF(AM6=Assumption!$E$8,Assumption!$R$393+Assumption!$R$394+Assumption!$R$395,0)</f>
        <v>0</v>
      </c>
      <c r="AN97" s="158" t="n">
        <f aca="false">IF(AN6=Assumption!$E$8,Assumption!$R$393+Assumption!$R$394+Assumption!$R$395,0)</f>
        <v>0</v>
      </c>
      <c r="AO97" s="158" t="n">
        <f aca="false">IF(AO6=Assumption!$E$8,Assumption!$R$393+Assumption!$R$394+Assumption!$R$395,0)</f>
        <v>0</v>
      </c>
      <c r="AP97" s="158" t="n">
        <f aca="false">IF(AP6=Assumption!$E$8,Assumption!$R$393+Assumption!$R$394+Assumption!$R$395,0)</f>
        <v>0</v>
      </c>
      <c r="AQ97" s="158" t="n">
        <f aca="false">IF(AQ6=Assumption!$E$8,Assumption!$R$393+Assumption!$R$394+Assumption!$R$395,0)</f>
        <v>0</v>
      </c>
      <c r="AR97" s="158" t="n">
        <f aca="false">IF(AR6=Assumption!$E$8,Assumption!$R$393+Assumption!$R$394+Assumption!$R$395,0)</f>
        <v>0</v>
      </c>
      <c r="AS97" s="158" t="n">
        <f aca="false">IF(AS6=Assumption!$E$8,Assumption!$R$393+Assumption!$R$394+Assumption!$R$395,0)</f>
        <v>0</v>
      </c>
      <c r="AT97" s="158" t="n">
        <f aca="false">IF(AT6=Assumption!$E$8,Assumption!$R$393+Assumption!$R$394+Assumption!$R$395,0)</f>
        <v>0</v>
      </c>
      <c r="AU97" s="158" t="n">
        <f aca="false">IF(AU6=Assumption!$E$8,Assumption!$R$393+Assumption!$R$394+Assumption!$R$395,0)</f>
        <v>0</v>
      </c>
      <c r="AV97" s="158" t="n">
        <f aca="false">IF(AV6=Assumption!$E$8,Assumption!$R$393+Assumption!$R$394+Assumption!$R$395,0)</f>
        <v>0</v>
      </c>
      <c r="AW97" s="158" t="n">
        <f aca="false">IF(AW6=Assumption!$E$8,Assumption!$R$393+Assumption!$R$394+Assumption!$R$395,0)</f>
        <v>0</v>
      </c>
      <c r="AX97" s="158" t="n">
        <f aca="false">IF(AX6=Assumption!$E$8,Assumption!$R$393+Assumption!$R$394+Assumption!$R$395,0)</f>
        <v>0</v>
      </c>
      <c r="AY97" s="158" t="n">
        <f aca="false">IF(AY6=Assumption!$E$8,Assumption!$R$393+Assumption!$R$394+Assumption!$R$395,0)</f>
        <v>0</v>
      </c>
      <c r="AZ97" s="158" t="n">
        <f aca="false">IF(AZ6=Assumption!$E$8,Assumption!$R$393+Assumption!$R$394+Assumption!$R$395,0)</f>
        <v>0</v>
      </c>
      <c r="BA97" s="158" t="n">
        <f aca="false">IF(BA6=Assumption!$E$8,Assumption!$R$393+Assumption!$R$394+Assumption!$R$395,0)</f>
        <v>0</v>
      </c>
      <c r="BB97" s="158" t="n">
        <f aca="false">IF(BB6=Assumption!$E$8,Assumption!$R$393+Assumption!$R$394+Assumption!$R$395,0)</f>
        <v>0</v>
      </c>
      <c r="BC97" s="158" t="n">
        <f aca="false">IF(BC6=Assumption!$E$8,Assumption!$R$393+Assumption!$R$394+Assumption!$R$395,0)</f>
        <v>0</v>
      </c>
      <c r="BD97" s="158" t="n">
        <f aca="false">IF(BD6=Assumption!$E$8,Assumption!$R$393+Assumption!$R$394+Assumption!$R$395,0)</f>
        <v>0</v>
      </c>
      <c r="BE97" s="158" t="n">
        <f aca="false">IF(BE6=Assumption!$E$8,Assumption!$R$393+Assumption!$R$394+Assumption!$R$395,0)</f>
        <v>0</v>
      </c>
      <c r="BF97" s="158" t="n">
        <f aca="false">IF(BF6=Assumption!$E$8,Assumption!$R$393+Assumption!$R$394+Assumption!$R$395,0)</f>
        <v>0</v>
      </c>
      <c r="BG97" s="158" t="n">
        <f aca="false">IF(BG6=Assumption!$E$8,Assumption!$R$393+Assumption!$R$394+Assumption!$R$395,0)</f>
        <v>0</v>
      </c>
      <c r="BH97" s="158" t="n">
        <f aca="false">IF(BH6=Assumption!$E$8,Assumption!$R$393+Assumption!$R$394+Assumption!$R$395,0)</f>
        <v>0</v>
      </c>
      <c r="BI97" s="158" t="n">
        <f aca="false">IF(BI6=Assumption!$E$8,Assumption!$R$393+Assumption!$R$394+Assumption!$R$395,0)</f>
        <v>0</v>
      </c>
      <c r="BJ97" s="158" t="n">
        <f aca="false">IF(BJ6=Assumption!$E$8,Assumption!$R$393+Assumption!$R$394+Assumption!$R$395,0)</f>
        <v>0</v>
      </c>
      <c r="BK97" s="158" t="n">
        <f aca="false">IF(BK6=Assumption!$E$8,Assumption!$R$393+Assumption!$R$394+Assumption!$R$395,0)</f>
        <v>0</v>
      </c>
      <c r="BL97" s="158" t="n">
        <f aca="false">IF(BL6=Assumption!$E$8,Assumption!$R$393+Assumption!$R$394+Assumption!$R$395,0)</f>
        <v>0</v>
      </c>
      <c r="BM97" s="158" t="n">
        <f aca="false">IF(BM6=Assumption!$E$8,Assumption!$R$393+Assumption!$R$394+Assumption!$R$395,0)</f>
        <v>0</v>
      </c>
      <c r="BN97" s="158" t="n">
        <f aca="false">IF(BN6=Assumption!$E$8,Assumption!$R$393+Assumption!$R$394+Assumption!$R$395,0)</f>
        <v>0</v>
      </c>
      <c r="BO97" s="158" t="n">
        <f aca="false">IF(BO6=Assumption!$E$8,Assumption!$R$393+Assumption!$R$394+Assumption!$R$395,0)</f>
        <v>0</v>
      </c>
      <c r="BP97" s="158" t="n">
        <f aca="false">IF(BP6=Assumption!$E$8,Assumption!$R$393+Assumption!$R$394+Assumption!$R$395,0)</f>
        <v>0</v>
      </c>
      <c r="BQ97" s="158" t="n">
        <f aca="false">IF(BQ6=Assumption!$E$8,Assumption!$R$393+Assumption!$R$394+Assumption!$R$395,0)</f>
        <v>0</v>
      </c>
      <c r="BR97" s="158" t="n">
        <f aca="false">IF(BR6=Assumption!$E$8,Assumption!$R$393+Assumption!$R$394+Assumption!$R$395,0)</f>
        <v>0</v>
      </c>
      <c r="BS97" s="158" t="n">
        <f aca="false">IF(BS6=Assumption!$E$8,Assumption!$R$393+Assumption!$R$394+Assumption!$R$395,0)</f>
        <v>0</v>
      </c>
      <c r="BT97" s="158" t="n">
        <f aca="false">IF(BT6=Assumption!$E$8,Assumption!$R$393+Assumption!$R$394+Assumption!$R$395,0)</f>
        <v>0</v>
      </c>
      <c r="BU97" s="158" t="n">
        <f aca="false">IF(BU6=Assumption!$E$8,Assumption!$R$393+Assumption!$R$394+Assumption!$R$395,0)</f>
        <v>0</v>
      </c>
      <c r="BV97" s="158" t="n">
        <f aca="false">IF(BV6=Assumption!$E$8,Assumption!$R$393+Assumption!$R$394+Assumption!$R$395,0)</f>
        <v>0</v>
      </c>
      <c r="BW97" s="158" t="n">
        <f aca="false">IF(BW6=Assumption!$E$8,Assumption!$R$393+Assumption!$R$394+Assumption!$R$395,0)</f>
        <v>0</v>
      </c>
      <c r="BX97" s="158" t="n">
        <f aca="false">IF(BX6=Assumption!$E$8,Assumption!$R$393+Assumption!$R$394+Assumption!$R$395,0)</f>
        <v>0</v>
      </c>
      <c r="BY97" s="158" t="n">
        <f aca="false">IF(BY6=Assumption!$E$8,Assumption!$R$393+Assumption!$R$394+Assumption!$R$395,0)</f>
        <v>0</v>
      </c>
      <c r="BZ97" s="158" t="n">
        <f aca="false">IF(BZ6=Assumption!$E$8,Assumption!$R$393+Assumption!$R$394+Assumption!$R$395,0)</f>
        <v>0</v>
      </c>
      <c r="CA97" s="158" t="n">
        <f aca="false">IF(CA6=Assumption!$E$8,Assumption!$R$393+Assumption!$R$394+Assumption!$R$395,0)</f>
        <v>0</v>
      </c>
      <c r="CB97" s="158" t="n">
        <f aca="false">IF(CB6=Assumption!$E$8,Assumption!$R$393+Assumption!$R$394+Assumption!$R$395,0)</f>
        <v>0</v>
      </c>
      <c r="CC97" s="158" t="n">
        <f aca="false">IF(CC6=Assumption!$E$8,Assumption!$R$393+Assumption!$R$394+Assumption!$R$395,0)</f>
        <v>0</v>
      </c>
      <c r="CD97" s="158" t="n">
        <f aca="false">IF(CD6=Assumption!$E$8,Assumption!$R$393+Assumption!$R$394+Assumption!$R$395,0)</f>
        <v>0</v>
      </c>
      <c r="CE97" s="158" t="n">
        <f aca="false">IF(CE6=Assumption!$E$8,Assumption!$R$393+Assumption!$R$394+Assumption!$R$395,0)</f>
        <v>0</v>
      </c>
      <c r="CF97" s="158" t="n">
        <f aca="false">IF(CF6=Assumption!$E$8,Assumption!$R$393+Assumption!$R$394+Assumption!$R$395,0)</f>
        <v>0</v>
      </c>
      <c r="CG97" s="158" t="n">
        <f aca="false">IF(CG6=Assumption!$E$8,Assumption!$R$393+Assumption!$R$394+Assumption!$R$395,0)</f>
        <v>0</v>
      </c>
      <c r="CH97" s="158" t="n">
        <f aca="false">IF(CH6=Assumption!$E$8,Assumption!$R$393+Assumption!$R$394+Assumption!$R$395,0)</f>
        <v>0</v>
      </c>
      <c r="CI97" s="158" t="n">
        <f aca="false">IF(CI6=Assumption!$E$8,Assumption!$R$393+Assumption!$R$394+Assumption!$R$395,0)</f>
        <v>0</v>
      </c>
      <c r="CJ97" s="158" t="n">
        <f aca="false">IF(CJ6=Assumption!$E$8,Assumption!$R$393+Assumption!$R$394+Assumption!$R$395,0)</f>
        <v>0</v>
      </c>
      <c r="CK97" s="158" t="n">
        <f aca="false">IF(CK6=Assumption!$E$8,Assumption!$R$393+Assumption!$R$394+Assumption!$R$395,0)</f>
        <v>0</v>
      </c>
      <c r="CL97" s="158" t="n">
        <f aca="false">IF(CL6=Assumption!$E$8,Assumption!$R$393+Assumption!$R$394+Assumption!$R$395,0)</f>
        <v>0</v>
      </c>
      <c r="CM97" s="158" t="n">
        <f aca="false">IF(CM6=Assumption!$E$8,Assumption!$R$393+Assumption!$R$394+Assumption!$R$395,0)</f>
        <v>0</v>
      </c>
      <c r="CN97" s="158" t="n">
        <f aca="false">IF(CN6=Assumption!$E$8,Assumption!$R$393+Assumption!$R$394+Assumption!$R$395,0)</f>
        <v>0</v>
      </c>
      <c r="CO97" s="158" t="n">
        <f aca="false">IF(CO6=Assumption!$E$8,Assumption!$R$393+Assumption!$R$394+Assumption!$R$395,0)</f>
        <v>0</v>
      </c>
      <c r="CP97" s="158" t="n">
        <f aca="false">IF(CP6=Assumption!$E$8,Assumption!$R$393+Assumption!$R$394+Assumption!$R$395,0)</f>
        <v>0</v>
      </c>
      <c r="CQ97" s="158" t="n">
        <f aca="false">IF(CQ6=Assumption!$E$8,Assumption!$R$393+Assumption!$R$394+Assumption!$R$395,0)</f>
        <v>0</v>
      </c>
      <c r="CR97" s="158" t="n">
        <f aca="false">IF(CR6=Assumption!$E$8,Assumption!$R$393+Assumption!$R$394+Assumption!$R$395,0)</f>
        <v>0</v>
      </c>
      <c r="CS97" s="158" t="n">
        <f aca="false">IF(CS6=Assumption!$E$8,Assumption!$R$393+Assumption!$R$394+Assumption!$R$395,0)</f>
        <v>0</v>
      </c>
      <c r="CT97" s="158" t="n">
        <f aca="false">IF(CT6=Assumption!$E$8,Assumption!$R$393+Assumption!$R$394+Assumption!$R$395,0)</f>
        <v>0</v>
      </c>
      <c r="CU97" s="158" t="n">
        <f aca="false">IF(CU6=Assumption!$E$8,Assumption!$R$393+Assumption!$R$394+Assumption!$R$395,0)</f>
        <v>0</v>
      </c>
      <c r="CV97" s="158" t="n">
        <f aca="false">IF(CV6=Assumption!$E$8,Assumption!$R$393+Assumption!$R$394+Assumption!$R$395,0)</f>
        <v>0</v>
      </c>
      <c r="CW97" s="158" t="n">
        <f aca="false">IF(CW6=Assumption!$E$8,Assumption!$R$393+Assumption!$R$394+Assumption!$R$395,0)</f>
        <v>0</v>
      </c>
      <c r="CX97" s="158" t="n">
        <f aca="false">IF(CX6=Assumption!$E$8,Assumption!$R$393+Assumption!$R$394+Assumption!$R$395,0)</f>
        <v>0</v>
      </c>
      <c r="CY97" s="158" t="n">
        <f aca="false">IF(CY6=Assumption!$E$8,Assumption!$R$393+Assumption!$R$394+Assumption!$R$395,0)</f>
        <v>0</v>
      </c>
      <c r="CZ97" s="158" t="n">
        <f aca="false">IF(CZ6=Assumption!$E$8,Assumption!$R$393+Assumption!$R$394+Assumption!$R$395,0)</f>
        <v>0</v>
      </c>
      <c r="DA97" s="158" t="n">
        <f aca="false">IF(DA6=Assumption!$E$8,Assumption!$R$393+Assumption!$R$394+Assumption!$R$395,0)</f>
        <v>0</v>
      </c>
      <c r="DB97" s="158" t="n">
        <f aca="false">IF(DB6=Assumption!$E$8,Assumption!$R$393+Assumption!$R$394+Assumption!$R$395,0)</f>
        <v>0</v>
      </c>
      <c r="DC97" s="158" t="n">
        <f aca="false">IF(DC6=Assumption!$E$8,Assumption!$R$393+Assumption!$R$394+Assumption!$R$395,0)</f>
        <v>0</v>
      </c>
      <c r="DD97" s="158" t="n">
        <f aca="false">IF(DD6=Assumption!$E$8,Assumption!$R$393+Assumption!$R$394+Assumption!$R$395,0)</f>
        <v>0</v>
      </c>
      <c r="DE97" s="158" t="n">
        <f aca="false">IF(DE6=Assumption!$E$8,Assumption!$R$393+Assumption!$R$394+Assumption!$R$395,0)</f>
        <v>0</v>
      </c>
      <c r="DF97" s="158" t="n">
        <f aca="false">IF(DF6=Assumption!$E$8,Assumption!$R$393+Assumption!$R$394+Assumption!$R$395,0)</f>
        <v>0</v>
      </c>
      <c r="DG97" s="158" t="n">
        <f aca="false">IF(DG6=Assumption!$E$8,Assumption!$R$393+Assumption!$R$394+Assumption!$R$395,0)</f>
        <v>0</v>
      </c>
      <c r="DH97" s="158" t="n">
        <f aca="false">IF(DH6=Assumption!$E$8,Assumption!$R$393+Assumption!$R$394+Assumption!$R$395,0)</f>
        <v>0</v>
      </c>
      <c r="DI97" s="158" t="n">
        <f aca="false">IF(DI6=Assumption!$E$8,Assumption!$R$393+Assumption!$R$394+Assumption!$R$395,0)</f>
        <v>0</v>
      </c>
      <c r="DJ97" s="158" t="n">
        <f aca="false">IF(DJ6=Assumption!$E$8,Assumption!$R$393+Assumption!$R$394+Assumption!$R$395,0)</f>
        <v>0</v>
      </c>
      <c r="DK97" s="158" t="n">
        <f aca="false">IF(DK6=Assumption!$E$8,Assumption!$R$393+Assumption!$R$394+Assumption!$R$395,0)</f>
        <v>0</v>
      </c>
      <c r="DL97" s="158" t="n">
        <f aca="false">IF(DL6=Assumption!$E$8,Assumption!$R$393+Assumption!$R$394+Assumption!$R$395,0)</f>
        <v>0</v>
      </c>
      <c r="DM97" s="158" t="n">
        <f aca="false">IF(DM6=Assumption!$E$8,Assumption!$R$393+Assumption!$R$394+Assumption!$R$395,0)</f>
        <v>0</v>
      </c>
      <c r="DN97" s="158" t="n">
        <f aca="false">IF(DN6=Assumption!$E$8,Assumption!$R$393+Assumption!$R$394+Assumption!$R$395,0)</f>
        <v>0</v>
      </c>
      <c r="DO97" s="158" t="n">
        <f aca="false">IF(DO6=Assumption!$E$8,Assumption!$R$393+Assumption!$R$394+Assumption!$R$395,0)</f>
        <v>0</v>
      </c>
      <c r="DP97" s="158" t="n">
        <f aca="false">IF(DP6=Assumption!$E$8,Assumption!$R$393+Assumption!$R$394+Assumption!$R$395,0)</f>
        <v>0</v>
      </c>
      <c r="DQ97" s="158" t="n">
        <f aca="false">IF(DQ6=Assumption!$E$8,Assumption!$R$393+Assumption!$R$394+Assumption!$R$395,0)</f>
        <v>0</v>
      </c>
      <c r="DR97" s="158" t="n">
        <f aca="false">IF(DR6=Assumption!$E$8,Assumption!$R$393+Assumption!$R$394+Assumption!$R$395,0)</f>
        <v>0</v>
      </c>
      <c r="DS97" s="158" t="n">
        <f aca="false">IF(DS6=Assumption!$E$8,Assumption!$R$393+Assumption!$R$394+Assumption!$R$395,0)</f>
        <v>0</v>
      </c>
      <c r="DT97" s="158" t="n">
        <f aca="false">IF(DT6=Assumption!$E$8,Assumption!$R$393+Assumption!$R$394+Assumption!$R$395,0)</f>
        <v>0</v>
      </c>
      <c r="DU97" s="158" t="n">
        <f aca="false">IF(DU6=Assumption!$E$8,Assumption!$R$393+Assumption!$R$394+Assumption!$R$395,0)</f>
        <v>0</v>
      </c>
      <c r="DV97" s="158" t="n">
        <f aca="false">IF(DV6=Assumption!$E$8,Assumption!$R$393+Assumption!$R$394+Assumption!$R$395,0)</f>
        <v>0</v>
      </c>
      <c r="DW97" s="158" t="n">
        <f aca="false">IF(DW6=Assumption!$E$8,Assumption!$R$393+Assumption!$R$394+Assumption!$R$395,0)</f>
        <v>0</v>
      </c>
      <c r="DX97" s="158" t="n">
        <f aca="false">IF(DX6=Assumption!$E$8,Assumption!$R$393+Assumption!$R$394+Assumption!$R$395,0)</f>
        <v>0</v>
      </c>
      <c r="DY97" s="158" t="n">
        <f aca="false">IF(DY6=Assumption!$E$8,Assumption!$R$393+Assumption!$R$394+Assumption!$R$395,0)</f>
        <v>0</v>
      </c>
      <c r="DZ97" s="158" t="n">
        <f aca="false">IF(DZ6=Assumption!$E$8,Assumption!$R$393+Assumption!$R$394+Assumption!$R$395,0)</f>
        <v>0</v>
      </c>
      <c r="EA97" s="158" t="n">
        <f aca="false">IF(EA6=Assumption!$E$8,Assumption!$R$393+Assumption!$R$394+Assumption!$R$395,0)</f>
        <v>0</v>
      </c>
      <c r="EB97" s="158" t="n">
        <f aca="false">IF(EB6=Assumption!$E$8,Assumption!$R$393+Assumption!$R$394+Assumption!$R$395,0)</f>
        <v>0</v>
      </c>
      <c r="EC97" s="158" t="n">
        <f aca="false">IF(EC6=Assumption!$E$8,Assumption!$R$393+Assumption!$R$394+Assumption!$R$395,0)</f>
        <v>0</v>
      </c>
      <c r="ED97" s="158" t="n">
        <f aca="false">IF(ED6=Assumption!$E$8,Assumption!$R$393+Assumption!$R$394+Assumption!$R$395,0)</f>
        <v>0</v>
      </c>
      <c r="EE97" s="158" t="n">
        <f aca="false">IF(EE6=Assumption!$E$8,Assumption!$R$393+Assumption!$R$394+Assumption!$R$395,0)</f>
        <v>0</v>
      </c>
      <c r="EF97" s="158" t="n">
        <f aca="false">IF(EF6=Assumption!$E$8,Assumption!$R$393+Assumption!$R$394+Assumption!$R$395,0)</f>
        <v>0</v>
      </c>
    </row>
    <row r="98" customFormat="false" ht="15" hidden="false" customHeight="false" outlineLevel="0" collapsed="false">
      <c r="A98" s="35" t="s">
        <v>556</v>
      </c>
      <c r="B98" s="241" t="s">
        <v>116</v>
      </c>
      <c r="C98" s="242" t="n">
        <f aca="false">SUM(E98:EF98)</f>
        <v>4777.07267962746</v>
      </c>
      <c r="E98" s="158" t="n">
        <f aca="false">IF(E6=Assumption!$E$14,Assumption!$R$388,0)</f>
        <v>0</v>
      </c>
      <c r="F98" s="158" t="n">
        <f aca="false">IF(F6=Assumption!$E$14,Assumption!$R$388,0)</f>
        <v>0</v>
      </c>
      <c r="G98" s="158" t="n">
        <f aca="false">IF(G6=Assumption!$E$14,Assumption!$R$388,0)</f>
        <v>0</v>
      </c>
      <c r="H98" s="158" t="n">
        <f aca="false">IF(H6=Assumption!$E$14,Assumption!$R$388,0)</f>
        <v>0</v>
      </c>
      <c r="I98" s="158" t="n">
        <f aca="false">IF(I6=Assumption!$E$14,Assumption!$R$388,0)</f>
        <v>0</v>
      </c>
      <c r="J98" s="158" t="n">
        <f aca="false">IF(J6=Assumption!$E$14,Assumption!$R$388,0)</f>
        <v>0</v>
      </c>
      <c r="K98" s="158" t="n">
        <f aca="false">IF(K6=Assumption!$E$14,Assumption!$R$388,0)</f>
        <v>0</v>
      </c>
      <c r="L98" s="158" t="n">
        <f aca="false">IF(L6=Assumption!$E$14,Assumption!$R$388,0)</f>
        <v>0</v>
      </c>
      <c r="M98" s="158" t="n">
        <f aca="false">IF(M6=Assumption!$E$14,Assumption!$R$388,0)</f>
        <v>0</v>
      </c>
      <c r="N98" s="158" t="n">
        <f aca="false">IF(N6=Assumption!$E$14,Assumption!$R$388,0)</f>
        <v>0</v>
      </c>
      <c r="O98" s="158" t="n">
        <f aca="false">IF(O6=Assumption!$E$14,Assumption!$R$388,0)</f>
        <v>0</v>
      </c>
      <c r="P98" s="158" t="n">
        <f aca="false">IF(P6=Assumption!$E$14,Assumption!$R$388,0)</f>
        <v>0</v>
      </c>
      <c r="Q98" s="158" t="n">
        <f aca="false">IF(Q6=Assumption!$E$14,Assumption!$R$388,0)</f>
        <v>0</v>
      </c>
      <c r="R98" s="158" t="n">
        <f aca="false">IF(R6=Assumption!$E$14,Assumption!$R$388,0)</f>
        <v>0</v>
      </c>
      <c r="S98" s="158" t="n">
        <f aca="false">IF(S6=Assumption!$E$14,Assumption!$R$388,0)</f>
        <v>0</v>
      </c>
      <c r="T98" s="158" t="n">
        <f aca="false">IF(T6=Assumption!$E$14,Assumption!$R$388,0)</f>
        <v>0</v>
      </c>
      <c r="U98" s="158" t="n">
        <f aca="false">IF(U6=Assumption!$E$14,Assumption!$R$388,0)</f>
        <v>0</v>
      </c>
      <c r="V98" s="158" t="n">
        <f aca="false">IF(V6=Assumption!$E$14,Assumption!$R$388,0)</f>
        <v>0</v>
      </c>
      <c r="W98" s="158" t="n">
        <f aca="false">IF(W6=Assumption!$E$14,Assumption!$R$388,0)</f>
        <v>4777.07267962746</v>
      </c>
      <c r="X98" s="158" t="n">
        <f aca="false">IF(X6=Assumption!$E$14,Assumption!$R$388,0)</f>
        <v>0</v>
      </c>
      <c r="Y98" s="158" t="n">
        <f aca="false">IF(Y6=Assumption!$E$14,Assumption!$R$388,0)</f>
        <v>0</v>
      </c>
      <c r="Z98" s="158" t="n">
        <f aca="false">IF(Z6=Assumption!$E$14,Assumption!$R$388,0)</f>
        <v>0</v>
      </c>
      <c r="AA98" s="158" t="n">
        <f aca="false">IF(AA6=Assumption!$E$14,Assumption!$R$388,0)</f>
        <v>0</v>
      </c>
      <c r="AB98" s="158" t="n">
        <f aca="false">IF(AB6=Assumption!$E$14,Assumption!$R$388,0)</f>
        <v>0</v>
      </c>
      <c r="AC98" s="158" t="n">
        <f aca="false">IF(AC6=Assumption!$E$14,Assumption!$R$388,0)</f>
        <v>0</v>
      </c>
      <c r="AD98" s="158" t="n">
        <f aca="false">IF(AD6=Assumption!$E$14,Assumption!$R$388,0)</f>
        <v>0</v>
      </c>
      <c r="AE98" s="158" t="n">
        <f aca="false">IF(AE6=Assumption!$E$14,Assumption!$R$388,0)</f>
        <v>0</v>
      </c>
      <c r="AF98" s="158" t="n">
        <f aca="false">IF(AF6=Assumption!$E$14,Assumption!$R$388,0)</f>
        <v>0</v>
      </c>
      <c r="AG98" s="158" t="n">
        <f aca="false">IF(AG6=Assumption!$E$14,Assumption!$R$388,0)</f>
        <v>0</v>
      </c>
      <c r="AH98" s="158" t="n">
        <f aca="false">IF(AH6=Assumption!$E$14,Assumption!$R$388,0)</f>
        <v>0</v>
      </c>
      <c r="AI98" s="158" t="n">
        <f aca="false">IF(AI6=Assumption!$E$14,Assumption!$R$388,0)</f>
        <v>0</v>
      </c>
      <c r="AJ98" s="158" t="n">
        <f aca="false">IF(AJ6=Assumption!$E$14,Assumption!$R$388,0)</f>
        <v>0</v>
      </c>
      <c r="AK98" s="158" t="n">
        <f aca="false">IF(AK6=Assumption!$E$14,Assumption!$R$388,0)</f>
        <v>0</v>
      </c>
      <c r="AL98" s="158" t="n">
        <f aca="false">IF(AL6=Assumption!$E$14,Assumption!$R$388,0)</f>
        <v>0</v>
      </c>
      <c r="AM98" s="158" t="n">
        <f aca="false">IF(AM6=Assumption!$E$14,Assumption!$R$388,0)</f>
        <v>0</v>
      </c>
      <c r="AN98" s="158" t="n">
        <f aca="false">IF(AN6=Assumption!$E$14,Assumption!$R$388,0)</f>
        <v>0</v>
      </c>
      <c r="AO98" s="158" t="n">
        <f aca="false">IF(AO6=Assumption!$E$14,Assumption!$R$388,0)</f>
        <v>0</v>
      </c>
      <c r="AP98" s="158" t="n">
        <f aca="false">IF(AP6=Assumption!$E$14,Assumption!$R$388,0)</f>
        <v>0</v>
      </c>
      <c r="AQ98" s="158" t="n">
        <f aca="false">IF(AQ6=Assumption!$E$14,Assumption!$R$388,0)</f>
        <v>0</v>
      </c>
      <c r="AR98" s="158" t="n">
        <f aca="false">IF(AR6=Assumption!$E$14,Assumption!$R$388,0)</f>
        <v>0</v>
      </c>
      <c r="AS98" s="158" t="n">
        <f aca="false">IF(AS6=Assumption!$E$14,Assumption!$R$388,0)</f>
        <v>0</v>
      </c>
      <c r="AT98" s="158" t="n">
        <f aca="false">IF(AT6=Assumption!$E$14,Assumption!$R$388,0)</f>
        <v>0</v>
      </c>
      <c r="AU98" s="158" t="n">
        <f aca="false">IF(AU6=Assumption!$E$14,Assumption!$R$388,0)</f>
        <v>0</v>
      </c>
      <c r="AV98" s="158" t="n">
        <f aca="false">IF(AV6=Assumption!$E$14,Assumption!$R$388,0)</f>
        <v>0</v>
      </c>
      <c r="AW98" s="158" t="n">
        <f aca="false">IF(AW6=Assumption!$E$14,Assumption!$R$388,0)</f>
        <v>0</v>
      </c>
      <c r="AX98" s="158" t="n">
        <f aca="false">IF(AX6=Assumption!$E$14,Assumption!$R$388,0)</f>
        <v>0</v>
      </c>
      <c r="AY98" s="158" t="n">
        <f aca="false">IF(AY6=Assumption!$E$14,Assumption!$R$388,0)</f>
        <v>0</v>
      </c>
      <c r="AZ98" s="158" t="n">
        <f aca="false">IF(AZ6=Assumption!$E$14,Assumption!$R$388,0)</f>
        <v>0</v>
      </c>
      <c r="BA98" s="158" t="n">
        <f aca="false">IF(BA6=Assumption!$E$14,Assumption!$R$388,0)</f>
        <v>0</v>
      </c>
      <c r="BB98" s="158" t="n">
        <f aca="false">IF(BB6=Assumption!$E$14,Assumption!$R$388,0)</f>
        <v>0</v>
      </c>
      <c r="BC98" s="158" t="n">
        <f aca="false">IF(BC6=Assumption!$E$14,Assumption!$R$388,0)</f>
        <v>0</v>
      </c>
      <c r="BD98" s="158" t="n">
        <f aca="false">IF(BD6=Assumption!$E$14,Assumption!$R$388,0)</f>
        <v>0</v>
      </c>
      <c r="BE98" s="158" t="n">
        <f aca="false">IF(BE6=Assumption!$E$14,Assumption!$R$388,0)</f>
        <v>0</v>
      </c>
      <c r="BF98" s="158" t="n">
        <f aca="false">IF(BF6=Assumption!$E$14,Assumption!$R$388,0)</f>
        <v>0</v>
      </c>
      <c r="BG98" s="158" t="n">
        <f aca="false">IF(BG6=Assumption!$E$14,Assumption!$R$388,0)</f>
        <v>0</v>
      </c>
      <c r="BH98" s="158" t="n">
        <f aca="false">IF(BH6=Assumption!$E$14,Assumption!$R$388,0)</f>
        <v>0</v>
      </c>
      <c r="BI98" s="158" t="n">
        <f aca="false">IF(BI6=Assumption!$E$14,Assumption!$R$388,0)</f>
        <v>0</v>
      </c>
      <c r="BJ98" s="158" t="n">
        <f aca="false">IF(BJ6=Assumption!$E$14,Assumption!$R$388,0)</f>
        <v>0</v>
      </c>
      <c r="BK98" s="158" t="n">
        <f aca="false">IF(BK6=Assumption!$E$14,Assumption!$R$388,0)</f>
        <v>0</v>
      </c>
      <c r="BL98" s="158" t="n">
        <f aca="false">IF(BL6=Assumption!$E$14,Assumption!$R$388,0)</f>
        <v>0</v>
      </c>
      <c r="BM98" s="158" t="n">
        <f aca="false">IF(BM6=Assumption!$E$14,Assumption!$R$388,0)</f>
        <v>0</v>
      </c>
      <c r="BN98" s="158" t="n">
        <f aca="false">IF(BN6=Assumption!$E$14,Assumption!$R$388,0)</f>
        <v>0</v>
      </c>
      <c r="BO98" s="158" t="n">
        <f aca="false">IF(BO6=Assumption!$E$14,Assumption!$R$388,0)</f>
        <v>0</v>
      </c>
      <c r="BP98" s="158" t="n">
        <f aca="false">IF(BP6=Assumption!$E$14,Assumption!$R$388,0)</f>
        <v>0</v>
      </c>
      <c r="BQ98" s="158" t="n">
        <f aca="false">IF(BQ6=Assumption!$E$14,Assumption!$R$388,0)</f>
        <v>0</v>
      </c>
      <c r="BR98" s="158" t="n">
        <f aca="false">IF(BR6=Assumption!$E$14,Assumption!$R$388,0)</f>
        <v>0</v>
      </c>
      <c r="BS98" s="158" t="n">
        <f aca="false">IF(BS6=Assumption!$E$14,Assumption!$R$388,0)</f>
        <v>0</v>
      </c>
      <c r="BT98" s="158" t="n">
        <f aca="false">IF(BT6=Assumption!$E$14,Assumption!$R$388,0)</f>
        <v>0</v>
      </c>
      <c r="BU98" s="158" t="n">
        <f aca="false">IF(BU6=Assumption!$E$14,Assumption!$R$388,0)</f>
        <v>0</v>
      </c>
      <c r="BV98" s="158" t="n">
        <f aca="false">IF(BV6=Assumption!$E$14,Assumption!$R$388,0)</f>
        <v>0</v>
      </c>
      <c r="BW98" s="158" t="n">
        <f aca="false">IF(BW6=Assumption!$E$14,Assumption!$R$388,0)</f>
        <v>0</v>
      </c>
      <c r="BX98" s="158" t="n">
        <f aca="false">IF(BX6=Assumption!$E$14,Assumption!$R$388,0)</f>
        <v>0</v>
      </c>
      <c r="BY98" s="158" t="n">
        <f aca="false">IF(BY6=Assumption!$E$14,Assumption!$R$388,0)</f>
        <v>0</v>
      </c>
      <c r="BZ98" s="158" t="n">
        <f aca="false">IF(BZ6=Assumption!$E$14,Assumption!$R$388,0)</f>
        <v>0</v>
      </c>
      <c r="CA98" s="158" t="n">
        <f aca="false">IF(CA6=Assumption!$E$14,Assumption!$R$388,0)</f>
        <v>0</v>
      </c>
      <c r="CB98" s="158" t="n">
        <f aca="false">IF(CB6=Assumption!$E$14,Assumption!$R$388,0)</f>
        <v>0</v>
      </c>
      <c r="CC98" s="158" t="n">
        <f aca="false">IF(CC6=Assumption!$E$14,Assumption!$R$388,0)</f>
        <v>0</v>
      </c>
      <c r="CD98" s="158" t="n">
        <f aca="false">IF(CD6=Assumption!$E$14,Assumption!$R$388,0)</f>
        <v>0</v>
      </c>
      <c r="CE98" s="158" t="n">
        <f aca="false">IF(CE6=Assumption!$E$14,Assumption!$R$388,0)</f>
        <v>0</v>
      </c>
      <c r="CF98" s="158" t="n">
        <f aca="false">IF(CF6=Assumption!$E$14,Assumption!$R$388,0)</f>
        <v>0</v>
      </c>
      <c r="CG98" s="158" t="n">
        <f aca="false">IF(CG6=Assumption!$E$14,Assumption!$R$388,0)</f>
        <v>0</v>
      </c>
      <c r="CH98" s="158" t="n">
        <f aca="false">IF(CH6=Assumption!$E$14,Assumption!$R$388,0)</f>
        <v>0</v>
      </c>
      <c r="CI98" s="158" t="n">
        <f aca="false">IF(CI6=Assumption!$E$14,Assumption!$R$388,0)</f>
        <v>0</v>
      </c>
      <c r="CJ98" s="158" t="n">
        <f aca="false">IF(CJ6=Assumption!$E$14,Assumption!$R$388,0)</f>
        <v>0</v>
      </c>
      <c r="CK98" s="158" t="n">
        <f aca="false">IF(CK6=Assumption!$E$14,Assumption!$R$388,0)</f>
        <v>0</v>
      </c>
      <c r="CL98" s="158" t="n">
        <f aca="false">IF(CL6=Assumption!$E$14,Assumption!$R$388,0)</f>
        <v>0</v>
      </c>
      <c r="CM98" s="158" t="n">
        <f aca="false">IF(CM6=Assumption!$E$14,Assumption!$R$388,0)</f>
        <v>0</v>
      </c>
      <c r="CN98" s="158" t="n">
        <f aca="false">IF(CN6=Assumption!$E$14,Assumption!$R$388,0)</f>
        <v>0</v>
      </c>
      <c r="CO98" s="158" t="n">
        <f aca="false">IF(CO6=Assumption!$E$14,Assumption!$R$388,0)</f>
        <v>0</v>
      </c>
      <c r="CP98" s="158" t="n">
        <f aca="false">IF(CP6=Assumption!$E$14,Assumption!$R$388,0)</f>
        <v>0</v>
      </c>
      <c r="CQ98" s="158" t="n">
        <f aca="false">IF(CQ6=Assumption!$E$14,Assumption!$R$388,0)</f>
        <v>0</v>
      </c>
      <c r="CR98" s="158" t="n">
        <f aca="false">IF(CR6=Assumption!$E$14,Assumption!$R$388,0)</f>
        <v>0</v>
      </c>
      <c r="CS98" s="158" t="n">
        <f aca="false">IF(CS6=Assumption!$E$14,Assumption!$R$388,0)</f>
        <v>0</v>
      </c>
      <c r="CT98" s="158" t="n">
        <f aca="false">IF(CT6=Assumption!$E$14,Assumption!$R$388,0)</f>
        <v>0</v>
      </c>
      <c r="CU98" s="158" t="n">
        <f aca="false">IF(CU6=Assumption!$E$14,Assumption!$R$388,0)</f>
        <v>0</v>
      </c>
      <c r="CV98" s="158" t="n">
        <f aca="false">IF(CV6=Assumption!$E$14,Assumption!$R$388,0)</f>
        <v>0</v>
      </c>
      <c r="CW98" s="158" t="n">
        <f aca="false">IF(CW6=Assumption!$E$14,Assumption!$R$388,0)</f>
        <v>0</v>
      </c>
      <c r="CX98" s="158" t="n">
        <f aca="false">IF(CX6=Assumption!$E$14,Assumption!$R$388,0)</f>
        <v>0</v>
      </c>
      <c r="CY98" s="158" t="n">
        <f aca="false">IF(CY6=Assumption!$E$14,Assumption!$R$388,0)</f>
        <v>0</v>
      </c>
      <c r="CZ98" s="158" t="n">
        <f aca="false">IF(CZ6=Assumption!$E$14,Assumption!$R$388,0)</f>
        <v>0</v>
      </c>
      <c r="DA98" s="158" t="n">
        <f aca="false">IF(DA6=Assumption!$E$14,Assumption!$R$388,0)</f>
        <v>0</v>
      </c>
      <c r="DB98" s="158" t="n">
        <f aca="false">IF(DB6=Assumption!$E$14,Assumption!$R$388,0)</f>
        <v>0</v>
      </c>
      <c r="DC98" s="158" t="n">
        <f aca="false">IF(DC6=Assumption!$E$14,Assumption!$R$388,0)</f>
        <v>0</v>
      </c>
      <c r="DD98" s="158" t="n">
        <f aca="false">IF(DD6=Assumption!$E$14,Assumption!$R$388,0)</f>
        <v>0</v>
      </c>
      <c r="DE98" s="158" t="n">
        <f aca="false">IF(DE6=Assumption!$E$14,Assumption!$R$388,0)</f>
        <v>0</v>
      </c>
      <c r="DF98" s="158" t="n">
        <f aca="false">IF(DF6=Assumption!$E$14,Assumption!$R$388,0)</f>
        <v>0</v>
      </c>
      <c r="DG98" s="158" t="n">
        <f aca="false">IF(DG6=Assumption!$E$14,Assumption!$R$388,0)</f>
        <v>0</v>
      </c>
      <c r="DH98" s="158" t="n">
        <f aca="false">IF(DH6=Assumption!$E$14,Assumption!$R$388,0)</f>
        <v>0</v>
      </c>
      <c r="DI98" s="158" t="n">
        <f aca="false">IF(DI6=Assumption!$E$14,Assumption!$R$388,0)</f>
        <v>0</v>
      </c>
      <c r="DJ98" s="158" t="n">
        <f aca="false">IF(DJ6=Assumption!$E$14,Assumption!$R$388,0)</f>
        <v>0</v>
      </c>
      <c r="DK98" s="158" t="n">
        <f aca="false">IF(DK6=Assumption!$E$14,Assumption!$R$388,0)</f>
        <v>0</v>
      </c>
      <c r="DL98" s="158" t="n">
        <f aca="false">IF(DL6=Assumption!$E$14,Assumption!$R$388,0)</f>
        <v>0</v>
      </c>
      <c r="DM98" s="158" t="n">
        <f aca="false">IF(DM6=Assumption!$E$14,Assumption!$R$388,0)</f>
        <v>0</v>
      </c>
      <c r="DN98" s="158" t="n">
        <f aca="false">IF(DN6=Assumption!$E$14,Assumption!$R$388,0)</f>
        <v>0</v>
      </c>
      <c r="DO98" s="158" t="n">
        <f aca="false">IF(DO6=Assumption!$E$14,Assumption!$R$388,0)</f>
        <v>0</v>
      </c>
      <c r="DP98" s="158" t="n">
        <f aca="false">IF(DP6=Assumption!$E$14,Assumption!$R$388,0)</f>
        <v>0</v>
      </c>
      <c r="DQ98" s="158" t="n">
        <f aca="false">IF(DQ6=Assumption!$E$14,Assumption!$R$388,0)</f>
        <v>0</v>
      </c>
      <c r="DR98" s="158" t="n">
        <f aca="false">IF(DR6=Assumption!$E$14,Assumption!$R$388,0)</f>
        <v>0</v>
      </c>
      <c r="DS98" s="158" t="n">
        <f aca="false">IF(DS6=Assumption!$E$14,Assumption!$R$388,0)</f>
        <v>0</v>
      </c>
      <c r="DT98" s="158" t="n">
        <f aca="false">IF(DT6=Assumption!$E$14,Assumption!$R$388,0)</f>
        <v>0</v>
      </c>
      <c r="DU98" s="158" t="n">
        <f aca="false">IF(DU6=Assumption!$E$14,Assumption!$R$388,0)</f>
        <v>0</v>
      </c>
      <c r="DV98" s="158" t="n">
        <f aca="false">IF(DV6=Assumption!$E$14,Assumption!$R$388,0)</f>
        <v>0</v>
      </c>
      <c r="DW98" s="158" t="n">
        <f aca="false">IF(DW6=Assumption!$E$14,Assumption!$R$388,0)</f>
        <v>0</v>
      </c>
      <c r="DX98" s="158" t="n">
        <f aca="false">IF(DX6=Assumption!$E$14,Assumption!$R$388,0)</f>
        <v>0</v>
      </c>
      <c r="DY98" s="158" t="n">
        <f aca="false">IF(DY6=Assumption!$E$14,Assumption!$R$388,0)</f>
        <v>0</v>
      </c>
      <c r="DZ98" s="158" t="n">
        <f aca="false">IF(DZ6=Assumption!$E$14,Assumption!$R$388,0)</f>
        <v>0</v>
      </c>
      <c r="EA98" s="158" t="n">
        <f aca="false">IF(EA6=Assumption!$E$14,Assumption!$R$388,0)</f>
        <v>0</v>
      </c>
      <c r="EB98" s="158" t="n">
        <f aca="false">IF(EB6=Assumption!$E$14,Assumption!$R$388,0)</f>
        <v>0</v>
      </c>
      <c r="EC98" s="158" t="n">
        <f aca="false">IF(EC6=Assumption!$E$14,Assumption!$R$388,0)</f>
        <v>0</v>
      </c>
      <c r="ED98" s="158" t="n">
        <f aca="false">IF(ED6=Assumption!$E$14,Assumption!$R$388,0)</f>
        <v>0</v>
      </c>
      <c r="EE98" s="158" t="n">
        <f aca="false">IF(EE6=Assumption!$E$14,Assumption!$R$388,0)</f>
        <v>0</v>
      </c>
      <c r="EF98" s="158" t="n">
        <f aca="false">IF(EF6=Assumption!$E$14,Assumption!$R$388,0)</f>
        <v>0</v>
      </c>
    </row>
    <row r="99" customFormat="false" ht="15" hidden="false" customHeight="false" outlineLevel="0" collapsed="false">
      <c r="A99" s="35" t="s">
        <v>557</v>
      </c>
      <c r="B99" s="241" t="s">
        <v>116</v>
      </c>
      <c r="C99" s="242" t="n">
        <f aca="false">SUM(E99:EF99)</f>
        <v>5577.5695779483</v>
      </c>
      <c r="E99" s="158" t="n">
        <f aca="false">E10*(Assumption!$R$387+Assumption!$R$389+Assumption!$R$390+Assumption!$R$391+Assumption!$R$392)/(Assumption!$E$25*12)</f>
        <v>92.959492965805</v>
      </c>
      <c r="F99" s="158" t="n">
        <f aca="false">F10*(Assumption!$R$387+Assumption!$R$389+Assumption!$R$390+Assumption!$R$391+Assumption!$R$392)/(Assumption!$E$25*12)</f>
        <v>92.959492965805</v>
      </c>
      <c r="G99" s="158" t="n">
        <f aca="false">G10*(Assumption!$R$387+Assumption!$R$389+Assumption!$R$390+Assumption!$R$391+Assumption!$R$392)/(Assumption!$E$25*12)</f>
        <v>92.959492965805</v>
      </c>
      <c r="H99" s="158" t="n">
        <f aca="false">H10*(Assumption!$R$387+Assumption!$R$389+Assumption!$R$390+Assumption!$R$391+Assumption!$R$392)/(Assumption!$E$25*12)</f>
        <v>92.959492965805</v>
      </c>
      <c r="I99" s="158" t="n">
        <f aca="false">I10*(Assumption!$R$387+Assumption!$R$389+Assumption!$R$390+Assumption!$R$391+Assumption!$R$392)/(Assumption!$E$25*12)</f>
        <v>92.959492965805</v>
      </c>
      <c r="J99" s="158" t="n">
        <f aca="false">J10*(Assumption!$R$387+Assumption!$R$389+Assumption!$R$390+Assumption!$R$391+Assumption!$R$392)/(Assumption!$E$25*12)</f>
        <v>92.959492965805</v>
      </c>
      <c r="K99" s="158" t="n">
        <f aca="false">K10*(Assumption!$R$387+Assumption!$R$389+Assumption!$R$390+Assumption!$R$391+Assumption!$R$392)/(Assumption!$E$25*12)</f>
        <v>92.959492965805</v>
      </c>
      <c r="L99" s="158" t="n">
        <f aca="false">L10*(Assumption!$R$387+Assumption!$R$389+Assumption!$R$390+Assumption!$R$391+Assumption!$R$392)/(Assumption!$E$25*12)</f>
        <v>92.959492965805</v>
      </c>
      <c r="M99" s="158" t="n">
        <f aca="false">M10*(Assumption!$R$387+Assumption!$R$389+Assumption!$R$390+Assumption!$R$391+Assumption!$R$392)/(Assumption!$E$25*12)</f>
        <v>92.959492965805</v>
      </c>
      <c r="N99" s="158" t="n">
        <f aca="false">N10*(Assumption!$R$387+Assumption!$R$389+Assumption!$R$390+Assumption!$R$391+Assumption!$R$392)/(Assumption!$E$25*12)</f>
        <v>92.959492965805</v>
      </c>
      <c r="O99" s="158" t="n">
        <f aca="false">O10*(Assumption!$R$387+Assumption!$R$389+Assumption!$R$390+Assumption!$R$391+Assumption!$R$392)/(Assumption!$E$25*12)</f>
        <v>92.959492965805</v>
      </c>
      <c r="P99" s="158" t="n">
        <f aca="false">P10*(Assumption!$R$387+Assumption!$R$389+Assumption!$R$390+Assumption!$R$391+Assumption!$R$392)/(Assumption!$E$25*12)</f>
        <v>92.959492965805</v>
      </c>
      <c r="Q99" s="158" t="n">
        <f aca="false">Q10*(Assumption!$R$387+Assumption!$R$389+Assumption!$R$390+Assumption!$R$391+Assumption!$R$392)/(Assumption!$E$25*12)</f>
        <v>92.959492965805</v>
      </c>
      <c r="R99" s="158" t="n">
        <f aca="false">R10*(Assumption!$R$387+Assumption!$R$389+Assumption!$R$390+Assumption!$R$391+Assumption!$R$392)/(Assumption!$E$25*12)</f>
        <v>92.959492965805</v>
      </c>
      <c r="S99" s="158" t="n">
        <f aca="false">S10*(Assumption!$R$387+Assumption!$R$389+Assumption!$R$390+Assumption!$R$391+Assumption!$R$392)/(Assumption!$E$25*12)</f>
        <v>92.959492965805</v>
      </c>
      <c r="T99" s="158" t="n">
        <f aca="false">T10*(Assumption!$R$387+Assumption!$R$389+Assumption!$R$390+Assumption!$R$391+Assumption!$R$392)/(Assumption!$E$25*12)</f>
        <v>92.959492965805</v>
      </c>
      <c r="U99" s="158" t="n">
        <f aca="false">U10*(Assumption!$R$387+Assumption!$R$389+Assumption!$R$390+Assumption!$R$391+Assumption!$R$392)/(Assumption!$E$25*12)</f>
        <v>92.959492965805</v>
      </c>
      <c r="V99" s="158" t="n">
        <f aca="false">V10*(Assumption!$R$387+Assumption!$R$389+Assumption!$R$390+Assumption!$R$391+Assumption!$R$392)/(Assumption!$E$25*12)</f>
        <v>92.959492965805</v>
      </c>
      <c r="W99" s="158" t="n">
        <f aca="false">W10*(Assumption!$R$387+Assumption!$R$389+Assumption!$R$390+Assumption!$R$391+Assumption!$R$392)/(Assumption!$E$25*12)</f>
        <v>92.959492965805</v>
      </c>
      <c r="X99" s="158" t="n">
        <f aca="false">X10*(Assumption!$R$387+Assumption!$R$389+Assumption!$R$390+Assumption!$R$391+Assumption!$R$392)/(Assumption!$E$25*12)</f>
        <v>92.959492965805</v>
      </c>
      <c r="Y99" s="158" t="n">
        <f aca="false">Y10*(Assumption!$R$387+Assumption!$R$389+Assumption!$R$390+Assumption!$R$391+Assumption!$R$392)/(Assumption!$E$25*12)</f>
        <v>92.959492965805</v>
      </c>
      <c r="Z99" s="158" t="n">
        <f aca="false">Z10*(Assumption!$R$387+Assumption!$R$389+Assumption!$R$390+Assumption!$R$391+Assumption!$R$392)/(Assumption!$E$25*12)</f>
        <v>92.959492965805</v>
      </c>
      <c r="AA99" s="158" t="n">
        <f aca="false">AA10*(Assumption!$R$387+Assumption!$R$389+Assumption!$R$390+Assumption!$R$391+Assumption!$R$392)/(Assumption!$E$25*12)</f>
        <v>92.959492965805</v>
      </c>
      <c r="AB99" s="158" t="n">
        <f aca="false">AB10*(Assumption!$R$387+Assumption!$R$389+Assumption!$R$390+Assumption!$R$391+Assumption!$R$392)/(Assumption!$E$25*12)</f>
        <v>92.959492965805</v>
      </c>
      <c r="AC99" s="158" t="n">
        <f aca="false">AC10*(Assumption!$R$387+Assumption!$R$389+Assumption!$R$390+Assumption!$R$391+Assumption!$R$392)/(Assumption!$E$25*12)</f>
        <v>92.959492965805</v>
      </c>
      <c r="AD99" s="158" t="n">
        <f aca="false">AD10*(Assumption!$R$387+Assumption!$R$389+Assumption!$R$390+Assumption!$R$391+Assumption!$R$392)/(Assumption!$E$25*12)</f>
        <v>92.959492965805</v>
      </c>
      <c r="AE99" s="158" t="n">
        <f aca="false">AE10*(Assumption!$R$387+Assumption!$R$389+Assumption!$R$390+Assumption!$R$391+Assumption!$R$392)/(Assumption!$E$25*12)</f>
        <v>92.959492965805</v>
      </c>
      <c r="AF99" s="158" t="n">
        <f aca="false">AF10*(Assumption!$R$387+Assumption!$R$389+Assumption!$R$390+Assumption!$R$391+Assumption!$R$392)/(Assumption!$E$25*12)</f>
        <v>92.959492965805</v>
      </c>
      <c r="AG99" s="158" t="n">
        <f aca="false">AG10*(Assumption!$R$387+Assumption!$R$389+Assumption!$R$390+Assumption!$R$391+Assumption!$R$392)/(Assumption!$E$25*12)</f>
        <v>92.959492965805</v>
      </c>
      <c r="AH99" s="158" t="n">
        <f aca="false">AH10*(Assumption!$R$387+Assumption!$R$389+Assumption!$R$390+Assumption!$R$391+Assumption!$R$392)/(Assumption!$E$25*12)</f>
        <v>92.959492965805</v>
      </c>
      <c r="AI99" s="158" t="n">
        <f aca="false">AI10*(Assumption!$R$387+Assumption!$R$389+Assumption!$R$390+Assumption!$R$391+Assumption!$R$392)/(Assumption!$E$25*12)</f>
        <v>92.959492965805</v>
      </c>
      <c r="AJ99" s="158" t="n">
        <f aca="false">AJ10*(Assumption!$R$387+Assumption!$R$389+Assumption!$R$390+Assumption!$R$391+Assumption!$R$392)/(Assumption!$E$25*12)</f>
        <v>92.959492965805</v>
      </c>
      <c r="AK99" s="158" t="n">
        <f aca="false">AK10*(Assumption!$R$387+Assumption!$R$389+Assumption!$R$390+Assumption!$R$391+Assumption!$R$392)/(Assumption!$E$25*12)</f>
        <v>92.959492965805</v>
      </c>
      <c r="AL99" s="158" t="n">
        <f aca="false">AL10*(Assumption!$R$387+Assumption!$R$389+Assumption!$R$390+Assumption!$R$391+Assumption!$R$392)/(Assumption!$E$25*12)</f>
        <v>92.959492965805</v>
      </c>
      <c r="AM99" s="158" t="n">
        <f aca="false">AM10*(Assumption!$R$387+Assumption!$R$389+Assumption!$R$390+Assumption!$R$391+Assumption!$R$392)/(Assumption!$E$25*12)</f>
        <v>92.959492965805</v>
      </c>
      <c r="AN99" s="158" t="n">
        <f aca="false">AN10*(Assumption!$R$387+Assumption!$R$389+Assumption!$R$390+Assumption!$R$391+Assumption!$R$392)/(Assumption!$E$25*12)</f>
        <v>92.959492965805</v>
      </c>
      <c r="AO99" s="158" t="n">
        <f aca="false">AO10*(Assumption!$R$387+Assumption!$R$389+Assumption!$R$390+Assumption!$R$391+Assumption!$R$392)/(Assumption!$E$25*12)</f>
        <v>92.959492965805</v>
      </c>
      <c r="AP99" s="158" t="n">
        <f aca="false">AP10*(Assumption!$R$387+Assumption!$R$389+Assumption!$R$390+Assumption!$R$391+Assumption!$R$392)/(Assumption!$E$25*12)</f>
        <v>92.959492965805</v>
      </c>
      <c r="AQ99" s="158" t="n">
        <f aca="false">AQ10*(Assumption!$R$387+Assumption!$R$389+Assumption!$R$390+Assumption!$R$391+Assumption!$R$392)/(Assumption!$E$25*12)</f>
        <v>92.959492965805</v>
      </c>
      <c r="AR99" s="158" t="n">
        <f aca="false">AR10*(Assumption!$R$387+Assumption!$R$389+Assumption!$R$390+Assumption!$R$391+Assumption!$R$392)/(Assumption!$E$25*12)</f>
        <v>92.959492965805</v>
      </c>
      <c r="AS99" s="158" t="n">
        <f aca="false">AS10*(Assumption!$R$387+Assumption!$R$389+Assumption!$R$390+Assumption!$R$391+Assumption!$R$392)/(Assumption!$E$25*12)</f>
        <v>92.959492965805</v>
      </c>
      <c r="AT99" s="158" t="n">
        <f aca="false">AT10*(Assumption!$R$387+Assumption!$R$389+Assumption!$R$390+Assumption!$R$391+Assumption!$R$392)/(Assumption!$E$25*12)</f>
        <v>92.959492965805</v>
      </c>
      <c r="AU99" s="158" t="n">
        <f aca="false">AU10*(Assumption!$R$387+Assumption!$R$389+Assumption!$R$390+Assumption!$R$391+Assumption!$R$392)/(Assumption!$E$25*12)</f>
        <v>92.959492965805</v>
      </c>
      <c r="AV99" s="158" t="n">
        <f aca="false">AV10*(Assumption!$R$387+Assumption!$R$389+Assumption!$R$390+Assumption!$R$391+Assumption!$R$392)/(Assumption!$E$25*12)</f>
        <v>92.959492965805</v>
      </c>
      <c r="AW99" s="158" t="n">
        <f aca="false">AW10*(Assumption!$R$387+Assumption!$R$389+Assumption!$R$390+Assumption!$R$391+Assumption!$R$392)/(Assumption!$E$25*12)</f>
        <v>92.959492965805</v>
      </c>
      <c r="AX99" s="158" t="n">
        <f aca="false">AX10*(Assumption!$R$387+Assumption!$R$389+Assumption!$R$390+Assumption!$R$391+Assumption!$R$392)/(Assumption!$E$25*12)</f>
        <v>92.959492965805</v>
      </c>
      <c r="AY99" s="158" t="n">
        <f aca="false">AY10*(Assumption!$R$387+Assumption!$R$389+Assumption!$R$390+Assumption!$R$391+Assumption!$R$392)/(Assumption!$E$25*12)</f>
        <v>92.959492965805</v>
      </c>
      <c r="AZ99" s="158" t="n">
        <f aca="false">AZ10*(Assumption!$R$387+Assumption!$R$389+Assumption!$R$390+Assumption!$R$391+Assumption!$R$392)/(Assumption!$E$25*12)</f>
        <v>92.959492965805</v>
      </c>
      <c r="BA99" s="158" t="n">
        <f aca="false">BA10*(Assumption!$R$387+Assumption!$R$389+Assumption!$R$390+Assumption!$R$391+Assumption!$R$392)/(Assumption!$E$25*12)</f>
        <v>92.959492965805</v>
      </c>
      <c r="BB99" s="158" t="n">
        <f aca="false">BB10*(Assumption!$R$387+Assumption!$R$389+Assumption!$R$390+Assumption!$R$391+Assumption!$R$392)/(Assumption!$E$25*12)</f>
        <v>92.959492965805</v>
      </c>
      <c r="BC99" s="158" t="n">
        <f aca="false">BC10*(Assumption!$R$387+Assumption!$R$389+Assumption!$R$390+Assumption!$R$391+Assumption!$R$392)/(Assumption!$E$25*12)</f>
        <v>92.959492965805</v>
      </c>
      <c r="BD99" s="158" t="n">
        <f aca="false">BD10*(Assumption!$R$387+Assumption!$R$389+Assumption!$R$390+Assumption!$R$391+Assumption!$R$392)/(Assumption!$E$25*12)</f>
        <v>92.959492965805</v>
      </c>
      <c r="BE99" s="158" t="n">
        <f aca="false">BE10*(Assumption!$R$387+Assumption!$R$389+Assumption!$R$390+Assumption!$R$391+Assumption!$R$392)/(Assumption!$E$25*12)</f>
        <v>92.959492965805</v>
      </c>
      <c r="BF99" s="158" t="n">
        <f aca="false">BF10*(Assumption!$R$387+Assumption!$R$389+Assumption!$R$390+Assumption!$R$391+Assumption!$R$392)/(Assumption!$E$25*12)</f>
        <v>92.959492965805</v>
      </c>
      <c r="BG99" s="158" t="n">
        <f aca="false">BG10*(Assumption!$R$387+Assumption!$R$389+Assumption!$R$390+Assumption!$R$391+Assumption!$R$392)/(Assumption!$E$25*12)</f>
        <v>92.959492965805</v>
      </c>
      <c r="BH99" s="158" t="n">
        <f aca="false">BH10*(Assumption!$R$387+Assumption!$R$389+Assumption!$R$390+Assumption!$R$391+Assumption!$R$392)/(Assumption!$E$25*12)</f>
        <v>92.959492965805</v>
      </c>
      <c r="BI99" s="158" t="n">
        <f aca="false">BI10*(Assumption!$R$387+Assumption!$R$389+Assumption!$R$390+Assumption!$R$391+Assumption!$R$392)/(Assumption!$E$25*12)</f>
        <v>92.959492965805</v>
      </c>
      <c r="BJ99" s="158" t="n">
        <f aca="false">BJ10*(Assumption!$R$387+Assumption!$R$389+Assumption!$R$390+Assumption!$R$391+Assumption!$R$392)/(Assumption!$E$25*12)</f>
        <v>92.959492965805</v>
      </c>
      <c r="BK99" s="158" t="n">
        <f aca="false">BK10*(Assumption!$R$387+Assumption!$R$389+Assumption!$R$390+Assumption!$R$391+Assumption!$R$392)/(Assumption!$E$25*12)</f>
        <v>92.959492965805</v>
      </c>
      <c r="BL99" s="158" t="n">
        <f aca="false">BL10*(Assumption!$R$387+Assumption!$R$389+Assumption!$R$390+Assumption!$R$391+Assumption!$R$392)/(Assumption!$E$25*12)</f>
        <v>92.959492965805</v>
      </c>
      <c r="BM99" s="158" t="n">
        <f aca="false">BM10*(Assumption!$R$387+Assumption!$R$389+Assumption!$R$390+Assumption!$R$391+Assumption!$R$392)/(Assumption!$E$25*12)</f>
        <v>0</v>
      </c>
      <c r="BN99" s="158" t="n">
        <f aca="false">BN10*(Assumption!$R$387+Assumption!$R$389+Assumption!$R$390+Assumption!$R$391+Assumption!$R$392)/(Assumption!$E$25*12)</f>
        <v>0</v>
      </c>
      <c r="BO99" s="158" t="n">
        <f aca="false">BO10*(Assumption!$R$387+Assumption!$R$389+Assumption!$R$390+Assumption!$R$391+Assumption!$R$392)/(Assumption!$E$25*12)</f>
        <v>0</v>
      </c>
      <c r="BP99" s="158" t="n">
        <f aca="false">BP10*(Assumption!$R$387+Assumption!$R$389+Assumption!$R$390+Assumption!$R$391+Assumption!$R$392)/(Assumption!$E$25*12)</f>
        <v>0</v>
      </c>
      <c r="BQ99" s="158" t="n">
        <f aca="false">BQ10*(Assumption!$R$387+Assumption!$R$389+Assumption!$R$390+Assumption!$R$391+Assumption!$R$392)/(Assumption!$E$25*12)</f>
        <v>0</v>
      </c>
      <c r="BR99" s="158" t="n">
        <f aca="false">BR10*(Assumption!$R$387+Assumption!$R$389+Assumption!$R$390+Assumption!$R$391+Assumption!$R$392)/(Assumption!$E$25*12)</f>
        <v>0</v>
      </c>
      <c r="BS99" s="158" t="n">
        <f aca="false">BS10*(Assumption!$R$387+Assumption!$R$389+Assumption!$R$390+Assumption!$R$391+Assumption!$R$392)/(Assumption!$E$25*12)</f>
        <v>0</v>
      </c>
      <c r="BT99" s="158" t="n">
        <f aca="false">BT10*(Assumption!$R$387+Assumption!$R$389+Assumption!$R$390+Assumption!$R$391+Assumption!$R$392)/(Assumption!$E$25*12)</f>
        <v>0</v>
      </c>
      <c r="BU99" s="158" t="n">
        <f aca="false">BU10*(Assumption!$R$387+Assumption!$R$389+Assumption!$R$390+Assumption!$R$391+Assumption!$R$392)/(Assumption!$E$25*12)</f>
        <v>0</v>
      </c>
      <c r="BV99" s="158" t="n">
        <f aca="false">BV10*(Assumption!$R$387+Assumption!$R$389+Assumption!$R$390+Assumption!$R$391+Assumption!$R$392)/(Assumption!$E$25*12)</f>
        <v>0</v>
      </c>
      <c r="BW99" s="158" t="n">
        <f aca="false">BW10*(Assumption!$R$387+Assumption!$R$389+Assumption!$R$390+Assumption!$R$391+Assumption!$R$392)/(Assumption!$E$25*12)</f>
        <v>0</v>
      </c>
      <c r="BX99" s="158" t="n">
        <f aca="false">BX10*(Assumption!$R$387+Assumption!$R$389+Assumption!$R$390+Assumption!$R$391+Assumption!$R$392)/(Assumption!$E$25*12)</f>
        <v>0</v>
      </c>
      <c r="BY99" s="158" t="n">
        <f aca="false">BY10*(Assumption!$R$387+Assumption!$R$389+Assumption!$R$390+Assumption!$R$391+Assumption!$R$392)/(Assumption!$E$25*12)</f>
        <v>0</v>
      </c>
      <c r="BZ99" s="158" t="n">
        <f aca="false">BZ10*(Assumption!$R$387+Assumption!$R$389+Assumption!$R$390+Assumption!$R$391+Assumption!$R$392)/(Assumption!$E$25*12)</f>
        <v>0</v>
      </c>
      <c r="CA99" s="158" t="n">
        <f aca="false">CA10*(Assumption!$R$387+Assumption!$R$389+Assumption!$R$390+Assumption!$R$391+Assumption!$R$392)/(Assumption!$E$25*12)</f>
        <v>0</v>
      </c>
      <c r="CB99" s="158" t="n">
        <f aca="false">CB10*(Assumption!$R$387+Assumption!$R$389+Assumption!$R$390+Assumption!$R$391+Assumption!$R$392)/(Assumption!$E$25*12)</f>
        <v>0</v>
      </c>
      <c r="CC99" s="158" t="n">
        <f aca="false">CC10*(Assumption!$R$387+Assumption!$R$389+Assumption!$R$390+Assumption!$R$391+Assumption!$R$392)/(Assumption!$E$25*12)</f>
        <v>0</v>
      </c>
      <c r="CD99" s="158" t="n">
        <f aca="false">CD10*(Assumption!$R$387+Assumption!$R$389+Assumption!$R$390+Assumption!$R$391+Assumption!$R$392)/(Assumption!$E$25*12)</f>
        <v>0</v>
      </c>
      <c r="CE99" s="158" t="n">
        <f aca="false">CE10*(Assumption!$R$387+Assumption!$R$389+Assumption!$R$390+Assumption!$R$391+Assumption!$R$392)/(Assumption!$E$25*12)</f>
        <v>0</v>
      </c>
      <c r="CF99" s="158" t="n">
        <f aca="false">CF10*(Assumption!$R$387+Assumption!$R$389+Assumption!$R$390+Assumption!$R$391+Assumption!$R$392)/(Assumption!$E$25*12)</f>
        <v>0</v>
      </c>
      <c r="CG99" s="158" t="n">
        <f aca="false">CG10*(Assumption!$R$387+Assumption!$R$389+Assumption!$R$390+Assumption!$R$391+Assumption!$R$392)/(Assumption!$E$25*12)</f>
        <v>0</v>
      </c>
      <c r="CH99" s="158" t="n">
        <f aca="false">CH10*(Assumption!$R$387+Assumption!$R$389+Assumption!$R$390+Assumption!$R$391+Assumption!$R$392)/(Assumption!$E$25*12)</f>
        <v>0</v>
      </c>
      <c r="CI99" s="158" t="n">
        <f aca="false">CI10*(Assumption!$R$387+Assumption!$R$389+Assumption!$R$390+Assumption!$R$391+Assumption!$R$392)/(Assumption!$E$25*12)</f>
        <v>0</v>
      </c>
      <c r="CJ99" s="158" t="n">
        <f aca="false">CJ10*(Assumption!$R$387+Assumption!$R$389+Assumption!$R$390+Assumption!$R$391+Assumption!$R$392)/(Assumption!$E$25*12)</f>
        <v>0</v>
      </c>
      <c r="CK99" s="158" t="n">
        <f aca="false">CK10*(Assumption!$R$387+Assumption!$R$389+Assumption!$R$390+Assumption!$R$391+Assumption!$R$392)/(Assumption!$E$25*12)</f>
        <v>0</v>
      </c>
      <c r="CL99" s="158" t="n">
        <f aca="false">CL10*(Assumption!$R$387+Assumption!$R$389+Assumption!$R$390+Assumption!$R$391+Assumption!$R$392)/(Assumption!$E$25*12)</f>
        <v>0</v>
      </c>
      <c r="CM99" s="158" t="n">
        <f aca="false">CM10*(Assumption!$R$387+Assumption!$R$389+Assumption!$R$390+Assumption!$R$391+Assumption!$R$392)/(Assumption!$E$25*12)</f>
        <v>0</v>
      </c>
      <c r="CN99" s="158" t="n">
        <f aca="false">CN10*(Assumption!$R$387+Assumption!$R$389+Assumption!$R$390+Assumption!$R$391+Assumption!$R$392)/(Assumption!$E$25*12)</f>
        <v>0</v>
      </c>
      <c r="CO99" s="158" t="n">
        <f aca="false">CO10*(Assumption!$R$387+Assumption!$R$389+Assumption!$R$390+Assumption!$R$391+Assumption!$R$392)/(Assumption!$E$25*12)</f>
        <v>0</v>
      </c>
      <c r="CP99" s="158" t="n">
        <f aca="false">CP10*(Assumption!$R$387+Assumption!$R$389+Assumption!$R$390+Assumption!$R$391+Assumption!$R$392)/(Assumption!$E$25*12)</f>
        <v>0</v>
      </c>
      <c r="CQ99" s="158" t="n">
        <f aca="false">CQ10*(Assumption!$R$387+Assumption!$R$389+Assumption!$R$390+Assumption!$R$391+Assumption!$R$392)/(Assumption!$E$25*12)</f>
        <v>0</v>
      </c>
      <c r="CR99" s="158" t="n">
        <f aca="false">CR10*(Assumption!$R$387+Assumption!$R$389+Assumption!$R$390+Assumption!$R$391+Assumption!$R$392)/(Assumption!$E$25*12)</f>
        <v>0</v>
      </c>
      <c r="CS99" s="158" t="n">
        <f aca="false">CS10*(Assumption!$R$387+Assumption!$R$389+Assumption!$R$390+Assumption!$R$391+Assumption!$R$392)/(Assumption!$E$25*12)</f>
        <v>0</v>
      </c>
      <c r="CT99" s="158" t="n">
        <f aca="false">CT10*(Assumption!$R$387+Assumption!$R$389+Assumption!$R$390+Assumption!$R$391+Assumption!$R$392)/(Assumption!$E$25*12)</f>
        <v>0</v>
      </c>
      <c r="CU99" s="158" t="n">
        <f aca="false">CU10*(Assumption!$R$387+Assumption!$R$389+Assumption!$R$390+Assumption!$R$391+Assumption!$R$392)/(Assumption!$E$25*12)</f>
        <v>0</v>
      </c>
      <c r="CV99" s="158" t="n">
        <f aca="false">CV10*(Assumption!$R$387+Assumption!$R$389+Assumption!$R$390+Assumption!$R$391+Assumption!$R$392)/(Assumption!$E$25*12)</f>
        <v>0</v>
      </c>
      <c r="CW99" s="158" t="n">
        <f aca="false">CW10*(Assumption!$R$387+Assumption!$R$389+Assumption!$R$390+Assumption!$R$391+Assumption!$R$392)/(Assumption!$E$25*12)</f>
        <v>0</v>
      </c>
      <c r="CX99" s="158" t="n">
        <f aca="false">CX10*(Assumption!$R$387+Assumption!$R$389+Assumption!$R$390+Assumption!$R$391+Assumption!$R$392)/(Assumption!$E$25*12)</f>
        <v>0</v>
      </c>
      <c r="CY99" s="158" t="n">
        <f aca="false">CY10*(Assumption!$R$387+Assumption!$R$389+Assumption!$R$390+Assumption!$R$391+Assumption!$R$392)/(Assumption!$E$25*12)</f>
        <v>0</v>
      </c>
      <c r="CZ99" s="158" t="n">
        <f aca="false">CZ10*(Assumption!$R$387+Assumption!$R$389+Assumption!$R$390+Assumption!$R$391+Assumption!$R$392)/(Assumption!$E$25*12)</f>
        <v>0</v>
      </c>
      <c r="DA99" s="158" t="n">
        <f aca="false">DA10*(Assumption!$R$387+Assumption!$R$389+Assumption!$R$390+Assumption!$R$391+Assumption!$R$392)/(Assumption!$E$25*12)</f>
        <v>0</v>
      </c>
      <c r="DB99" s="158" t="n">
        <f aca="false">DB10*(Assumption!$R$387+Assumption!$R$389+Assumption!$R$390+Assumption!$R$391+Assumption!$R$392)/(Assumption!$E$25*12)</f>
        <v>0</v>
      </c>
      <c r="DC99" s="158" t="n">
        <f aca="false">DC10*(Assumption!$R$387+Assumption!$R$389+Assumption!$R$390+Assumption!$R$391+Assumption!$R$392)/(Assumption!$E$25*12)</f>
        <v>0</v>
      </c>
      <c r="DD99" s="158" t="n">
        <f aca="false">DD10*(Assumption!$R$387+Assumption!$R$389+Assumption!$R$390+Assumption!$R$391+Assumption!$R$392)/(Assumption!$E$25*12)</f>
        <v>0</v>
      </c>
      <c r="DE99" s="158" t="n">
        <f aca="false">DE10*(Assumption!$R$387+Assumption!$R$389+Assumption!$R$390+Assumption!$R$391+Assumption!$R$392)/(Assumption!$E$25*12)</f>
        <v>0</v>
      </c>
      <c r="DF99" s="158" t="n">
        <f aca="false">DF10*(Assumption!$R$387+Assumption!$R$389+Assumption!$R$390+Assumption!$R$391+Assumption!$R$392)/(Assumption!$E$25*12)</f>
        <v>0</v>
      </c>
      <c r="DG99" s="158" t="n">
        <f aca="false">DG10*(Assumption!$R$387+Assumption!$R$389+Assumption!$R$390+Assumption!$R$391+Assumption!$R$392)/(Assumption!$E$25*12)</f>
        <v>0</v>
      </c>
      <c r="DH99" s="158" t="n">
        <f aca="false">DH10*(Assumption!$R$387+Assumption!$R$389+Assumption!$R$390+Assumption!$R$391+Assumption!$R$392)/(Assumption!$E$25*12)</f>
        <v>0</v>
      </c>
      <c r="DI99" s="158" t="n">
        <f aca="false">DI10*(Assumption!$R$387+Assumption!$R$389+Assumption!$R$390+Assumption!$R$391+Assumption!$R$392)/(Assumption!$E$25*12)</f>
        <v>0</v>
      </c>
      <c r="DJ99" s="158" t="n">
        <f aca="false">DJ10*(Assumption!$R$387+Assumption!$R$389+Assumption!$R$390+Assumption!$R$391+Assumption!$R$392)/(Assumption!$E$25*12)</f>
        <v>0</v>
      </c>
      <c r="DK99" s="158" t="n">
        <f aca="false">DK10*(Assumption!$R$387+Assumption!$R$389+Assumption!$R$390+Assumption!$R$391+Assumption!$R$392)/(Assumption!$E$25*12)</f>
        <v>0</v>
      </c>
      <c r="DL99" s="158" t="n">
        <f aca="false">DL10*(Assumption!$R$387+Assumption!$R$389+Assumption!$R$390+Assumption!$R$391+Assumption!$R$392)/(Assumption!$E$25*12)</f>
        <v>0</v>
      </c>
      <c r="DM99" s="158" t="n">
        <f aca="false">DM10*(Assumption!$R$387+Assumption!$R$389+Assumption!$R$390+Assumption!$R$391+Assumption!$R$392)/(Assumption!$E$25*12)</f>
        <v>0</v>
      </c>
      <c r="DN99" s="158" t="n">
        <f aca="false">DN10*(Assumption!$R$387+Assumption!$R$389+Assumption!$R$390+Assumption!$R$391+Assumption!$R$392)/(Assumption!$E$25*12)</f>
        <v>0</v>
      </c>
      <c r="DO99" s="158" t="n">
        <f aca="false">DO10*(Assumption!$R$387+Assumption!$R$389+Assumption!$R$390+Assumption!$R$391+Assumption!$R$392)/(Assumption!$E$25*12)</f>
        <v>0</v>
      </c>
      <c r="DP99" s="158" t="n">
        <f aca="false">DP10*(Assumption!$R$387+Assumption!$R$389+Assumption!$R$390+Assumption!$R$391+Assumption!$R$392)/(Assumption!$E$25*12)</f>
        <v>0</v>
      </c>
      <c r="DQ99" s="158" t="n">
        <f aca="false">DQ10*(Assumption!$R$387+Assumption!$R$389+Assumption!$R$390+Assumption!$R$391+Assumption!$R$392)/(Assumption!$E$25*12)</f>
        <v>0</v>
      </c>
      <c r="DR99" s="158" t="n">
        <f aca="false">DR10*(Assumption!$R$387+Assumption!$R$389+Assumption!$R$390+Assumption!$R$391+Assumption!$R$392)/(Assumption!$E$25*12)</f>
        <v>0</v>
      </c>
      <c r="DS99" s="158" t="n">
        <f aca="false">DS10*(Assumption!$R$387+Assumption!$R$389+Assumption!$R$390+Assumption!$R$391+Assumption!$R$392)/(Assumption!$E$25*12)</f>
        <v>0</v>
      </c>
      <c r="DT99" s="158" t="n">
        <f aca="false">DT10*(Assumption!$R$387+Assumption!$R$389+Assumption!$R$390+Assumption!$R$391+Assumption!$R$392)/(Assumption!$E$25*12)</f>
        <v>0</v>
      </c>
      <c r="DU99" s="158" t="n">
        <f aca="false">DU10*(Assumption!$R$387+Assumption!$R$389+Assumption!$R$390+Assumption!$R$391+Assumption!$R$392)/(Assumption!$E$25*12)</f>
        <v>0</v>
      </c>
      <c r="DV99" s="158" t="n">
        <f aca="false">DV10*(Assumption!$R$387+Assumption!$R$389+Assumption!$R$390+Assumption!$R$391+Assumption!$R$392)/(Assumption!$E$25*12)</f>
        <v>0</v>
      </c>
      <c r="DW99" s="158" t="n">
        <f aca="false">DW10*(Assumption!$R$387+Assumption!$R$389+Assumption!$R$390+Assumption!$R$391+Assumption!$R$392)/(Assumption!$E$25*12)</f>
        <v>0</v>
      </c>
      <c r="DX99" s="158" t="n">
        <f aca="false">DX10*(Assumption!$R$387+Assumption!$R$389+Assumption!$R$390+Assumption!$R$391+Assumption!$R$392)/(Assumption!$E$25*12)</f>
        <v>0</v>
      </c>
      <c r="DY99" s="158" t="n">
        <f aca="false">DY10*(Assumption!$R$387+Assumption!$R$389+Assumption!$R$390+Assumption!$R$391+Assumption!$R$392)/(Assumption!$E$25*12)</f>
        <v>0</v>
      </c>
      <c r="DZ99" s="158" t="n">
        <f aca="false">DZ10*(Assumption!$R$387+Assumption!$R$389+Assumption!$R$390+Assumption!$R$391+Assumption!$R$392)/(Assumption!$E$25*12)</f>
        <v>0</v>
      </c>
      <c r="EA99" s="158" t="n">
        <f aca="false">EA10*(Assumption!$R$387+Assumption!$R$389+Assumption!$R$390+Assumption!$R$391+Assumption!$R$392)/(Assumption!$E$25*12)</f>
        <v>0</v>
      </c>
      <c r="EB99" s="158" t="n">
        <f aca="false">EB10*(Assumption!$R$387+Assumption!$R$389+Assumption!$R$390+Assumption!$R$391+Assumption!$R$392)/(Assumption!$E$25*12)</f>
        <v>0</v>
      </c>
      <c r="EC99" s="158" t="n">
        <f aca="false">EC10*(Assumption!$R$387+Assumption!$R$389+Assumption!$R$390+Assumption!$R$391+Assumption!$R$392)/(Assumption!$E$25*12)</f>
        <v>0</v>
      </c>
      <c r="ED99" s="158" t="n">
        <f aca="false">ED10*(Assumption!$R$387+Assumption!$R$389+Assumption!$R$390+Assumption!$R$391+Assumption!$R$392)/(Assumption!$E$25*12)</f>
        <v>0</v>
      </c>
      <c r="EE99" s="158" t="n">
        <f aca="false">EE10*(Assumption!$R$387+Assumption!$R$389+Assumption!$R$390+Assumption!$R$391+Assumption!$R$392)/(Assumption!$E$25*12)</f>
        <v>0</v>
      </c>
      <c r="EF99" s="158" t="n">
        <f aca="false">EF10*(Assumption!$R$387+Assumption!$R$389+Assumption!$R$390+Assumption!$R$391+Assumption!$R$392)/(Assumption!$E$25*12)</f>
        <v>0</v>
      </c>
    </row>
    <row r="100" customFormat="false" ht="15" hidden="false" customHeight="false" outlineLevel="0" collapsed="false">
      <c r="A100" s="243" t="s">
        <v>558</v>
      </c>
      <c r="B100" s="244" t="s">
        <v>116</v>
      </c>
      <c r="C100" s="245" t="n">
        <f aca="false">SUM(E100:EF100)</f>
        <v>1401070.21428999</v>
      </c>
      <c r="D100" s="13"/>
      <c r="E100" s="246" t="n">
        <f aca="false">SUM(E89:E99)</f>
        <v>2038.28845015278</v>
      </c>
      <c r="F100" s="246" t="n">
        <f aca="false">SUM(F89:F99)</f>
        <v>92.959492965805</v>
      </c>
      <c r="G100" s="246" t="n">
        <f aca="false">SUM(G89:G99)</f>
        <v>92.959492965805</v>
      </c>
      <c r="H100" s="246" t="n">
        <f aca="false">SUM(H89:H99)</f>
        <v>11092.9594929658</v>
      </c>
      <c r="I100" s="246" t="n">
        <f aca="false">SUM(I89:I99)</f>
        <v>92.959492965805</v>
      </c>
      <c r="J100" s="246" t="n">
        <f aca="false">SUM(J89:J99)</f>
        <v>92.959492965805</v>
      </c>
      <c r="K100" s="246" t="n">
        <f aca="false">SUM(K89:K99)</f>
        <v>92.959492965805</v>
      </c>
      <c r="L100" s="246" t="n">
        <f aca="false">SUM(L89:L99)</f>
        <v>92.959492965805</v>
      </c>
      <c r="M100" s="246" t="n">
        <f aca="false">SUM(M89:M99)</f>
        <v>92.959492965805</v>
      </c>
      <c r="N100" s="246" t="n">
        <f aca="false">SUM(N89:N99)</f>
        <v>92.959492965805</v>
      </c>
      <c r="O100" s="246" t="n">
        <f aca="false">SUM(O89:O99)</f>
        <v>92.959492965805</v>
      </c>
      <c r="P100" s="246" t="n">
        <f aca="false">SUM(P89:P99)</f>
        <v>92.959492965805</v>
      </c>
      <c r="Q100" s="246" t="n">
        <f aca="false">SUM(Q89:Q99)</f>
        <v>92.959492965805</v>
      </c>
      <c r="R100" s="246" t="n">
        <f aca="false">SUM(R89:R99)</f>
        <v>92.959492965805</v>
      </c>
      <c r="S100" s="246" t="n">
        <f aca="false">SUM(S89:S99)</f>
        <v>92.959492965805</v>
      </c>
      <c r="T100" s="246" t="n">
        <f aca="false">SUM(T89:T99)</f>
        <v>92.959492965805</v>
      </c>
      <c r="U100" s="246" t="n">
        <f aca="false">SUM(U89:U99)</f>
        <v>92.959492965805</v>
      </c>
      <c r="V100" s="246" t="n">
        <f aca="false">SUM(V89:V99)</f>
        <v>92.959492965805</v>
      </c>
      <c r="W100" s="246" t="n">
        <f aca="false">SUM(W89:W99)</f>
        <v>228492.610868531</v>
      </c>
      <c r="X100" s="246" t="n">
        <f aca="false">SUM(X89:X99)</f>
        <v>5270.36288846713</v>
      </c>
      <c r="Y100" s="246" t="n">
        <f aca="false">SUM(Y89:Y99)</f>
        <v>8121.04926868098</v>
      </c>
      <c r="Z100" s="246" t="n">
        <f aca="false">SUM(Z89:Z99)</f>
        <v>10931.6551349613</v>
      </c>
      <c r="AA100" s="246" t="n">
        <f aca="false">SUM(AA89:AA99)</f>
        <v>13686.462439216</v>
      </c>
      <c r="AB100" s="246" t="n">
        <f aca="false">SUM(AB89:AB99)</f>
        <v>16370.0651815465</v>
      </c>
      <c r="AC100" s="246" t="n">
        <f aca="false">SUM(AC89:AC99)</f>
        <v>18967.4555668472</v>
      </c>
      <c r="AD100" s="246" t="n">
        <f aca="false">SUM(AD89:AD99)</f>
        <v>21464.1079344843</v>
      </c>
      <c r="AE100" s="246" t="n">
        <f aca="false">SUM(AE89:AE99)</f>
        <v>23846.0599916818</v>
      </c>
      <c r="AF100" s="246" t="n">
        <f aca="false">SUM(AF89:AF99)</f>
        <v>26099.9908963263</v>
      </c>
      <c r="AG100" s="246" t="n">
        <f aca="false">SUM(AG89:AG99)</f>
        <v>28213.29575252</v>
      </c>
      <c r="AH100" s="246" t="n">
        <f aca="false">SUM(AH89:AH99)</f>
        <v>30174.156102271</v>
      </c>
      <c r="AI100" s="246" t="n">
        <f aca="false">SUM(AI89:AI99)</f>
        <v>31971.6060191047</v>
      </c>
      <c r="AJ100" s="246" t="n">
        <f aca="false">SUM(AJ89:AJ99)</f>
        <v>33595.5934339727</v>
      </c>
      <c r="AK100" s="246" t="n">
        <f aca="false">SUM(AK89:AK99)</f>
        <v>35037.036350501</v>
      </c>
      <c r="AL100" s="246" t="n">
        <f aca="false">SUM(AL89:AL99)</f>
        <v>36287.8736351965</v>
      </c>
      <c r="AM100" s="246" t="n">
        <f aca="false">SUM(AM89:AM99)</f>
        <v>37341.1100985767</v>
      </c>
      <c r="AN100" s="246" t="n">
        <f aca="false">SUM(AN89:AN99)</f>
        <v>38190.8556151059</v>
      </c>
      <c r="AO100" s="246" t="n">
        <f aca="false">SUM(AO89:AO99)</f>
        <v>38832.358063167</v>
      </c>
      <c r="AP100" s="246" t="n">
        <f aca="false">SUM(AP89:AP99)</f>
        <v>39262.029900853</v>
      </c>
      <c r="AQ100" s="246" t="n">
        <f aca="false">SUM(AQ89:AQ99)</f>
        <v>39477.4682289563</v>
      </c>
      <c r="AR100" s="246" t="n">
        <f aca="false">SUM(AR89:AR99)</f>
        <v>39477.4682289562</v>
      </c>
      <c r="AS100" s="246" t="n">
        <f aca="false">SUM(AS89:AS99)</f>
        <v>39262.029900853</v>
      </c>
      <c r="AT100" s="246" t="n">
        <f aca="false">SUM(AT89:AT99)</f>
        <v>38832.3580631671</v>
      </c>
      <c r="AU100" s="246" t="n">
        <f aca="false">SUM(AU89:AU99)</f>
        <v>38190.855615106</v>
      </c>
      <c r="AV100" s="246" t="n">
        <f aca="false">SUM(AV89:AV99)</f>
        <v>37341.1100985767</v>
      </c>
      <c r="AW100" s="246" t="n">
        <f aca="false">SUM(AW89:AW99)</f>
        <v>36287.8736351964</v>
      </c>
      <c r="AX100" s="246" t="n">
        <f aca="false">SUM(AX89:AX99)</f>
        <v>35037.0363505009</v>
      </c>
      <c r="AY100" s="246" t="n">
        <f aca="false">SUM(AY89:AY99)</f>
        <v>33595.5934339729</v>
      </c>
      <c r="AZ100" s="246" t="n">
        <f aca="false">SUM(AZ89:AZ99)</f>
        <v>31971.6060191046</v>
      </c>
      <c r="BA100" s="246" t="n">
        <f aca="false">SUM(BA89:BA99)</f>
        <v>30174.1561022709</v>
      </c>
      <c r="BB100" s="246" t="n">
        <f aca="false">SUM(BB89:BB99)</f>
        <v>28213.2957525201</v>
      </c>
      <c r="BC100" s="246" t="n">
        <f aca="false">SUM(BC89:BC99)</f>
        <v>26099.9908963263</v>
      </c>
      <c r="BD100" s="246" t="n">
        <f aca="false">SUM(BD89:BD99)</f>
        <v>23846.0599916819</v>
      </c>
      <c r="BE100" s="246" t="n">
        <f aca="false">SUM(BE89:BE99)</f>
        <v>21464.1079344842</v>
      </c>
      <c r="BF100" s="246" t="n">
        <f aca="false">SUM(BF89:BF99)</f>
        <v>18967.4555668473</v>
      </c>
      <c r="BG100" s="246" t="n">
        <f aca="false">SUM(BG89:BG99)</f>
        <v>16370.0651815466</v>
      </c>
      <c r="BH100" s="246" t="n">
        <f aca="false">SUM(BH89:BH99)</f>
        <v>13686.4624392159</v>
      </c>
      <c r="BI100" s="246" t="n">
        <f aca="false">SUM(BI89:BI99)</f>
        <v>10931.6551349613</v>
      </c>
      <c r="BJ100" s="246" t="n">
        <f aca="false">SUM(BJ89:BJ99)</f>
        <v>8121.04926868098</v>
      </c>
      <c r="BK100" s="246" t="n">
        <f aca="false">SUM(BK89:BK99)</f>
        <v>5270.36288846713</v>
      </c>
      <c r="BL100" s="246" t="n">
        <f aca="false">SUM(BL89:BL99)</f>
        <v>31993.8517889035</v>
      </c>
      <c r="BM100" s="246" t="n">
        <f aca="false">SUM(BM89:BM99)</f>
        <v>59683.9667971091</v>
      </c>
      <c r="BN100" s="246" t="n">
        <f aca="false">SUM(BN89:BN99)</f>
        <v>0</v>
      </c>
      <c r="BO100" s="246" t="n">
        <f aca="false">SUM(BO89:BO99)</f>
        <v>0</v>
      </c>
      <c r="BP100" s="246" t="n">
        <f aca="false">SUM(BP89:BP99)</f>
        <v>0</v>
      </c>
      <c r="BQ100" s="246" t="n">
        <f aca="false">SUM(BQ89:BQ99)</f>
        <v>0</v>
      </c>
      <c r="BR100" s="246" t="n">
        <f aca="false">SUM(BR89:BR99)</f>
        <v>0</v>
      </c>
      <c r="BS100" s="246" t="n">
        <f aca="false">SUM(BS89:BS99)</f>
        <v>0</v>
      </c>
      <c r="BT100" s="246" t="n">
        <f aca="false">SUM(BT89:BT99)</f>
        <v>0</v>
      </c>
      <c r="BU100" s="246" t="n">
        <f aca="false">SUM(BU89:BU99)</f>
        <v>0</v>
      </c>
      <c r="BV100" s="246" t="n">
        <f aca="false">SUM(BV89:BV99)</f>
        <v>0</v>
      </c>
      <c r="BW100" s="246" t="n">
        <f aca="false">SUM(BW89:BW99)</f>
        <v>0</v>
      </c>
      <c r="BX100" s="246" t="n">
        <f aca="false">SUM(BX89:BX99)</f>
        <v>0</v>
      </c>
      <c r="BY100" s="246" t="n">
        <f aca="false">SUM(BY89:BY99)</f>
        <v>0</v>
      </c>
      <c r="BZ100" s="246" t="n">
        <f aca="false">SUM(BZ89:BZ99)</f>
        <v>0</v>
      </c>
      <c r="CA100" s="246" t="n">
        <f aca="false">SUM(CA89:CA99)</f>
        <v>0</v>
      </c>
      <c r="CB100" s="246" t="n">
        <f aca="false">SUM(CB89:CB99)</f>
        <v>0</v>
      </c>
      <c r="CC100" s="246" t="n">
        <f aca="false">SUM(CC89:CC99)</f>
        <v>0</v>
      </c>
      <c r="CD100" s="246" t="n">
        <f aca="false">SUM(CD89:CD99)</f>
        <v>0</v>
      </c>
      <c r="CE100" s="246" t="n">
        <f aca="false">SUM(CE89:CE99)</f>
        <v>0</v>
      </c>
      <c r="CF100" s="246" t="n">
        <f aca="false">SUM(CF89:CF99)</f>
        <v>0</v>
      </c>
      <c r="CG100" s="246" t="n">
        <f aca="false">SUM(CG89:CG99)</f>
        <v>0</v>
      </c>
      <c r="CH100" s="246" t="n">
        <f aca="false">SUM(CH89:CH99)</f>
        <v>0</v>
      </c>
      <c r="CI100" s="246" t="n">
        <f aca="false">SUM(CI89:CI99)</f>
        <v>0</v>
      </c>
      <c r="CJ100" s="246" t="n">
        <f aca="false">SUM(CJ89:CJ99)</f>
        <v>0</v>
      </c>
      <c r="CK100" s="246" t="n">
        <f aca="false">SUM(CK89:CK99)</f>
        <v>0</v>
      </c>
      <c r="CL100" s="246" t="n">
        <f aca="false">SUM(CL89:CL99)</f>
        <v>0</v>
      </c>
      <c r="CM100" s="246" t="n">
        <f aca="false">SUM(CM89:CM99)</f>
        <v>0</v>
      </c>
      <c r="CN100" s="246" t="n">
        <f aca="false">SUM(CN89:CN99)</f>
        <v>0</v>
      </c>
      <c r="CO100" s="246" t="n">
        <f aca="false">SUM(CO89:CO99)</f>
        <v>0</v>
      </c>
      <c r="CP100" s="246" t="n">
        <f aca="false">SUM(CP89:CP99)</f>
        <v>0</v>
      </c>
      <c r="CQ100" s="246" t="n">
        <f aca="false">SUM(CQ89:CQ99)</f>
        <v>0</v>
      </c>
      <c r="CR100" s="246" t="n">
        <f aca="false">SUM(CR89:CR99)</f>
        <v>0</v>
      </c>
      <c r="CS100" s="246" t="n">
        <f aca="false">SUM(CS89:CS99)</f>
        <v>0</v>
      </c>
      <c r="CT100" s="246" t="n">
        <f aca="false">SUM(CT89:CT99)</f>
        <v>0</v>
      </c>
      <c r="CU100" s="246" t="n">
        <f aca="false">SUM(CU89:CU99)</f>
        <v>0</v>
      </c>
      <c r="CV100" s="246" t="n">
        <f aca="false">SUM(CV89:CV99)</f>
        <v>0</v>
      </c>
      <c r="CW100" s="246" t="n">
        <f aca="false">SUM(CW89:CW99)</f>
        <v>0</v>
      </c>
      <c r="CX100" s="246" t="n">
        <f aca="false">SUM(CX89:CX99)</f>
        <v>0</v>
      </c>
      <c r="CY100" s="246" t="n">
        <f aca="false">SUM(CY89:CY99)</f>
        <v>0</v>
      </c>
      <c r="CZ100" s="246" t="n">
        <f aca="false">SUM(CZ89:CZ99)</f>
        <v>0</v>
      </c>
      <c r="DA100" s="246" t="n">
        <f aca="false">SUM(DA89:DA99)</f>
        <v>0</v>
      </c>
      <c r="DB100" s="246" t="n">
        <f aca="false">SUM(DB89:DB99)</f>
        <v>0</v>
      </c>
      <c r="DC100" s="246" t="n">
        <f aca="false">SUM(DC89:DC99)</f>
        <v>0</v>
      </c>
      <c r="DD100" s="246" t="n">
        <f aca="false">SUM(DD89:DD99)</f>
        <v>0</v>
      </c>
      <c r="DE100" s="246" t="n">
        <f aca="false">SUM(DE89:DE99)</f>
        <v>0</v>
      </c>
      <c r="DF100" s="246" t="n">
        <f aca="false">SUM(DF89:DF99)</f>
        <v>0</v>
      </c>
      <c r="DG100" s="246" t="n">
        <f aca="false">SUM(DG89:DG99)</f>
        <v>0</v>
      </c>
      <c r="DH100" s="246" t="n">
        <f aca="false">SUM(DH89:DH99)</f>
        <v>0</v>
      </c>
      <c r="DI100" s="246" t="n">
        <f aca="false">SUM(DI89:DI99)</f>
        <v>0</v>
      </c>
      <c r="DJ100" s="246" t="n">
        <f aca="false">SUM(DJ89:DJ99)</f>
        <v>0</v>
      </c>
      <c r="DK100" s="246" t="n">
        <f aca="false">SUM(DK89:DK99)</f>
        <v>0</v>
      </c>
      <c r="DL100" s="246" t="n">
        <f aca="false">SUM(DL89:DL99)</f>
        <v>0</v>
      </c>
      <c r="DM100" s="246" t="n">
        <f aca="false">SUM(DM89:DM99)</f>
        <v>0</v>
      </c>
      <c r="DN100" s="246" t="n">
        <f aca="false">SUM(DN89:DN99)</f>
        <v>0</v>
      </c>
      <c r="DO100" s="246" t="n">
        <f aca="false">SUM(DO89:DO99)</f>
        <v>0</v>
      </c>
      <c r="DP100" s="246" t="n">
        <f aca="false">SUM(DP89:DP99)</f>
        <v>0</v>
      </c>
      <c r="DQ100" s="246" t="n">
        <f aca="false">SUM(DQ89:DQ99)</f>
        <v>0</v>
      </c>
      <c r="DR100" s="246" t="n">
        <f aca="false">SUM(DR89:DR99)</f>
        <v>0</v>
      </c>
      <c r="DS100" s="246" t="n">
        <f aca="false">SUM(DS89:DS99)</f>
        <v>0</v>
      </c>
      <c r="DT100" s="246" t="n">
        <f aca="false">SUM(DT89:DT99)</f>
        <v>0</v>
      </c>
      <c r="DU100" s="246" t="n">
        <f aca="false">SUM(DU89:DU99)</f>
        <v>0</v>
      </c>
      <c r="DV100" s="246" t="n">
        <f aca="false">SUM(DV89:DV99)</f>
        <v>0</v>
      </c>
      <c r="DW100" s="246" t="n">
        <f aca="false">SUM(DW89:DW99)</f>
        <v>0</v>
      </c>
      <c r="DX100" s="246" t="n">
        <f aca="false">SUM(DX89:DX99)</f>
        <v>0</v>
      </c>
      <c r="DY100" s="246" t="n">
        <f aca="false">SUM(DY89:DY99)</f>
        <v>0</v>
      </c>
      <c r="DZ100" s="246" t="n">
        <f aca="false">SUM(DZ89:DZ99)</f>
        <v>0</v>
      </c>
      <c r="EA100" s="246" t="n">
        <f aca="false">SUM(EA89:EA99)</f>
        <v>0</v>
      </c>
      <c r="EB100" s="246" t="n">
        <f aca="false">SUM(EB89:EB99)</f>
        <v>0</v>
      </c>
      <c r="EC100" s="246" t="n">
        <f aca="false">SUM(EC89:EC99)</f>
        <v>0</v>
      </c>
      <c r="ED100" s="246" t="n">
        <f aca="false">SUM(ED89:ED99)</f>
        <v>0</v>
      </c>
      <c r="EE100" s="246" t="n">
        <f aca="false">SUM(EE89:EE99)</f>
        <v>0</v>
      </c>
      <c r="EF100" s="246" t="n">
        <f aca="false">SUM(EF89:EF99)</f>
        <v>0</v>
      </c>
    </row>
    <row r="102" customFormat="false" ht="15" hidden="false" customHeight="false" outlineLevel="0" collapsed="false">
      <c r="A102" s="248" t="s">
        <v>559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  <c r="DG102" s="86"/>
      <c r="DH102" s="86"/>
      <c r="DI102" s="86"/>
      <c r="DJ102" s="86"/>
      <c r="DK102" s="86"/>
      <c r="DL102" s="86"/>
      <c r="DM102" s="86"/>
      <c r="DN102" s="86"/>
      <c r="DO102" s="86"/>
      <c r="DP102" s="86"/>
      <c r="DQ102" s="86"/>
      <c r="DR102" s="86"/>
      <c r="DS102" s="86"/>
      <c r="DT102" s="86"/>
      <c r="DU102" s="86"/>
      <c r="DV102" s="86"/>
      <c r="DW102" s="86"/>
      <c r="DX102" s="86"/>
      <c r="DY102" s="86"/>
      <c r="DZ102" s="86"/>
      <c r="EA102" s="86"/>
      <c r="EB102" s="86"/>
      <c r="EC102" s="86"/>
      <c r="ED102" s="86"/>
      <c r="EE102" s="86"/>
      <c r="EF102" s="86"/>
    </row>
    <row r="103" customFormat="false" ht="15" hidden="false" customHeight="false" outlineLevel="0" collapsed="false">
      <c r="A103" s="112" t="s">
        <v>560</v>
      </c>
      <c r="B103" s="241" t="s">
        <v>116</v>
      </c>
      <c r="C103" s="242" t="n">
        <f aca="false">SUM(E103:EF103)</f>
        <v>8210.97524380843</v>
      </c>
      <c r="E103" s="158" t="n">
        <f aca="false">IF(E6=Assumption!$E$14,Assumption!$E$436*Assumption!$J$467,0)</f>
        <v>0</v>
      </c>
      <c r="F103" s="158" t="n">
        <f aca="false">IF(F6=Assumption!$E$14,Assumption!$E$436*Assumption!$J$467,0)</f>
        <v>0</v>
      </c>
      <c r="G103" s="158" t="n">
        <f aca="false">IF(G6=Assumption!$E$14,Assumption!$E$436*Assumption!$J$467,0)</f>
        <v>0</v>
      </c>
      <c r="H103" s="158" t="n">
        <f aca="false">IF(H6=Assumption!$E$14,Assumption!$E$436*Assumption!$J$467,0)</f>
        <v>0</v>
      </c>
      <c r="I103" s="158" t="n">
        <f aca="false">IF(I6=Assumption!$E$14,Assumption!$E$436*Assumption!$J$467,0)</f>
        <v>0</v>
      </c>
      <c r="J103" s="158" t="n">
        <f aca="false">IF(J6=Assumption!$E$14,Assumption!$E$436*Assumption!$J$467,0)</f>
        <v>0</v>
      </c>
      <c r="K103" s="158" t="n">
        <f aca="false">IF(K6=Assumption!$E$14,Assumption!$E$436*Assumption!$J$467,0)</f>
        <v>0</v>
      </c>
      <c r="L103" s="158" t="n">
        <f aca="false">IF(L6=Assumption!$E$14,Assumption!$E$436*Assumption!$J$467,0)</f>
        <v>0</v>
      </c>
      <c r="M103" s="158" t="n">
        <f aca="false">IF(M6=Assumption!$E$14,Assumption!$E$436*Assumption!$J$467,0)</f>
        <v>0</v>
      </c>
      <c r="N103" s="158" t="n">
        <f aca="false">IF(N6=Assumption!$E$14,Assumption!$E$436*Assumption!$J$467,0)</f>
        <v>0</v>
      </c>
      <c r="O103" s="158" t="n">
        <f aca="false">IF(O6=Assumption!$E$14,Assumption!$E$436*Assumption!$J$467,0)</f>
        <v>0</v>
      </c>
      <c r="P103" s="158" t="n">
        <f aca="false">IF(P6=Assumption!$E$14,Assumption!$E$436*Assumption!$J$467,0)</f>
        <v>0</v>
      </c>
      <c r="Q103" s="158" t="n">
        <f aca="false">IF(Q6=Assumption!$E$14,Assumption!$E$436*Assumption!$J$467,0)</f>
        <v>0</v>
      </c>
      <c r="R103" s="158" t="n">
        <f aca="false">IF(R6=Assumption!$E$14,Assumption!$E$436*Assumption!$J$467,0)</f>
        <v>0</v>
      </c>
      <c r="S103" s="158" t="n">
        <f aca="false">IF(S6=Assumption!$E$14,Assumption!$E$436*Assumption!$J$467,0)</f>
        <v>0</v>
      </c>
      <c r="T103" s="158" t="n">
        <f aca="false">IF(T6=Assumption!$E$14,Assumption!$E$436*Assumption!$J$467,0)</f>
        <v>0</v>
      </c>
      <c r="U103" s="158" t="n">
        <f aca="false">IF(U6=Assumption!$E$14,Assumption!$E$436*Assumption!$J$467,0)</f>
        <v>0</v>
      </c>
      <c r="V103" s="158" t="n">
        <f aca="false">IF(V6=Assumption!$E$14,Assumption!$E$436*Assumption!$J$467,0)</f>
        <v>0</v>
      </c>
      <c r="W103" s="158" t="n">
        <f aca="false">IF(W6=Assumption!$E$14,Assumption!$E$436*Assumption!$J$467,0)</f>
        <v>8210.97524380843</v>
      </c>
      <c r="X103" s="158" t="n">
        <f aca="false">IF(X6=Assumption!$E$14,Assumption!$E$436*Assumption!$J$467,0)</f>
        <v>0</v>
      </c>
      <c r="Y103" s="158" t="n">
        <f aca="false">IF(Y6=Assumption!$E$14,Assumption!$E$436*Assumption!$J$467,0)</f>
        <v>0</v>
      </c>
      <c r="Z103" s="158" t="n">
        <f aca="false">IF(Z6=Assumption!$E$14,Assumption!$E$436*Assumption!$J$467,0)</f>
        <v>0</v>
      </c>
      <c r="AA103" s="158" t="n">
        <f aca="false">IF(AA6=Assumption!$E$14,Assumption!$E$436*Assumption!$J$467,0)</f>
        <v>0</v>
      </c>
      <c r="AB103" s="158" t="n">
        <f aca="false">IF(AB6=Assumption!$E$14,Assumption!$E$436*Assumption!$J$467,0)</f>
        <v>0</v>
      </c>
      <c r="AC103" s="158" t="n">
        <f aca="false">IF(AC6=Assumption!$E$14,Assumption!$E$436*Assumption!$J$467,0)</f>
        <v>0</v>
      </c>
      <c r="AD103" s="158" t="n">
        <f aca="false">IF(AD6=Assumption!$E$14,Assumption!$E$436*Assumption!$J$467,0)</f>
        <v>0</v>
      </c>
      <c r="AE103" s="158" t="n">
        <f aca="false">IF(AE6=Assumption!$E$14,Assumption!$E$436*Assumption!$J$467,0)</f>
        <v>0</v>
      </c>
      <c r="AF103" s="158" t="n">
        <f aca="false">IF(AF6=Assumption!$E$14,Assumption!$E$436*Assumption!$J$467,0)</f>
        <v>0</v>
      </c>
      <c r="AG103" s="158" t="n">
        <f aca="false">IF(AG6=Assumption!$E$14,Assumption!$E$436*Assumption!$J$467,0)</f>
        <v>0</v>
      </c>
      <c r="AH103" s="158" t="n">
        <f aca="false">IF(AH6=Assumption!$E$14,Assumption!$E$436*Assumption!$J$467,0)</f>
        <v>0</v>
      </c>
      <c r="AI103" s="158" t="n">
        <f aca="false">IF(AI6=Assumption!$E$14,Assumption!$E$436*Assumption!$J$467,0)</f>
        <v>0</v>
      </c>
      <c r="AJ103" s="158" t="n">
        <f aca="false">IF(AJ6=Assumption!$E$14,Assumption!$E$436*Assumption!$J$467,0)</f>
        <v>0</v>
      </c>
      <c r="AK103" s="158" t="n">
        <f aca="false">IF(AK6=Assumption!$E$14,Assumption!$E$436*Assumption!$J$467,0)</f>
        <v>0</v>
      </c>
      <c r="AL103" s="158" t="n">
        <f aca="false">IF(AL6=Assumption!$E$14,Assumption!$E$436*Assumption!$J$467,0)</f>
        <v>0</v>
      </c>
      <c r="AM103" s="158" t="n">
        <f aca="false">IF(AM6=Assumption!$E$14,Assumption!$E$436*Assumption!$J$467,0)</f>
        <v>0</v>
      </c>
      <c r="AN103" s="158" t="n">
        <f aca="false">IF(AN6=Assumption!$E$14,Assumption!$E$436*Assumption!$J$467,0)</f>
        <v>0</v>
      </c>
      <c r="AO103" s="158" t="n">
        <f aca="false">IF(AO6=Assumption!$E$14,Assumption!$E$436*Assumption!$J$467,0)</f>
        <v>0</v>
      </c>
      <c r="AP103" s="158" t="n">
        <f aca="false">IF(AP6=Assumption!$E$14,Assumption!$E$436*Assumption!$J$467,0)</f>
        <v>0</v>
      </c>
      <c r="AQ103" s="158" t="n">
        <f aca="false">IF(AQ6=Assumption!$E$14,Assumption!$E$436*Assumption!$J$467,0)</f>
        <v>0</v>
      </c>
      <c r="AR103" s="158" t="n">
        <f aca="false">IF(AR6=Assumption!$E$14,Assumption!$E$436*Assumption!$J$467,0)</f>
        <v>0</v>
      </c>
      <c r="AS103" s="158" t="n">
        <f aca="false">IF(AS6=Assumption!$E$14,Assumption!$E$436*Assumption!$J$467,0)</f>
        <v>0</v>
      </c>
      <c r="AT103" s="158" t="n">
        <f aca="false">IF(AT6=Assumption!$E$14,Assumption!$E$436*Assumption!$J$467,0)</f>
        <v>0</v>
      </c>
      <c r="AU103" s="158" t="n">
        <f aca="false">IF(AU6=Assumption!$E$14,Assumption!$E$436*Assumption!$J$467,0)</f>
        <v>0</v>
      </c>
      <c r="AV103" s="158" t="n">
        <f aca="false">IF(AV6=Assumption!$E$14,Assumption!$E$436*Assumption!$J$467,0)</f>
        <v>0</v>
      </c>
      <c r="AW103" s="158" t="n">
        <f aca="false">IF(AW6=Assumption!$E$14,Assumption!$E$436*Assumption!$J$467,0)</f>
        <v>0</v>
      </c>
      <c r="AX103" s="158" t="n">
        <f aca="false">IF(AX6=Assumption!$E$14,Assumption!$E$436*Assumption!$J$467,0)</f>
        <v>0</v>
      </c>
      <c r="AY103" s="158" t="n">
        <f aca="false">IF(AY6=Assumption!$E$14,Assumption!$E$436*Assumption!$J$467,0)</f>
        <v>0</v>
      </c>
      <c r="AZ103" s="158" t="n">
        <f aca="false">IF(AZ6=Assumption!$E$14,Assumption!$E$436*Assumption!$J$467,0)</f>
        <v>0</v>
      </c>
      <c r="BA103" s="158" t="n">
        <f aca="false">IF(BA6=Assumption!$E$14,Assumption!$E$436*Assumption!$J$467,0)</f>
        <v>0</v>
      </c>
      <c r="BB103" s="158" t="n">
        <f aca="false">IF(BB6=Assumption!$E$14,Assumption!$E$436*Assumption!$J$467,0)</f>
        <v>0</v>
      </c>
      <c r="BC103" s="158" t="n">
        <f aca="false">IF(BC6=Assumption!$E$14,Assumption!$E$436*Assumption!$J$467,0)</f>
        <v>0</v>
      </c>
      <c r="BD103" s="158" t="n">
        <f aca="false">IF(BD6=Assumption!$E$14,Assumption!$E$436*Assumption!$J$467,0)</f>
        <v>0</v>
      </c>
      <c r="BE103" s="158" t="n">
        <f aca="false">IF(BE6=Assumption!$E$14,Assumption!$E$436*Assumption!$J$467,0)</f>
        <v>0</v>
      </c>
      <c r="BF103" s="158" t="n">
        <f aca="false">IF(BF6=Assumption!$E$14,Assumption!$E$436*Assumption!$J$467,0)</f>
        <v>0</v>
      </c>
      <c r="BG103" s="158" t="n">
        <f aca="false">IF(BG6=Assumption!$E$14,Assumption!$E$436*Assumption!$J$467,0)</f>
        <v>0</v>
      </c>
      <c r="BH103" s="158" t="n">
        <f aca="false">IF(BH6=Assumption!$E$14,Assumption!$E$436*Assumption!$J$467,0)</f>
        <v>0</v>
      </c>
      <c r="BI103" s="158" t="n">
        <f aca="false">IF(BI6=Assumption!$E$14,Assumption!$E$436*Assumption!$J$467,0)</f>
        <v>0</v>
      </c>
      <c r="BJ103" s="158" t="n">
        <f aca="false">IF(BJ6=Assumption!$E$14,Assumption!$E$436*Assumption!$J$467,0)</f>
        <v>0</v>
      </c>
      <c r="BK103" s="158" t="n">
        <f aca="false">IF(BK6=Assumption!$E$14,Assumption!$E$436*Assumption!$J$467,0)</f>
        <v>0</v>
      </c>
      <c r="BL103" s="158" t="n">
        <f aca="false">IF(BL6=Assumption!$E$14,Assumption!$E$436*Assumption!$J$467,0)</f>
        <v>0</v>
      </c>
      <c r="BM103" s="158" t="n">
        <f aca="false">IF(BM6=Assumption!$E$14,Assumption!$E$436*Assumption!$J$467,0)</f>
        <v>0</v>
      </c>
      <c r="BN103" s="158" t="n">
        <f aca="false">IF(BN6=Assumption!$E$14,Assumption!$E$436*Assumption!$J$467,0)</f>
        <v>0</v>
      </c>
      <c r="BO103" s="158" t="n">
        <f aca="false">IF(BO6=Assumption!$E$14,Assumption!$E$436*Assumption!$J$467,0)</f>
        <v>0</v>
      </c>
      <c r="BP103" s="158" t="n">
        <f aca="false">IF(BP6=Assumption!$E$14,Assumption!$E$436*Assumption!$J$467,0)</f>
        <v>0</v>
      </c>
      <c r="BQ103" s="158" t="n">
        <f aca="false">IF(BQ6=Assumption!$E$14,Assumption!$E$436*Assumption!$J$467,0)</f>
        <v>0</v>
      </c>
      <c r="BR103" s="158" t="n">
        <f aca="false">IF(BR6=Assumption!$E$14,Assumption!$E$436*Assumption!$J$467,0)</f>
        <v>0</v>
      </c>
      <c r="BS103" s="158" t="n">
        <f aca="false">IF(BS6=Assumption!$E$14,Assumption!$E$436*Assumption!$J$467,0)</f>
        <v>0</v>
      </c>
      <c r="BT103" s="158" t="n">
        <f aca="false">IF(BT6=Assumption!$E$14,Assumption!$E$436*Assumption!$J$467,0)</f>
        <v>0</v>
      </c>
      <c r="BU103" s="158" t="n">
        <f aca="false">IF(BU6=Assumption!$E$14,Assumption!$E$436*Assumption!$J$467,0)</f>
        <v>0</v>
      </c>
      <c r="BV103" s="158" t="n">
        <f aca="false">IF(BV6=Assumption!$E$14,Assumption!$E$436*Assumption!$J$467,0)</f>
        <v>0</v>
      </c>
      <c r="BW103" s="158" t="n">
        <f aca="false">IF(BW6=Assumption!$E$14,Assumption!$E$436*Assumption!$J$467,0)</f>
        <v>0</v>
      </c>
      <c r="BX103" s="158" t="n">
        <f aca="false">IF(BX6=Assumption!$E$14,Assumption!$E$436*Assumption!$J$467,0)</f>
        <v>0</v>
      </c>
      <c r="BY103" s="158" t="n">
        <f aca="false">IF(BY6=Assumption!$E$14,Assumption!$E$436*Assumption!$J$467,0)</f>
        <v>0</v>
      </c>
      <c r="BZ103" s="158" t="n">
        <f aca="false">IF(BZ6=Assumption!$E$14,Assumption!$E$436*Assumption!$J$467,0)</f>
        <v>0</v>
      </c>
      <c r="CA103" s="158" t="n">
        <f aca="false">IF(CA6=Assumption!$E$14,Assumption!$E$436*Assumption!$J$467,0)</f>
        <v>0</v>
      </c>
      <c r="CB103" s="158" t="n">
        <f aca="false">IF(CB6=Assumption!$E$14,Assumption!$E$436*Assumption!$J$467,0)</f>
        <v>0</v>
      </c>
      <c r="CC103" s="158" t="n">
        <f aca="false">IF(CC6=Assumption!$E$14,Assumption!$E$436*Assumption!$J$467,0)</f>
        <v>0</v>
      </c>
      <c r="CD103" s="158" t="n">
        <f aca="false">IF(CD6=Assumption!$E$14,Assumption!$E$436*Assumption!$J$467,0)</f>
        <v>0</v>
      </c>
      <c r="CE103" s="158" t="n">
        <f aca="false">IF(CE6=Assumption!$E$14,Assumption!$E$436*Assumption!$J$467,0)</f>
        <v>0</v>
      </c>
      <c r="CF103" s="158" t="n">
        <f aca="false">IF(CF6=Assumption!$E$14,Assumption!$E$436*Assumption!$J$467,0)</f>
        <v>0</v>
      </c>
      <c r="CG103" s="158" t="n">
        <f aca="false">IF(CG6=Assumption!$E$14,Assumption!$E$436*Assumption!$J$467,0)</f>
        <v>0</v>
      </c>
      <c r="CH103" s="158" t="n">
        <f aca="false">IF(CH6=Assumption!$E$14,Assumption!$E$436*Assumption!$J$467,0)</f>
        <v>0</v>
      </c>
      <c r="CI103" s="158" t="n">
        <f aca="false">IF(CI6=Assumption!$E$14,Assumption!$E$436*Assumption!$J$467,0)</f>
        <v>0</v>
      </c>
      <c r="CJ103" s="158" t="n">
        <f aca="false">IF(CJ6=Assumption!$E$14,Assumption!$E$436*Assumption!$J$467,0)</f>
        <v>0</v>
      </c>
      <c r="CK103" s="158" t="n">
        <f aca="false">IF(CK6=Assumption!$E$14,Assumption!$E$436*Assumption!$J$467,0)</f>
        <v>0</v>
      </c>
      <c r="CL103" s="158" t="n">
        <f aca="false">IF(CL6=Assumption!$E$14,Assumption!$E$436*Assumption!$J$467,0)</f>
        <v>0</v>
      </c>
      <c r="CM103" s="158" t="n">
        <f aca="false">IF(CM6=Assumption!$E$14,Assumption!$E$436*Assumption!$J$467,0)</f>
        <v>0</v>
      </c>
      <c r="CN103" s="158" t="n">
        <f aca="false">IF(CN6=Assumption!$E$14,Assumption!$E$436*Assumption!$J$467,0)</f>
        <v>0</v>
      </c>
      <c r="CO103" s="158" t="n">
        <f aca="false">IF(CO6=Assumption!$E$14,Assumption!$E$436*Assumption!$J$467,0)</f>
        <v>0</v>
      </c>
      <c r="CP103" s="158" t="n">
        <f aca="false">IF(CP6=Assumption!$E$14,Assumption!$E$436*Assumption!$J$467,0)</f>
        <v>0</v>
      </c>
      <c r="CQ103" s="158" t="n">
        <f aca="false">IF(CQ6=Assumption!$E$14,Assumption!$E$436*Assumption!$J$467,0)</f>
        <v>0</v>
      </c>
      <c r="CR103" s="158" t="n">
        <f aca="false">IF(CR6=Assumption!$E$14,Assumption!$E$436*Assumption!$J$467,0)</f>
        <v>0</v>
      </c>
      <c r="CS103" s="158" t="n">
        <f aca="false">IF(CS6=Assumption!$E$14,Assumption!$E$436*Assumption!$J$467,0)</f>
        <v>0</v>
      </c>
      <c r="CT103" s="158" t="n">
        <f aca="false">IF(CT6=Assumption!$E$14,Assumption!$E$436*Assumption!$J$467,0)</f>
        <v>0</v>
      </c>
      <c r="CU103" s="158" t="n">
        <f aca="false">IF(CU6=Assumption!$E$14,Assumption!$E$436*Assumption!$J$467,0)</f>
        <v>0</v>
      </c>
      <c r="CV103" s="158" t="n">
        <f aca="false">IF(CV6=Assumption!$E$14,Assumption!$E$436*Assumption!$J$467,0)</f>
        <v>0</v>
      </c>
      <c r="CW103" s="158" t="n">
        <f aca="false">IF(CW6=Assumption!$E$14,Assumption!$E$436*Assumption!$J$467,0)</f>
        <v>0</v>
      </c>
      <c r="CX103" s="158" t="n">
        <f aca="false">IF(CX6=Assumption!$E$14,Assumption!$E$436*Assumption!$J$467,0)</f>
        <v>0</v>
      </c>
      <c r="CY103" s="158" t="n">
        <f aca="false">IF(CY6=Assumption!$E$14,Assumption!$E$436*Assumption!$J$467,0)</f>
        <v>0</v>
      </c>
      <c r="CZ103" s="158" t="n">
        <f aca="false">IF(CZ6=Assumption!$E$14,Assumption!$E$436*Assumption!$J$467,0)</f>
        <v>0</v>
      </c>
      <c r="DA103" s="158" t="n">
        <f aca="false">IF(DA6=Assumption!$E$14,Assumption!$E$436*Assumption!$J$467,0)</f>
        <v>0</v>
      </c>
      <c r="DB103" s="158" t="n">
        <f aca="false">IF(DB6=Assumption!$E$14,Assumption!$E$436*Assumption!$J$467,0)</f>
        <v>0</v>
      </c>
      <c r="DC103" s="158" t="n">
        <f aca="false">IF(DC6=Assumption!$E$14,Assumption!$E$436*Assumption!$J$467,0)</f>
        <v>0</v>
      </c>
      <c r="DD103" s="158" t="n">
        <f aca="false">IF(DD6=Assumption!$E$14,Assumption!$E$436*Assumption!$J$467,0)</f>
        <v>0</v>
      </c>
      <c r="DE103" s="158" t="n">
        <f aca="false">IF(DE6=Assumption!$E$14,Assumption!$E$436*Assumption!$J$467,0)</f>
        <v>0</v>
      </c>
      <c r="DF103" s="158" t="n">
        <f aca="false">IF(DF6=Assumption!$E$14,Assumption!$E$436*Assumption!$J$467,0)</f>
        <v>0</v>
      </c>
      <c r="DG103" s="158" t="n">
        <f aca="false">IF(DG6=Assumption!$E$14,Assumption!$E$436*Assumption!$J$467,0)</f>
        <v>0</v>
      </c>
      <c r="DH103" s="158" t="n">
        <f aca="false">IF(DH6=Assumption!$E$14,Assumption!$E$436*Assumption!$J$467,0)</f>
        <v>0</v>
      </c>
      <c r="DI103" s="158" t="n">
        <f aca="false">IF(DI6=Assumption!$E$14,Assumption!$E$436*Assumption!$J$467,0)</f>
        <v>0</v>
      </c>
      <c r="DJ103" s="158" t="n">
        <f aca="false">IF(DJ6=Assumption!$E$14,Assumption!$E$436*Assumption!$J$467,0)</f>
        <v>0</v>
      </c>
      <c r="DK103" s="158" t="n">
        <f aca="false">IF(DK6=Assumption!$E$14,Assumption!$E$436*Assumption!$J$467,0)</f>
        <v>0</v>
      </c>
      <c r="DL103" s="158" t="n">
        <f aca="false">IF(DL6=Assumption!$E$14,Assumption!$E$436*Assumption!$J$467,0)</f>
        <v>0</v>
      </c>
      <c r="DM103" s="158" t="n">
        <f aca="false">IF(DM6=Assumption!$E$14,Assumption!$E$436*Assumption!$J$467,0)</f>
        <v>0</v>
      </c>
      <c r="DN103" s="158" t="n">
        <f aca="false">IF(DN6=Assumption!$E$14,Assumption!$E$436*Assumption!$J$467,0)</f>
        <v>0</v>
      </c>
      <c r="DO103" s="158" t="n">
        <f aca="false">IF(DO6=Assumption!$E$14,Assumption!$E$436*Assumption!$J$467,0)</f>
        <v>0</v>
      </c>
      <c r="DP103" s="158" t="n">
        <f aca="false">IF(DP6=Assumption!$E$14,Assumption!$E$436*Assumption!$J$467,0)</f>
        <v>0</v>
      </c>
      <c r="DQ103" s="158" t="n">
        <f aca="false">IF(DQ6=Assumption!$E$14,Assumption!$E$436*Assumption!$J$467,0)</f>
        <v>0</v>
      </c>
      <c r="DR103" s="158" t="n">
        <f aca="false">IF(DR6=Assumption!$E$14,Assumption!$E$436*Assumption!$J$467,0)</f>
        <v>0</v>
      </c>
      <c r="DS103" s="158" t="n">
        <f aca="false">IF(DS6=Assumption!$E$14,Assumption!$E$436*Assumption!$J$467,0)</f>
        <v>0</v>
      </c>
      <c r="DT103" s="158" t="n">
        <f aca="false">IF(DT6=Assumption!$E$14,Assumption!$E$436*Assumption!$J$467,0)</f>
        <v>0</v>
      </c>
      <c r="DU103" s="158" t="n">
        <f aca="false">IF(DU6=Assumption!$E$14,Assumption!$E$436*Assumption!$J$467,0)</f>
        <v>0</v>
      </c>
      <c r="DV103" s="158" t="n">
        <f aca="false">IF(DV6=Assumption!$E$14,Assumption!$E$436*Assumption!$J$467,0)</f>
        <v>0</v>
      </c>
      <c r="DW103" s="158" t="n">
        <f aca="false">IF(DW6=Assumption!$E$14,Assumption!$E$436*Assumption!$J$467,0)</f>
        <v>0</v>
      </c>
      <c r="DX103" s="158" t="n">
        <f aca="false">IF(DX6=Assumption!$E$14,Assumption!$E$436*Assumption!$J$467,0)</f>
        <v>0</v>
      </c>
      <c r="DY103" s="158" t="n">
        <f aca="false">IF(DY6=Assumption!$E$14,Assumption!$E$436*Assumption!$J$467,0)</f>
        <v>0</v>
      </c>
      <c r="DZ103" s="158" t="n">
        <f aca="false">IF(DZ6=Assumption!$E$14,Assumption!$E$436*Assumption!$J$467,0)</f>
        <v>0</v>
      </c>
      <c r="EA103" s="158" t="n">
        <f aca="false">IF(EA6=Assumption!$E$14,Assumption!$E$436*Assumption!$J$467,0)</f>
        <v>0</v>
      </c>
      <c r="EB103" s="158" t="n">
        <f aca="false">IF(EB6=Assumption!$E$14,Assumption!$E$436*Assumption!$J$467,0)</f>
        <v>0</v>
      </c>
      <c r="EC103" s="158" t="n">
        <f aca="false">IF(EC6=Assumption!$E$14,Assumption!$E$436*Assumption!$J$467,0)</f>
        <v>0</v>
      </c>
      <c r="ED103" s="158" t="n">
        <f aca="false">IF(ED6=Assumption!$E$14,Assumption!$E$436*Assumption!$J$467,0)</f>
        <v>0</v>
      </c>
      <c r="EE103" s="158" t="n">
        <f aca="false">IF(EE6=Assumption!$E$14,Assumption!$E$436*Assumption!$J$467,0)</f>
        <v>0</v>
      </c>
      <c r="EF103" s="158" t="n">
        <f aca="false">IF(EF6=Assumption!$E$14,Assumption!$E$436*Assumption!$J$467,0)</f>
        <v>0</v>
      </c>
    </row>
    <row r="104" customFormat="false" ht="15" hidden="false" customHeight="false" outlineLevel="0" collapsed="false">
      <c r="A104" s="112" t="s">
        <v>561</v>
      </c>
      <c r="B104" s="241" t="s">
        <v>116</v>
      </c>
      <c r="C104" s="242" t="n">
        <f aca="false">SUM(E104:EF104)</f>
        <v>1642.65485417923</v>
      </c>
      <c r="E104" s="158" t="n">
        <f aca="false">IF(E6=Assumption!$E$14,Assumption!$E$437*Assumption!$J$468,0)</f>
        <v>0</v>
      </c>
      <c r="F104" s="158" t="n">
        <f aca="false">IF(F6=Assumption!$E$14,Assumption!$E$437*Assumption!$J$468,0)</f>
        <v>0</v>
      </c>
      <c r="G104" s="158" t="n">
        <f aca="false">IF(G6=Assumption!$E$14,Assumption!$E$437*Assumption!$J$468,0)</f>
        <v>0</v>
      </c>
      <c r="H104" s="158" t="n">
        <f aca="false">IF(H6=Assumption!$E$14,Assumption!$E$437*Assumption!$J$468,0)</f>
        <v>0</v>
      </c>
      <c r="I104" s="158" t="n">
        <f aca="false">IF(I6=Assumption!$E$14,Assumption!$E$437*Assumption!$J$468,0)</f>
        <v>0</v>
      </c>
      <c r="J104" s="158" t="n">
        <f aca="false">IF(J6=Assumption!$E$14,Assumption!$E$437*Assumption!$J$468,0)</f>
        <v>0</v>
      </c>
      <c r="K104" s="158" t="n">
        <f aca="false">IF(K6=Assumption!$E$14,Assumption!$E$437*Assumption!$J$468,0)</f>
        <v>0</v>
      </c>
      <c r="L104" s="158" t="n">
        <f aca="false">IF(L6=Assumption!$E$14,Assumption!$E$437*Assumption!$J$468,0)</f>
        <v>0</v>
      </c>
      <c r="M104" s="158" t="n">
        <f aca="false">IF(M6=Assumption!$E$14,Assumption!$E$437*Assumption!$J$468,0)</f>
        <v>0</v>
      </c>
      <c r="N104" s="158" t="n">
        <f aca="false">IF(N6=Assumption!$E$14,Assumption!$E$437*Assumption!$J$468,0)</f>
        <v>0</v>
      </c>
      <c r="O104" s="158" t="n">
        <f aca="false">IF(O6=Assumption!$E$14,Assumption!$E$437*Assumption!$J$468,0)</f>
        <v>0</v>
      </c>
      <c r="P104" s="158" t="n">
        <f aca="false">IF(P6=Assumption!$E$14,Assumption!$E$437*Assumption!$J$468,0)</f>
        <v>0</v>
      </c>
      <c r="Q104" s="158" t="n">
        <f aca="false">IF(Q6=Assumption!$E$14,Assumption!$E$437*Assumption!$J$468,0)</f>
        <v>0</v>
      </c>
      <c r="R104" s="158" t="n">
        <f aca="false">IF(R6=Assumption!$E$14,Assumption!$E$437*Assumption!$J$468,0)</f>
        <v>0</v>
      </c>
      <c r="S104" s="158" t="n">
        <f aca="false">IF(S6=Assumption!$E$14,Assumption!$E$437*Assumption!$J$468,0)</f>
        <v>0</v>
      </c>
      <c r="T104" s="158" t="n">
        <f aca="false">IF(T6=Assumption!$E$14,Assumption!$E$437*Assumption!$J$468,0)</f>
        <v>0</v>
      </c>
      <c r="U104" s="158" t="n">
        <f aca="false">IF(U6=Assumption!$E$14,Assumption!$E$437*Assumption!$J$468,0)</f>
        <v>0</v>
      </c>
      <c r="V104" s="158" t="n">
        <f aca="false">IF(V6=Assumption!$E$14,Assumption!$E$437*Assumption!$J$468,0)</f>
        <v>0</v>
      </c>
      <c r="W104" s="158" t="n">
        <f aca="false">IF(W6=Assumption!$E$14,Assumption!$E$437*Assumption!$J$468,0)</f>
        <v>1642.65485417923</v>
      </c>
      <c r="X104" s="158" t="n">
        <f aca="false">IF(X6=Assumption!$E$14,Assumption!$E$437*Assumption!$J$468,0)</f>
        <v>0</v>
      </c>
      <c r="Y104" s="158" t="n">
        <f aca="false">IF(Y6=Assumption!$E$14,Assumption!$E$437*Assumption!$J$468,0)</f>
        <v>0</v>
      </c>
      <c r="Z104" s="158" t="n">
        <f aca="false">IF(Z6=Assumption!$E$14,Assumption!$E$437*Assumption!$J$468,0)</f>
        <v>0</v>
      </c>
      <c r="AA104" s="158" t="n">
        <f aca="false">IF(AA6=Assumption!$E$14,Assumption!$E$437*Assumption!$J$468,0)</f>
        <v>0</v>
      </c>
      <c r="AB104" s="158" t="n">
        <f aca="false">IF(AB6=Assumption!$E$14,Assumption!$E$437*Assumption!$J$468,0)</f>
        <v>0</v>
      </c>
      <c r="AC104" s="158" t="n">
        <f aca="false">IF(AC6=Assumption!$E$14,Assumption!$E$437*Assumption!$J$468,0)</f>
        <v>0</v>
      </c>
      <c r="AD104" s="158" t="n">
        <f aca="false">IF(AD6=Assumption!$E$14,Assumption!$E$437*Assumption!$J$468,0)</f>
        <v>0</v>
      </c>
      <c r="AE104" s="158" t="n">
        <f aca="false">IF(AE6=Assumption!$E$14,Assumption!$E$437*Assumption!$J$468,0)</f>
        <v>0</v>
      </c>
      <c r="AF104" s="158" t="n">
        <f aca="false">IF(AF6=Assumption!$E$14,Assumption!$E$437*Assumption!$J$468,0)</f>
        <v>0</v>
      </c>
      <c r="AG104" s="158" t="n">
        <f aca="false">IF(AG6=Assumption!$E$14,Assumption!$E$437*Assumption!$J$468,0)</f>
        <v>0</v>
      </c>
      <c r="AH104" s="158" t="n">
        <f aca="false">IF(AH6=Assumption!$E$14,Assumption!$E$437*Assumption!$J$468,0)</f>
        <v>0</v>
      </c>
      <c r="AI104" s="158" t="n">
        <f aca="false">IF(AI6=Assumption!$E$14,Assumption!$E$437*Assumption!$J$468,0)</f>
        <v>0</v>
      </c>
      <c r="AJ104" s="158" t="n">
        <f aca="false">IF(AJ6=Assumption!$E$14,Assumption!$E$437*Assumption!$J$468,0)</f>
        <v>0</v>
      </c>
      <c r="AK104" s="158" t="n">
        <f aca="false">IF(AK6=Assumption!$E$14,Assumption!$E$437*Assumption!$J$468,0)</f>
        <v>0</v>
      </c>
      <c r="AL104" s="158" t="n">
        <f aca="false">IF(AL6=Assumption!$E$14,Assumption!$E$437*Assumption!$J$468,0)</f>
        <v>0</v>
      </c>
      <c r="AM104" s="158" t="n">
        <f aca="false">IF(AM6=Assumption!$E$14,Assumption!$E$437*Assumption!$J$468,0)</f>
        <v>0</v>
      </c>
      <c r="AN104" s="158" t="n">
        <f aca="false">IF(AN6=Assumption!$E$14,Assumption!$E$437*Assumption!$J$468,0)</f>
        <v>0</v>
      </c>
      <c r="AO104" s="158" t="n">
        <f aca="false">IF(AO6=Assumption!$E$14,Assumption!$E$437*Assumption!$J$468,0)</f>
        <v>0</v>
      </c>
      <c r="AP104" s="158" t="n">
        <f aca="false">IF(AP6=Assumption!$E$14,Assumption!$E$437*Assumption!$J$468,0)</f>
        <v>0</v>
      </c>
      <c r="AQ104" s="158" t="n">
        <f aca="false">IF(AQ6=Assumption!$E$14,Assumption!$E$437*Assumption!$J$468,0)</f>
        <v>0</v>
      </c>
      <c r="AR104" s="158" t="n">
        <f aca="false">IF(AR6=Assumption!$E$14,Assumption!$E$437*Assumption!$J$468,0)</f>
        <v>0</v>
      </c>
      <c r="AS104" s="158" t="n">
        <f aca="false">IF(AS6=Assumption!$E$14,Assumption!$E$437*Assumption!$J$468,0)</f>
        <v>0</v>
      </c>
      <c r="AT104" s="158" t="n">
        <f aca="false">IF(AT6=Assumption!$E$14,Assumption!$E$437*Assumption!$J$468,0)</f>
        <v>0</v>
      </c>
      <c r="AU104" s="158" t="n">
        <f aca="false">IF(AU6=Assumption!$E$14,Assumption!$E$437*Assumption!$J$468,0)</f>
        <v>0</v>
      </c>
      <c r="AV104" s="158" t="n">
        <f aca="false">IF(AV6=Assumption!$E$14,Assumption!$E$437*Assumption!$J$468,0)</f>
        <v>0</v>
      </c>
      <c r="AW104" s="158" t="n">
        <f aca="false">IF(AW6=Assumption!$E$14,Assumption!$E$437*Assumption!$J$468,0)</f>
        <v>0</v>
      </c>
      <c r="AX104" s="158" t="n">
        <f aca="false">IF(AX6=Assumption!$E$14,Assumption!$E$437*Assumption!$J$468,0)</f>
        <v>0</v>
      </c>
      <c r="AY104" s="158" t="n">
        <f aca="false">IF(AY6=Assumption!$E$14,Assumption!$E$437*Assumption!$J$468,0)</f>
        <v>0</v>
      </c>
      <c r="AZ104" s="158" t="n">
        <f aca="false">IF(AZ6=Assumption!$E$14,Assumption!$E$437*Assumption!$J$468,0)</f>
        <v>0</v>
      </c>
      <c r="BA104" s="158" t="n">
        <f aca="false">IF(BA6=Assumption!$E$14,Assumption!$E$437*Assumption!$J$468,0)</f>
        <v>0</v>
      </c>
      <c r="BB104" s="158" t="n">
        <f aca="false">IF(BB6=Assumption!$E$14,Assumption!$E$437*Assumption!$J$468,0)</f>
        <v>0</v>
      </c>
      <c r="BC104" s="158" t="n">
        <f aca="false">IF(BC6=Assumption!$E$14,Assumption!$E$437*Assumption!$J$468,0)</f>
        <v>0</v>
      </c>
      <c r="BD104" s="158" t="n">
        <f aca="false">IF(BD6=Assumption!$E$14,Assumption!$E$437*Assumption!$J$468,0)</f>
        <v>0</v>
      </c>
      <c r="BE104" s="158" t="n">
        <f aca="false">IF(BE6=Assumption!$E$14,Assumption!$E$437*Assumption!$J$468,0)</f>
        <v>0</v>
      </c>
      <c r="BF104" s="158" t="n">
        <f aca="false">IF(BF6=Assumption!$E$14,Assumption!$E$437*Assumption!$J$468,0)</f>
        <v>0</v>
      </c>
      <c r="BG104" s="158" t="n">
        <f aca="false">IF(BG6=Assumption!$E$14,Assumption!$E$437*Assumption!$J$468,0)</f>
        <v>0</v>
      </c>
      <c r="BH104" s="158" t="n">
        <f aca="false">IF(BH6=Assumption!$E$14,Assumption!$E$437*Assumption!$J$468,0)</f>
        <v>0</v>
      </c>
      <c r="BI104" s="158" t="n">
        <f aca="false">IF(BI6=Assumption!$E$14,Assumption!$E$437*Assumption!$J$468,0)</f>
        <v>0</v>
      </c>
      <c r="BJ104" s="158" t="n">
        <f aca="false">IF(BJ6=Assumption!$E$14,Assumption!$E$437*Assumption!$J$468,0)</f>
        <v>0</v>
      </c>
      <c r="BK104" s="158" t="n">
        <f aca="false">IF(BK6=Assumption!$E$14,Assumption!$E$437*Assumption!$J$468,0)</f>
        <v>0</v>
      </c>
      <c r="BL104" s="158" t="n">
        <f aca="false">IF(BL6=Assumption!$E$14,Assumption!$E$437*Assumption!$J$468,0)</f>
        <v>0</v>
      </c>
      <c r="BM104" s="158" t="n">
        <f aca="false">IF(BM6=Assumption!$E$14,Assumption!$E$437*Assumption!$J$468,0)</f>
        <v>0</v>
      </c>
      <c r="BN104" s="158" t="n">
        <f aca="false">IF(BN6=Assumption!$E$14,Assumption!$E$437*Assumption!$J$468,0)</f>
        <v>0</v>
      </c>
      <c r="BO104" s="158" t="n">
        <f aca="false">IF(BO6=Assumption!$E$14,Assumption!$E$437*Assumption!$J$468,0)</f>
        <v>0</v>
      </c>
      <c r="BP104" s="158" t="n">
        <f aca="false">IF(BP6=Assumption!$E$14,Assumption!$E$437*Assumption!$J$468,0)</f>
        <v>0</v>
      </c>
      <c r="BQ104" s="158" t="n">
        <f aca="false">IF(BQ6=Assumption!$E$14,Assumption!$E$437*Assumption!$J$468,0)</f>
        <v>0</v>
      </c>
      <c r="BR104" s="158" t="n">
        <f aca="false">IF(BR6=Assumption!$E$14,Assumption!$E$437*Assumption!$J$468,0)</f>
        <v>0</v>
      </c>
      <c r="BS104" s="158" t="n">
        <f aca="false">IF(BS6=Assumption!$E$14,Assumption!$E$437*Assumption!$J$468,0)</f>
        <v>0</v>
      </c>
      <c r="BT104" s="158" t="n">
        <f aca="false">IF(BT6=Assumption!$E$14,Assumption!$E$437*Assumption!$J$468,0)</f>
        <v>0</v>
      </c>
      <c r="BU104" s="158" t="n">
        <f aca="false">IF(BU6=Assumption!$E$14,Assumption!$E$437*Assumption!$J$468,0)</f>
        <v>0</v>
      </c>
      <c r="BV104" s="158" t="n">
        <f aca="false">IF(BV6=Assumption!$E$14,Assumption!$E$437*Assumption!$J$468,0)</f>
        <v>0</v>
      </c>
      <c r="BW104" s="158" t="n">
        <f aca="false">IF(BW6=Assumption!$E$14,Assumption!$E$437*Assumption!$J$468,0)</f>
        <v>0</v>
      </c>
      <c r="BX104" s="158" t="n">
        <f aca="false">IF(BX6=Assumption!$E$14,Assumption!$E$437*Assumption!$J$468,0)</f>
        <v>0</v>
      </c>
      <c r="BY104" s="158" t="n">
        <f aca="false">IF(BY6=Assumption!$E$14,Assumption!$E$437*Assumption!$J$468,0)</f>
        <v>0</v>
      </c>
      <c r="BZ104" s="158" t="n">
        <f aca="false">IF(BZ6=Assumption!$E$14,Assumption!$E$437*Assumption!$J$468,0)</f>
        <v>0</v>
      </c>
      <c r="CA104" s="158" t="n">
        <f aca="false">IF(CA6=Assumption!$E$14,Assumption!$E$437*Assumption!$J$468,0)</f>
        <v>0</v>
      </c>
      <c r="CB104" s="158" t="n">
        <f aca="false">IF(CB6=Assumption!$E$14,Assumption!$E$437*Assumption!$J$468,0)</f>
        <v>0</v>
      </c>
      <c r="CC104" s="158" t="n">
        <f aca="false">IF(CC6=Assumption!$E$14,Assumption!$E$437*Assumption!$J$468,0)</f>
        <v>0</v>
      </c>
      <c r="CD104" s="158" t="n">
        <f aca="false">IF(CD6=Assumption!$E$14,Assumption!$E$437*Assumption!$J$468,0)</f>
        <v>0</v>
      </c>
      <c r="CE104" s="158" t="n">
        <f aca="false">IF(CE6=Assumption!$E$14,Assumption!$E$437*Assumption!$J$468,0)</f>
        <v>0</v>
      </c>
      <c r="CF104" s="158" t="n">
        <f aca="false">IF(CF6=Assumption!$E$14,Assumption!$E$437*Assumption!$J$468,0)</f>
        <v>0</v>
      </c>
      <c r="CG104" s="158" t="n">
        <f aca="false">IF(CG6=Assumption!$E$14,Assumption!$E$437*Assumption!$J$468,0)</f>
        <v>0</v>
      </c>
      <c r="CH104" s="158" t="n">
        <f aca="false">IF(CH6=Assumption!$E$14,Assumption!$E$437*Assumption!$J$468,0)</f>
        <v>0</v>
      </c>
      <c r="CI104" s="158" t="n">
        <f aca="false">IF(CI6=Assumption!$E$14,Assumption!$E$437*Assumption!$J$468,0)</f>
        <v>0</v>
      </c>
      <c r="CJ104" s="158" t="n">
        <f aca="false">IF(CJ6=Assumption!$E$14,Assumption!$E$437*Assumption!$J$468,0)</f>
        <v>0</v>
      </c>
      <c r="CK104" s="158" t="n">
        <f aca="false">IF(CK6=Assumption!$E$14,Assumption!$E$437*Assumption!$J$468,0)</f>
        <v>0</v>
      </c>
      <c r="CL104" s="158" t="n">
        <f aca="false">IF(CL6=Assumption!$E$14,Assumption!$E$437*Assumption!$J$468,0)</f>
        <v>0</v>
      </c>
      <c r="CM104" s="158" t="n">
        <f aca="false">IF(CM6=Assumption!$E$14,Assumption!$E$437*Assumption!$J$468,0)</f>
        <v>0</v>
      </c>
      <c r="CN104" s="158" t="n">
        <f aca="false">IF(CN6=Assumption!$E$14,Assumption!$E$437*Assumption!$J$468,0)</f>
        <v>0</v>
      </c>
      <c r="CO104" s="158" t="n">
        <f aca="false">IF(CO6=Assumption!$E$14,Assumption!$E$437*Assumption!$J$468,0)</f>
        <v>0</v>
      </c>
      <c r="CP104" s="158" t="n">
        <f aca="false">IF(CP6=Assumption!$E$14,Assumption!$E$437*Assumption!$J$468,0)</f>
        <v>0</v>
      </c>
      <c r="CQ104" s="158" t="n">
        <f aca="false">IF(CQ6=Assumption!$E$14,Assumption!$E$437*Assumption!$J$468,0)</f>
        <v>0</v>
      </c>
      <c r="CR104" s="158" t="n">
        <f aca="false">IF(CR6=Assumption!$E$14,Assumption!$E$437*Assumption!$J$468,0)</f>
        <v>0</v>
      </c>
      <c r="CS104" s="158" t="n">
        <f aca="false">IF(CS6=Assumption!$E$14,Assumption!$E$437*Assumption!$J$468,0)</f>
        <v>0</v>
      </c>
      <c r="CT104" s="158" t="n">
        <f aca="false">IF(CT6=Assumption!$E$14,Assumption!$E$437*Assumption!$J$468,0)</f>
        <v>0</v>
      </c>
      <c r="CU104" s="158" t="n">
        <f aca="false">IF(CU6=Assumption!$E$14,Assumption!$E$437*Assumption!$J$468,0)</f>
        <v>0</v>
      </c>
      <c r="CV104" s="158" t="n">
        <f aca="false">IF(CV6=Assumption!$E$14,Assumption!$E$437*Assumption!$J$468,0)</f>
        <v>0</v>
      </c>
      <c r="CW104" s="158" t="n">
        <f aca="false">IF(CW6=Assumption!$E$14,Assumption!$E$437*Assumption!$J$468,0)</f>
        <v>0</v>
      </c>
      <c r="CX104" s="158" t="n">
        <f aca="false">IF(CX6=Assumption!$E$14,Assumption!$E$437*Assumption!$J$468,0)</f>
        <v>0</v>
      </c>
      <c r="CY104" s="158" t="n">
        <f aca="false">IF(CY6=Assumption!$E$14,Assumption!$E$437*Assumption!$J$468,0)</f>
        <v>0</v>
      </c>
      <c r="CZ104" s="158" t="n">
        <f aca="false">IF(CZ6=Assumption!$E$14,Assumption!$E$437*Assumption!$J$468,0)</f>
        <v>0</v>
      </c>
      <c r="DA104" s="158" t="n">
        <f aca="false">IF(DA6=Assumption!$E$14,Assumption!$E$437*Assumption!$J$468,0)</f>
        <v>0</v>
      </c>
      <c r="DB104" s="158" t="n">
        <f aca="false">IF(DB6=Assumption!$E$14,Assumption!$E$437*Assumption!$J$468,0)</f>
        <v>0</v>
      </c>
      <c r="DC104" s="158" t="n">
        <f aca="false">IF(DC6=Assumption!$E$14,Assumption!$E$437*Assumption!$J$468,0)</f>
        <v>0</v>
      </c>
      <c r="DD104" s="158" t="n">
        <f aca="false">IF(DD6=Assumption!$E$14,Assumption!$E$437*Assumption!$J$468,0)</f>
        <v>0</v>
      </c>
      <c r="DE104" s="158" t="n">
        <f aca="false">IF(DE6=Assumption!$E$14,Assumption!$E$437*Assumption!$J$468,0)</f>
        <v>0</v>
      </c>
      <c r="DF104" s="158" t="n">
        <f aca="false">IF(DF6=Assumption!$E$14,Assumption!$E$437*Assumption!$J$468,0)</f>
        <v>0</v>
      </c>
      <c r="DG104" s="158" t="n">
        <f aca="false">IF(DG6=Assumption!$E$14,Assumption!$E$437*Assumption!$J$468,0)</f>
        <v>0</v>
      </c>
      <c r="DH104" s="158" t="n">
        <f aca="false">IF(DH6=Assumption!$E$14,Assumption!$E$437*Assumption!$J$468,0)</f>
        <v>0</v>
      </c>
      <c r="DI104" s="158" t="n">
        <f aca="false">IF(DI6=Assumption!$E$14,Assumption!$E$437*Assumption!$J$468,0)</f>
        <v>0</v>
      </c>
      <c r="DJ104" s="158" t="n">
        <f aca="false">IF(DJ6=Assumption!$E$14,Assumption!$E$437*Assumption!$J$468,0)</f>
        <v>0</v>
      </c>
      <c r="DK104" s="158" t="n">
        <f aca="false">IF(DK6=Assumption!$E$14,Assumption!$E$437*Assumption!$J$468,0)</f>
        <v>0</v>
      </c>
      <c r="DL104" s="158" t="n">
        <f aca="false">IF(DL6=Assumption!$E$14,Assumption!$E$437*Assumption!$J$468,0)</f>
        <v>0</v>
      </c>
      <c r="DM104" s="158" t="n">
        <f aca="false">IF(DM6=Assumption!$E$14,Assumption!$E$437*Assumption!$J$468,0)</f>
        <v>0</v>
      </c>
      <c r="DN104" s="158" t="n">
        <f aca="false">IF(DN6=Assumption!$E$14,Assumption!$E$437*Assumption!$J$468,0)</f>
        <v>0</v>
      </c>
      <c r="DO104" s="158" t="n">
        <f aca="false">IF(DO6=Assumption!$E$14,Assumption!$E$437*Assumption!$J$468,0)</f>
        <v>0</v>
      </c>
      <c r="DP104" s="158" t="n">
        <f aca="false">IF(DP6=Assumption!$E$14,Assumption!$E$437*Assumption!$J$468,0)</f>
        <v>0</v>
      </c>
      <c r="DQ104" s="158" t="n">
        <f aca="false">IF(DQ6=Assumption!$E$14,Assumption!$E$437*Assumption!$J$468,0)</f>
        <v>0</v>
      </c>
      <c r="DR104" s="158" t="n">
        <f aca="false">IF(DR6=Assumption!$E$14,Assumption!$E$437*Assumption!$J$468,0)</f>
        <v>0</v>
      </c>
      <c r="DS104" s="158" t="n">
        <f aca="false">IF(DS6=Assumption!$E$14,Assumption!$E$437*Assumption!$J$468,0)</f>
        <v>0</v>
      </c>
      <c r="DT104" s="158" t="n">
        <f aca="false">IF(DT6=Assumption!$E$14,Assumption!$E$437*Assumption!$J$468,0)</f>
        <v>0</v>
      </c>
      <c r="DU104" s="158" t="n">
        <f aca="false">IF(DU6=Assumption!$E$14,Assumption!$E$437*Assumption!$J$468,0)</f>
        <v>0</v>
      </c>
      <c r="DV104" s="158" t="n">
        <f aca="false">IF(DV6=Assumption!$E$14,Assumption!$E$437*Assumption!$J$468,0)</f>
        <v>0</v>
      </c>
      <c r="DW104" s="158" t="n">
        <f aca="false">IF(DW6=Assumption!$E$14,Assumption!$E$437*Assumption!$J$468,0)</f>
        <v>0</v>
      </c>
      <c r="DX104" s="158" t="n">
        <f aca="false">IF(DX6=Assumption!$E$14,Assumption!$E$437*Assumption!$J$468,0)</f>
        <v>0</v>
      </c>
      <c r="DY104" s="158" t="n">
        <f aca="false">IF(DY6=Assumption!$E$14,Assumption!$E$437*Assumption!$J$468,0)</f>
        <v>0</v>
      </c>
      <c r="DZ104" s="158" t="n">
        <f aca="false">IF(DZ6=Assumption!$E$14,Assumption!$E$437*Assumption!$J$468,0)</f>
        <v>0</v>
      </c>
      <c r="EA104" s="158" t="n">
        <f aca="false">IF(EA6=Assumption!$E$14,Assumption!$E$437*Assumption!$J$468,0)</f>
        <v>0</v>
      </c>
      <c r="EB104" s="158" t="n">
        <f aca="false">IF(EB6=Assumption!$E$14,Assumption!$E$437*Assumption!$J$468,0)</f>
        <v>0</v>
      </c>
      <c r="EC104" s="158" t="n">
        <f aca="false">IF(EC6=Assumption!$E$14,Assumption!$E$437*Assumption!$J$468,0)</f>
        <v>0</v>
      </c>
      <c r="ED104" s="158" t="n">
        <f aca="false">IF(ED6=Assumption!$E$14,Assumption!$E$437*Assumption!$J$468,0)</f>
        <v>0</v>
      </c>
      <c r="EE104" s="158" t="n">
        <f aca="false">IF(EE6=Assumption!$E$14,Assumption!$E$437*Assumption!$J$468,0)</f>
        <v>0</v>
      </c>
      <c r="EF104" s="158" t="n">
        <f aca="false">IF(EF6=Assumption!$E$14,Assumption!$E$437*Assumption!$J$468,0)</f>
        <v>0</v>
      </c>
    </row>
    <row r="105" customFormat="false" ht="15" hidden="false" customHeight="false" outlineLevel="0" collapsed="false">
      <c r="A105" s="112" t="s">
        <v>562</v>
      </c>
      <c r="B105" s="241" t="s">
        <v>116</v>
      </c>
      <c r="C105" s="242" t="n">
        <f aca="false">SUM(E105:EF105)</f>
        <v>1641.50534063537</v>
      </c>
      <c r="E105" s="158" t="n">
        <f aca="false">IF(E6=Assumption!$E$14,Assumption!$E$438*Assumption!$J$469,0)</f>
        <v>0</v>
      </c>
      <c r="F105" s="158" t="n">
        <f aca="false">IF(F6=Assumption!$E$14,Assumption!$E$438*Assumption!$J$469,0)</f>
        <v>0</v>
      </c>
      <c r="G105" s="158" t="n">
        <f aca="false">IF(G6=Assumption!$E$14,Assumption!$E$438*Assumption!$J$469,0)</f>
        <v>0</v>
      </c>
      <c r="H105" s="158" t="n">
        <f aca="false">IF(H6=Assumption!$E$14,Assumption!$E$438*Assumption!$J$469,0)</f>
        <v>0</v>
      </c>
      <c r="I105" s="158" t="n">
        <f aca="false">IF(I6=Assumption!$E$14,Assumption!$E$438*Assumption!$J$469,0)</f>
        <v>0</v>
      </c>
      <c r="J105" s="158" t="n">
        <f aca="false">IF(J6=Assumption!$E$14,Assumption!$E$438*Assumption!$J$469,0)</f>
        <v>0</v>
      </c>
      <c r="K105" s="158" t="n">
        <f aca="false">IF(K6=Assumption!$E$14,Assumption!$E$438*Assumption!$J$469,0)</f>
        <v>0</v>
      </c>
      <c r="L105" s="158" t="n">
        <f aca="false">IF(L6=Assumption!$E$14,Assumption!$E$438*Assumption!$J$469,0)</f>
        <v>0</v>
      </c>
      <c r="M105" s="158" t="n">
        <f aca="false">IF(M6=Assumption!$E$14,Assumption!$E$438*Assumption!$J$469,0)</f>
        <v>0</v>
      </c>
      <c r="N105" s="158" t="n">
        <f aca="false">IF(N6=Assumption!$E$14,Assumption!$E$438*Assumption!$J$469,0)</f>
        <v>0</v>
      </c>
      <c r="O105" s="158" t="n">
        <f aca="false">IF(O6=Assumption!$E$14,Assumption!$E$438*Assumption!$J$469,0)</f>
        <v>0</v>
      </c>
      <c r="P105" s="158" t="n">
        <f aca="false">IF(P6=Assumption!$E$14,Assumption!$E$438*Assumption!$J$469,0)</f>
        <v>0</v>
      </c>
      <c r="Q105" s="158" t="n">
        <f aca="false">IF(Q6=Assumption!$E$14,Assumption!$E$438*Assumption!$J$469,0)</f>
        <v>0</v>
      </c>
      <c r="R105" s="158" t="n">
        <f aca="false">IF(R6=Assumption!$E$14,Assumption!$E$438*Assumption!$J$469,0)</f>
        <v>0</v>
      </c>
      <c r="S105" s="158" t="n">
        <f aca="false">IF(S6=Assumption!$E$14,Assumption!$E$438*Assumption!$J$469,0)</f>
        <v>0</v>
      </c>
      <c r="T105" s="158" t="n">
        <f aca="false">IF(T6=Assumption!$E$14,Assumption!$E$438*Assumption!$J$469,0)</f>
        <v>0</v>
      </c>
      <c r="U105" s="158" t="n">
        <f aca="false">IF(U6=Assumption!$E$14,Assumption!$E$438*Assumption!$J$469,0)</f>
        <v>0</v>
      </c>
      <c r="V105" s="158" t="n">
        <f aca="false">IF(V6=Assumption!$E$14,Assumption!$E$438*Assumption!$J$469,0)</f>
        <v>0</v>
      </c>
      <c r="W105" s="158" t="n">
        <f aca="false">IF(W6=Assumption!$E$14,Assumption!$E$438*Assumption!$J$469,0)</f>
        <v>1641.50534063537</v>
      </c>
      <c r="X105" s="158" t="n">
        <f aca="false">IF(X6=Assumption!$E$14,Assumption!$E$438*Assumption!$J$469,0)</f>
        <v>0</v>
      </c>
      <c r="Y105" s="158" t="n">
        <f aca="false">IF(Y6=Assumption!$E$14,Assumption!$E$438*Assumption!$J$469,0)</f>
        <v>0</v>
      </c>
      <c r="Z105" s="158" t="n">
        <f aca="false">IF(Z6=Assumption!$E$14,Assumption!$E$438*Assumption!$J$469,0)</f>
        <v>0</v>
      </c>
      <c r="AA105" s="158" t="n">
        <f aca="false">IF(AA6=Assumption!$E$14,Assumption!$E$438*Assumption!$J$469,0)</f>
        <v>0</v>
      </c>
      <c r="AB105" s="158" t="n">
        <f aca="false">IF(AB6=Assumption!$E$14,Assumption!$E$438*Assumption!$J$469,0)</f>
        <v>0</v>
      </c>
      <c r="AC105" s="158" t="n">
        <f aca="false">IF(AC6=Assumption!$E$14,Assumption!$E$438*Assumption!$J$469,0)</f>
        <v>0</v>
      </c>
      <c r="AD105" s="158" t="n">
        <f aca="false">IF(AD6=Assumption!$E$14,Assumption!$E$438*Assumption!$J$469,0)</f>
        <v>0</v>
      </c>
      <c r="AE105" s="158" t="n">
        <f aca="false">IF(AE6=Assumption!$E$14,Assumption!$E$438*Assumption!$J$469,0)</f>
        <v>0</v>
      </c>
      <c r="AF105" s="158" t="n">
        <f aca="false">IF(AF6=Assumption!$E$14,Assumption!$E$438*Assumption!$J$469,0)</f>
        <v>0</v>
      </c>
      <c r="AG105" s="158" t="n">
        <f aca="false">IF(AG6=Assumption!$E$14,Assumption!$E$438*Assumption!$J$469,0)</f>
        <v>0</v>
      </c>
      <c r="AH105" s="158" t="n">
        <f aca="false">IF(AH6=Assumption!$E$14,Assumption!$E$438*Assumption!$J$469,0)</f>
        <v>0</v>
      </c>
      <c r="AI105" s="158" t="n">
        <f aca="false">IF(AI6=Assumption!$E$14,Assumption!$E$438*Assumption!$J$469,0)</f>
        <v>0</v>
      </c>
      <c r="AJ105" s="158" t="n">
        <f aca="false">IF(AJ6=Assumption!$E$14,Assumption!$E$438*Assumption!$J$469,0)</f>
        <v>0</v>
      </c>
      <c r="AK105" s="158" t="n">
        <f aca="false">IF(AK6=Assumption!$E$14,Assumption!$E$438*Assumption!$J$469,0)</f>
        <v>0</v>
      </c>
      <c r="AL105" s="158" t="n">
        <f aca="false">IF(AL6=Assumption!$E$14,Assumption!$E$438*Assumption!$J$469,0)</f>
        <v>0</v>
      </c>
      <c r="AM105" s="158" t="n">
        <f aca="false">IF(AM6=Assumption!$E$14,Assumption!$E$438*Assumption!$J$469,0)</f>
        <v>0</v>
      </c>
      <c r="AN105" s="158" t="n">
        <f aca="false">IF(AN6=Assumption!$E$14,Assumption!$E$438*Assumption!$J$469,0)</f>
        <v>0</v>
      </c>
      <c r="AO105" s="158" t="n">
        <f aca="false">IF(AO6=Assumption!$E$14,Assumption!$E$438*Assumption!$J$469,0)</f>
        <v>0</v>
      </c>
      <c r="AP105" s="158" t="n">
        <f aca="false">IF(AP6=Assumption!$E$14,Assumption!$E$438*Assumption!$J$469,0)</f>
        <v>0</v>
      </c>
      <c r="AQ105" s="158" t="n">
        <f aca="false">IF(AQ6=Assumption!$E$14,Assumption!$E$438*Assumption!$J$469,0)</f>
        <v>0</v>
      </c>
      <c r="AR105" s="158" t="n">
        <f aca="false">IF(AR6=Assumption!$E$14,Assumption!$E$438*Assumption!$J$469,0)</f>
        <v>0</v>
      </c>
      <c r="AS105" s="158" t="n">
        <f aca="false">IF(AS6=Assumption!$E$14,Assumption!$E$438*Assumption!$J$469,0)</f>
        <v>0</v>
      </c>
      <c r="AT105" s="158" t="n">
        <f aca="false">IF(AT6=Assumption!$E$14,Assumption!$E$438*Assumption!$J$469,0)</f>
        <v>0</v>
      </c>
      <c r="AU105" s="158" t="n">
        <f aca="false">IF(AU6=Assumption!$E$14,Assumption!$E$438*Assumption!$J$469,0)</f>
        <v>0</v>
      </c>
      <c r="AV105" s="158" t="n">
        <f aca="false">IF(AV6=Assumption!$E$14,Assumption!$E$438*Assumption!$J$469,0)</f>
        <v>0</v>
      </c>
      <c r="AW105" s="158" t="n">
        <f aca="false">IF(AW6=Assumption!$E$14,Assumption!$E$438*Assumption!$J$469,0)</f>
        <v>0</v>
      </c>
      <c r="AX105" s="158" t="n">
        <f aca="false">IF(AX6=Assumption!$E$14,Assumption!$E$438*Assumption!$J$469,0)</f>
        <v>0</v>
      </c>
      <c r="AY105" s="158" t="n">
        <f aca="false">IF(AY6=Assumption!$E$14,Assumption!$E$438*Assumption!$J$469,0)</f>
        <v>0</v>
      </c>
      <c r="AZ105" s="158" t="n">
        <f aca="false">IF(AZ6=Assumption!$E$14,Assumption!$E$438*Assumption!$J$469,0)</f>
        <v>0</v>
      </c>
      <c r="BA105" s="158" t="n">
        <f aca="false">IF(BA6=Assumption!$E$14,Assumption!$E$438*Assumption!$J$469,0)</f>
        <v>0</v>
      </c>
      <c r="BB105" s="158" t="n">
        <f aca="false">IF(BB6=Assumption!$E$14,Assumption!$E$438*Assumption!$J$469,0)</f>
        <v>0</v>
      </c>
      <c r="BC105" s="158" t="n">
        <f aca="false">IF(BC6=Assumption!$E$14,Assumption!$E$438*Assumption!$J$469,0)</f>
        <v>0</v>
      </c>
      <c r="BD105" s="158" t="n">
        <f aca="false">IF(BD6=Assumption!$E$14,Assumption!$E$438*Assumption!$J$469,0)</f>
        <v>0</v>
      </c>
      <c r="BE105" s="158" t="n">
        <f aca="false">IF(BE6=Assumption!$E$14,Assumption!$E$438*Assumption!$J$469,0)</f>
        <v>0</v>
      </c>
      <c r="BF105" s="158" t="n">
        <f aca="false">IF(BF6=Assumption!$E$14,Assumption!$E$438*Assumption!$J$469,0)</f>
        <v>0</v>
      </c>
      <c r="BG105" s="158" t="n">
        <f aca="false">IF(BG6=Assumption!$E$14,Assumption!$E$438*Assumption!$J$469,0)</f>
        <v>0</v>
      </c>
      <c r="BH105" s="158" t="n">
        <f aca="false">IF(BH6=Assumption!$E$14,Assumption!$E$438*Assumption!$J$469,0)</f>
        <v>0</v>
      </c>
      <c r="BI105" s="158" t="n">
        <f aca="false">IF(BI6=Assumption!$E$14,Assumption!$E$438*Assumption!$J$469,0)</f>
        <v>0</v>
      </c>
      <c r="BJ105" s="158" t="n">
        <f aca="false">IF(BJ6=Assumption!$E$14,Assumption!$E$438*Assumption!$J$469,0)</f>
        <v>0</v>
      </c>
      <c r="BK105" s="158" t="n">
        <f aca="false">IF(BK6=Assumption!$E$14,Assumption!$E$438*Assumption!$J$469,0)</f>
        <v>0</v>
      </c>
      <c r="BL105" s="158" t="n">
        <f aca="false">IF(BL6=Assumption!$E$14,Assumption!$E$438*Assumption!$J$469,0)</f>
        <v>0</v>
      </c>
      <c r="BM105" s="158" t="n">
        <f aca="false">IF(BM6=Assumption!$E$14,Assumption!$E$438*Assumption!$J$469,0)</f>
        <v>0</v>
      </c>
      <c r="BN105" s="158" t="n">
        <f aca="false">IF(BN6=Assumption!$E$14,Assumption!$E$438*Assumption!$J$469,0)</f>
        <v>0</v>
      </c>
      <c r="BO105" s="158" t="n">
        <f aca="false">IF(BO6=Assumption!$E$14,Assumption!$E$438*Assumption!$J$469,0)</f>
        <v>0</v>
      </c>
      <c r="BP105" s="158" t="n">
        <f aca="false">IF(BP6=Assumption!$E$14,Assumption!$E$438*Assumption!$J$469,0)</f>
        <v>0</v>
      </c>
      <c r="BQ105" s="158" t="n">
        <f aca="false">IF(BQ6=Assumption!$E$14,Assumption!$E$438*Assumption!$J$469,0)</f>
        <v>0</v>
      </c>
      <c r="BR105" s="158" t="n">
        <f aca="false">IF(BR6=Assumption!$E$14,Assumption!$E$438*Assumption!$J$469,0)</f>
        <v>0</v>
      </c>
      <c r="BS105" s="158" t="n">
        <f aca="false">IF(BS6=Assumption!$E$14,Assumption!$E$438*Assumption!$J$469,0)</f>
        <v>0</v>
      </c>
      <c r="BT105" s="158" t="n">
        <f aca="false">IF(BT6=Assumption!$E$14,Assumption!$E$438*Assumption!$J$469,0)</f>
        <v>0</v>
      </c>
      <c r="BU105" s="158" t="n">
        <f aca="false">IF(BU6=Assumption!$E$14,Assumption!$E$438*Assumption!$J$469,0)</f>
        <v>0</v>
      </c>
      <c r="BV105" s="158" t="n">
        <f aca="false">IF(BV6=Assumption!$E$14,Assumption!$E$438*Assumption!$J$469,0)</f>
        <v>0</v>
      </c>
      <c r="BW105" s="158" t="n">
        <f aca="false">IF(BW6=Assumption!$E$14,Assumption!$E$438*Assumption!$J$469,0)</f>
        <v>0</v>
      </c>
      <c r="BX105" s="158" t="n">
        <f aca="false">IF(BX6=Assumption!$E$14,Assumption!$E$438*Assumption!$J$469,0)</f>
        <v>0</v>
      </c>
      <c r="BY105" s="158" t="n">
        <f aca="false">IF(BY6=Assumption!$E$14,Assumption!$E$438*Assumption!$J$469,0)</f>
        <v>0</v>
      </c>
      <c r="BZ105" s="158" t="n">
        <f aca="false">IF(BZ6=Assumption!$E$14,Assumption!$E$438*Assumption!$J$469,0)</f>
        <v>0</v>
      </c>
      <c r="CA105" s="158" t="n">
        <f aca="false">IF(CA6=Assumption!$E$14,Assumption!$E$438*Assumption!$J$469,0)</f>
        <v>0</v>
      </c>
      <c r="CB105" s="158" t="n">
        <f aca="false">IF(CB6=Assumption!$E$14,Assumption!$E$438*Assumption!$J$469,0)</f>
        <v>0</v>
      </c>
      <c r="CC105" s="158" t="n">
        <f aca="false">IF(CC6=Assumption!$E$14,Assumption!$E$438*Assumption!$J$469,0)</f>
        <v>0</v>
      </c>
      <c r="CD105" s="158" t="n">
        <f aca="false">IF(CD6=Assumption!$E$14,Assumption!$E$438*Assumption!$J$469,0)</f>
        <v>0</v>
      </c>
      <c r="CE105" s="158" t="n">
        <f aca="false">IF(CE6=Assumption!$E$14,Assumption!$E$438*Assumption!$J$469,0)</f>
        <v>0</v>
      </c>
      <c r="CF105" s="158" t="n">
        <f aca="false">IF(CF6=Assumption!$E$14,Assumption!$E$438*Assumption!$J$469,0)</f>
        <v>0</v>
      </c>
      <c r="CG105" s="158" t="n">
        <f aca="false">IF(CG6=Assumption!$E$14,Assumption!$E$438*Assumption!$J$469,0)</f>
        <v>0</v>
      </c>
      <c r="CH105" s="158" t="n">
        <f aca="false">IF(CH6=Assumption!$E$14,Assumption!$E$438*Assumption!$J$469,0)</f>
        <v>0</v>
      </c>
      <c r="CI105" s="158" t="n">
        <f aca="false">IF(CI6=Assumption!$E$14,Assumption!$E$438*Assumption!$J$469,0)</f>
        <v>0</v>
      </c>
      <c r="CJ105" s="158" t="n">
        <f aca="false">IF(CJ6=Assumption!$E$14,Assumption!$E$438*Assumption!$J$469,0)</f>
        <v>0</v>
      </c>
      <c r="CK105" s="158" t="n">
        <f aca="false">IF(CK6=Assumption!$E$14,Assumption!$E$438*Assumption!$J$469,0)</f>
        <v>0</v>
      </c>
      <c r="CL105" s="158" t="n">
        <f aca="false">IF(CL6=Assumption!$E$14,Assumption!$E$438*Assumption!$J$469,0)</f>
        <v>0</v>
      </c>
      <c r="CM105" s="158" t="n">
        <f aca="false">IF(CM6=Assumption!$E$14,Assumption!$E$438*Assumption!$J$469,0)</f>
        <v>0</v>
      </c>
      <c r="CN105" s="158" t="n">
        <f aca="false">IF(CN6=Assumption!$E$14,Assumption!$E$438*Assumption!$J$469,0)</f>
        <v>0</v>
      </c>
      <c r="CO105" s="158" t="n">
        <f aca="false">IF(CO6=Assumption!$E$14,Assumption!$E$438*Assumption!$J$469,0)</f>
        <v>0</v>
      </c>
      <c r="CP105" s="158" t="n">
        <f aca="false">IF(CP6=Assumption!$E$14,Assumption!$E$438*Assumption!$J$469,0)</f>
        <v>0</v>
      </c>
      <c r="CQ105" s="158" t="n">
        <f aca="false">IF(CQ6=Assumption!$E$14,Assumption!$E$438*Assumption!$J$469,0)</f>
        <v>0</v>
      </c>
      <c r="CR105" s="158" t="n">
        <f aca="false">IF(CR6=Assumption!$E$14,Assumption!$E$438*Assumption!$J$469,0)</f>
        <v>0</v>
      </c>
      <c r="CS105" s="158" t="n">
        <f aca="false">IF(CS6=Assumption!$E$14,Assumption!$E$438*Assumption!$J$469,0)</f>
        <v>0</v>
      </c>
      <c r="CT105" s="158" t="n">
        <f aca="false">IF(CT6=Assumption!$E$14,Assumption!$E$438*Assumption!$J$469,0)</f>
        <v>0</v>
      </c>
      <c r="CU105" s="158" t="n">
        <f aca="false">IF(CU6=Assumption!$E$14,Assumption!$E$438*Assumption!$J$469,0)</f>
        <v>0</v>
      </c>
      <c r="CV105" s="158" t="n">
        <f aca="false">IF(CV6=Assumption!$E$14,Assumption!$E$438*Assumption!$J$469,0)</f>
        <v>0</v>
      </c>
      <c r="CW105" s="158" t="n">
        <f aca="false">IF(CW6=Assumption!$E$14,Assumption!$E$438*Assumption!$J$469,0)</f>
        <v>0</v>
      </c>
      <c r="CX105" s="158" t="n">
        <f aca="false">IF(CX6=Assumption!$E$14,Assumption!$E$438*Assumption!$J$469,0)</f>
        <v>0</v>
      </c>
      <c r="CY105" s="158" t="n">
        <f aca="false">IF(CY6=Assumption!$E$14,Assumption!$E$438*Assumption!$J$469,0)</f>
        <v>0</v>
      </c>
      <c r="CZ105" s="158" t="n">
        <f aca="false">IF(CZ6=Assumption!$E$14,Assumption!$E$438*Assumption!$J$469,0)</f>
        <v>0</v>
      </c>
      <c r="DA105" s="158" t="n">
        <f aca="false">IF(DA6=Assumption!$E$14,Assumption!$E$438*Assumption!$J$469,0)</f>
        <v>0</v>
      </c>
      <c r="DB105" s="158" t="n">
        <f aca="false">IF(DB6=Assumption!$E$14,Assumption!$E$438*Assumption!$J$469,0)</f>
        <v>0</v>
      </c>
      <c r="DC105" s="158" t="n">
        <f aca="false">IF(DC6=Assumption!$E$14,Assumption!$E$438*Assumption!$J$469,0)</f>
        <v>0</v>
      </c>
      <c r="DD105" s="158" t="n">
        <f aca="false">IF(DD6=Assumption!$E$14,Assumption!$E$438*Assumption!$J$469,0)</f>
        <v>0</v>
      </c>
      <c r="DE105" s="158" t="n">
        <f aca="false">IF(DE6=Assumption!$E$14,Assumption!$E$438*Assumption!$J$469,0)</f>
        <v>0</v>
      </c>
      <c r="DF105" s="158" t="n">
        <f aca="false">IF(DF6=Assumption!$E$14,Assumption!$E$438*Assumption!$J$469,0)</f>
        <v>0</v>
      </c>
      <c r="DG105" s="158" t="n">
        <f aca="false">IF(DG6=Assumption!$E$14,Assumption!$E$438*Assumption!$J$469,0)</f>
        <v>0</v>
      </c>
      <c r="DH105" s="158" t="n">
        <f aca="false">IF(DH6=Assumption!$E$14,Assumption!$E$438*Assumption!$J$469,0)</f>
        <v>0</v>
      </c>
      <c r="DI105" s="158" t="n">
        <f aca="false">IF(DI6=Assumption!$E$14,Assumption!$E$438*Assumption!$J$469,0)</f>
        <v>0</v>
      </c>
      <c r="DJ105" s="158" t="n">
        <f aca="false">IF(DJ6=Assumption!$E$14,Assumption!$E$438*Assumption!$J$469,0)</f>
        <v>0</v>
      </c>
      <c r="DK105" s="158" t="n">
        <f aca="false">IF(DK6=Assumption!$E$14,Assumption!$E$438*Assumption!$J$469,0)</f>
        <v>0</v>
      </c>
      <c r="DL105" s="158" t="n">
        <f aca="false">IF(DL6=Assumption!$E$14,Assumption!$E$438*Assumption!$J$469,0)</f>
        <v>0</v>
      </c>
      <c r="DM105" s="158" t="n">
        <f aca="false">IF(DM6=Assumption!$E$14,Assumption!$E$438*Assumption!$J$469,0)</f>
        <v>0</v>
      </c>
      <c r="DN105" s="158" t="n">
        <f aca="false">IF(DN6=Assumption!$E$14,Assumption!$E$438*Assumption!$J$469,0)</f>
        <v>0</v>
      </c>
      <c r="DO105" s="158" t="n">
        <f aca="false">IF(DO6=Assumption!$E$14,Assumption!$E$438*Assumption!$J$469,0)</f>
        <v>0</v>
      </c>
      <c r="DP105" s="158" t="n">
        <f aca="false">IF(DP6=Assumption!$E$14,Assumption!$E$438*Assumption!$J$469,0)</f>
        <v>0</v>
      </c>
      <c r="DQ105" s="158" t="n">
        <f aca="false">IF(DQ6=Assumption!$E$14,Assumption!$E$438*Assumption!$J$469,0)</f>
        <v>0</v>
      </c>
      <c r="DR105" s="158" t="n">
        <f aca="false">IF(DR6=Assumption!$E$14,Assumption!$E$438*Assumption!$J$469,0)</f>
        <v>0</v>
      </c>
      <c r="DS105" s="158" t="n">
        <f aca="false">IF(DS6=Assumption!$E$14,Assumption!$E$438*Assumption!$J$469,0)</f>
        <v>0</v>
      </c>
      <c r="DT105" s="158" t="n">
        <f aca="false">IF(DT6=Assumption!$E$14,Assumption!$E$438*Assumption!$J$469,0)</f>
        <v>0</v>
      </c>
      <c r="DU105" s="158" t="n">
        <f aca="false">IF(DU6=Assumption!$E$14,Assumption!$E$438*Assumption!$J$469,0)</f>
        <v>0</v>
      </c>
      <c r="DV105" s="158" t="n">
        <f aca="false">IF(DV6=Assumption!$E$14,Assumption!$E$438*Assumption!$J$469,0)</f>
        <v>0</v>
      </c>
      <c r="DW105" s="158" t="n">
        <f aca="false">IF(DW6=Assumption!$E$14,Assumption!$E$438*Assumption!$J$469,0)</f>
        <v>0</v>
      </c>
      <c r="DX105" s="158" t="n">
        <f aca="false">IF(DX6=Assumption!$E$14,Assumption!$E$438*Assumption!$J$469,0)</f>
        <v>0</v>
      </c>
      <c r="DY105" s="158" t="n">
        <f aca="false">IF(DY6=Assumption!$E$14,Assumption!$E$438*Assumption!$J$469,0)</f>
        <v>0</v>
      </c>
      <c r="DZ105" s="158" t="n">
        <f aca="false">IF(DZ6=Assumption!$E$14,Assumption!$E$438*Assumption!$J$469,0)</f>
        <v>0</v>
      </c>
      <c r="EA105" s="158" t="n">
        <f aca="false">IF(EA6=Assumption!$E$14,Assumption!$E$438*Assumption!$J$469,0)</f>
        <v>0</v>
      </c>
      <c r="EB105" s="158" t="n">
        <f aca="false">IF(EB6=Assumption!$E$14,Assumption!$E$438*Assumption!$J$469,0)</f>
        <v>0</v>
      </c>
      <c r="EC105" s="158" t="n">
        <f aca="false">IF(EC6=Assumption!$E$14,Assumption!$E$438*Assumption!$J$469,0)</f>
        <v>0</v>
      </c>
      <c r="ED105" s="158" t="n">
        <f aca="false">IF(ED6=Assumption!$E$14,Assumption!$E$438*Assumption!$J$469,0)</f>
        <v>0</v>
      </c>
      <c r="EE105" s="158" t="n">
        <f aca="false">IF(EE6=Assumption!$E$14,Assumption!$E$438*Assumption!$J$469,0)</f>
        <v>0</v>
      </c>
      <c r="EF105" s="158" t="n">
        <f aca="false">IF(EF6=Assumption!$E$14,Assumption!$E$438*Assumption!$J$469,0)</f>
        <v>0</v>
      </c>
    </row>
    <row r="106" customFormat="false" ht="15" hidden="false" customHeight="false" outlineLevel="0" collapsed="false">
      <c r="A106" s="112" t="s">
        <v>563</v>
      </c>
      <c r="B106" s="241" t="s">
        <v>116</v>
      </c>
      <c r="C106" s="242" t="n">
        <f aca="false">SUM(E106:EF106)</f>
        <v>17629.9193834195</v>
      </c>
      <c r="E106" s="158" t="n">
        <f aca="false">0*Assumption!$K$467/12</f>
        <v>0</v>
      </c>
      <c r="F106" s="158" t="n">
        <f aca="false">E121*Assumption!$K$467/12</f>
        <v>0</v>
      </c>
      <c r="G106" s="158" t="n">
        <f aca="false">F121*Assumption!$K$467/12</f>
        <v>0</v>
      </c>
      <c r="H106" s="158" t="n">
        <f aca="false">G121*Assumption!$K$467/12</f>
        <v>0</v>
      </c>
      <c r="I106" s="158" t="n">
        <f aca="false">H121*Assumption!$K$467/12</f>
        <v>0</v>
      </c>
      <c r="J106" s="158" t="n">
        <f aca="false">I121*Assumption!$K$467/12</f>
        <v>0</v>
      </c>
      <c r="K106" s="158" t="n">
        <f aca="false">J121*Assumption!$K$467/12</f>
        <v>0</v>
      </c>
      <c r="L106" s="158" t="n">
        <f aca="false">K121*Assumption!$K$467/12</f>
        <v>0</v>
      </c>
      <c r="M106" s="158" t="n">
        <f aca="false">L121*Assumption!$K$467/12</f>
        <v>0</v>
      </c>
      <c r="N106" s="158" t="n">
        <f aca="false">M121*Assumption!$K$467/12</f>
        <v>0</v>
      </c>
      <c r="O106" s="158" t="n">
        <f aca="false">N121*Assumption!$K$467/12</f>
        <v>0</v>
      </c>
      <c r="P106" s="158" t="n">
        <f aca="false">O121*Assumption!$K$467/12</f>
        <v>0</v>
      </c>
      <c r="Q106" s="158" t="n">
        <f aca="false">P121*Assumption!$K$467/12</f>
        <v>0</v>
      </c>
      <c r="R106" s="158" t="n">
        <f aca="false">Q121*Assumption!$K$467/12</f>
        <v>0</v>
      </c>
      <c r="S106" s="158" t="n">
        <f aca="false">R121*Assumption!$K$467/12</f>
        <v>0</v>
      </c>
      <c r="T106" s="158" t="n">
        <f aca="false">S121*Assumption!$K$467/12</f>
        <v>0</v>
      </c>
      <c r="U106" s="158" t="n">
        <f aca="false">T121*Assumption!$K$467/12</f>
        <v>0</v>
      </c>
      <c r="V106" s="158" t="n">
        <f aca="false">U121*Assumption!$K$467/12</f>
        <v>0</v>
      </c>
      <c r="W106" s="158" t="n">
        <f aca="false">V121*Assumption!$K$467/12</f>
        <v>0</v>
      </c>
      <c r="X106" s="158" t="n">
        <f aca="false">W121*Assumption!$K$467/12</f>
        <v>0</v>
      </c>
      <c r="Y106" s="158" t="n">
        <f aca="false">X121*Assumption!$K$467/12</f>
        <v>0</v>
      </c>
      <c r="Z106" s="158" t="n">
        <f aca="false">Y121*Assumption!$K$467/12</f>
        <v>0</v>
      </c>
      <c r="AA106" s="158" t="n">
        <f aca="false">Z121*Assumption!$K$467/12</f>
        <v>0</v>
      </c>
      <c r="AB106" s="158" t="n">
        <f aca="false">AA121*Assumption!$K$467/12</f>
        <v>0</v>
      </c>
      <c r="AC106" s="158" t="n">
        <f aca="false">AB121*Assumption!$K$467/12</f>
        <v>0</v>
      </c>
      <c r="AD106" s="158" t="n">
        <f aca="false">AC121*Assumption!$K$467/12</f>
        <v>0</v>
      </c>
      <c r="AE106" s="158" t="n">
        <f aca="false">AD121*Assumption!$K$467/12</f>
        <v>0</v>
      </c>
      <c r="AF106" s="158" t="n">
        <f aca="false">AE121*Assumption!$K$467/12</f>
        <v>0</v>
      </c>
      <c r="AG106" s="158" t="n">
        <f aca="false">AF121*Assumption!$K$467/12</f>
        <v>0</v>
      </c>
      <c r="AH106" s="158" t="n">
        <f aca="false">AG121*Assumption!$K$467/12</f>
        <v>0</v>
      </c>
      <c r="AI106" s="158" t="n">
        <f aca="false">AH121*Assumption!$K$467/12</f>
        <v>0</v>
      </c>
      <c r="AJ106" s="158" t="n">
        <f aca="false">AI121*Assumption!$K$467/12</f>
        <v>0</v>
      </c>
      <c r="AK106" s="158" t="n">
        <f aca="false">AJ121*Assumption!$K$467/12</f>
        <v>0</v>
      </c>
      <c r="AL106" s="158" t="n">
        <f aca="false">AK121*Assumption!$K$467/12</f>
        <v>0</v>
      </c>
      <c r="AM106" s="158" t="n">
        <f aca="false">AL121*Assumption!$K$467/12</f>
        <v>0</v>
      </c>
      <c r="AN106" s="158" t="n">
        <f aca="false">AM121*Assumption!$K$467/12</f>
        <v>0</v>
      </c>
      <c r="AO106" s="158" t="n">
        <f aca="false">AN121*Assumption!$K$467/12</f>
        <v>0</v>
      </c>
      <c r="AP106" s="158" t="n">
        <f aca="false">AO121*Assumption!$K$467/12</f>
        <v>0</v>
      </c>
      <c r="AQ106" s="158" t="n">
        <f aca="false">AP121*Assumption!$K$467/12</f>
        <v>0</v>
      </c>
      <c r="AR106" s="158" t="n">
        <f aca="false">AQ121*Assumption!$K$467/12</f>
        <v>0</v>
      </c>
      <c r="AS106" s="158" t="n">
        <f aca="false">AR121*Assumption!$K$467/12</f>
        <v>0</v>
      </c>
      <c r="AT106" s="158" t="n">
        <f aca="false">AS121*Assumption!$K$467/12</f>
        <v>0</v>
      </c>
      <c r="AU106" s="158" t="n">
        <f aca="false">AT121*Assumption!$K$467/12</f>
        <v>0</v>
      </c>
      <c r="AV106" s="158" t="n">
        <f aca="false">AU121*Assumption!$K$467/12</f>
        <v>43.6729620396148</v>
      </c>
      <c r="AW106" s="158" t="n">
        <f aca="false">AV121*Assumption!$K$467/12</f>
        <v>259.935273762765</v>
      </c>
      <c r="AX106" s="158" t="n">
        <f aca="false">AW121*Assumption!$K$467/12</f>
        <v>471.573866201221</v>
      </c>
      <c r="AY106" s="158" t="n">
        <f aca="false">AX121*Assumption!$K$467/12</f>
        <v>677.495282976435</v>
      </c>
      <c r="AZ106" s="158" t="n">
        <f aca="false">AY121*Assumption!$K$467/12</f>
        <v>876.638491037665</v>
      </c>
      <c r="BA106" s="158" t="n">
        <f aca="false">AZ121*Assumption!$K$467/12</f>
        <v>1067.980816642</v>
      </c>
      <c r="BB106" s="158" t="n">
        <f aca="false">BA121*Assumption!$K$467/12</f>
        <v>1067.980816642</v>
      </c>
      <c r="BC106" s="158" t="n">
        <f aca="false">BB121*Assumption!$K$467/12</f>
        <v>1067.980816642</v>
      </c>
      <c r="BD106" s="158" t="n">
        <f aca="false">BC121*Assumption!$K$467/12</f>
        <v>1067.980816642</v>
      </c>
      <c r="BE106" s="158" t="n">
        <f aca="false">BD121*Assumption!$K$467/12</f>
        <v>1067.980816642</v>
      </c>
      <c r="BF106" s="158" t="n">
        <f aca="false">BE121*Assumption!$K$467/12</f>
        <v>1126.22891496883</v>
      </c>
      <c r="BG106" s="158" t="n">
        <f aca="false">BF121*Assumption!$K$467/12</f>
        <v>1248.38004440976</v>
      </c>
      <c r="BH106" s="158" t="n">
        <f aca="false">BG121*Assumption!$K$467/12</f>
        <v>1357.07273157751</v>
      </c>
      <c r="BI106" s="158" t="n">
        <f aca="false">BH121*Assumption!$K$467/12</f>
        <v>1451.77270066014</v>
      </c>
      <c r="BJ106" s="158" t="n">
        <f aca="false">BI121*Assumption!$K$467/12</f>
        <v>1532.02429669015</v>
      </c>
      <c r="BK106" s="158" t="n">
        <f aca="false">BJ121*Assumption!$K$467/12</f>
        <v>1597.45303559128</v>
      </c>
      <c r="BL106" s="158" t="n">
        <f aca="false">BK121*Assumption!$K$467/12</f>
        <v>1647.7677002941</v>
      </c>
      <c r="BM106" s="158" t="n">
        <f aca="false">BL121*Assumption!$K$467/12</f>
        <v>0</v>
      </c>
      <c r="BN106" s="158" t="n">
        <f aca="false">BM121*Assumption!$K$467/12</f>
        <v>0</v>
      </c>
      <c r="BO106" s="158" t="n">
        <f aca="false">BN121*Assumption!$K$467/12</f>
        <v>0</v>
      </c>
      <c r="BP106" s="158" t="n">
        <f aca="false">BO121*Assumption!$K$467/12</f>
        <v>0</v>
      </c>
      <c r="BQ106" s="158" t="n">
        <f aca="false">BP121*Assumption!$K$467/12</f>
        <v>0</v>
      </c>
      <c r="BR106" s="158" t="n">
        <f aca="false">BQ121*Assumption!$K$467/12</f>
        <v>0</v>
      </c>
      <c r="BS106" s="158" t="n">
        <f aca="false">BR121*Assumption!$K$467/12</f>
        <v>0</v>
      </c>
      <c r="BT106" s="158" t="n">
        <f aca="false">BS121*Assumption!$K$467/12</f>
        <v>0</v>
      </c>
      <c r="BU106" s="158" t="n">
        <f aca="false">BT121*Assumption!$K$467/12</f>
        <v>0</v>
      </c>
      <c r="BV106" s="158" t="n">
        <f aca="false">BU121*Assumption!$K$467/12</f>
        <v>0</v>
      </c>
      <c r="BW106" s="158" t="n">
        <f aca="false">BV121*Assumption!$K$467/12</f>
        <v>0</v>
      </c>
      <c r="BX106" s="158" t="n">
        <f aca="false">BW121*Assumption!$K$467/12</f>
        <v>0</v>
      </c>
      <c r="BY106" s="158" t="n">
        <f aca="false">BX121*Assumption!$K$467/12</f>
        <v>0</v>
      </c>
      <c r="BZ106" s="158" t="n">
        <f aca="false">BY121*Assumption!$K$467/12</f>
        <v>0</v>
      </c>
      <c r="CA106" s="158" t="n">
        <f aca="false">BZ121*Assumption!$K$467/12</f>
        <v>0</v>
      </c>
      <c r="CB106" s="158" t="n">
        <f aca="false">CA121*Assumption!$K$467/12</f>
        <v>0</v>
      </c>
      <c r="CC106" s="158" t="n">
        <f aca="false">CB121*Assumption!$K$467/12</f>
        <v>0</v>
      </c>
      <c r="CD106" s="158" t="n">
        <f aca="false">CC121*Assumption!$K$467/12</f>
        <v>0</v>
      </c>
      <c r="CE106" s="158" t="n">
        <f aca="false">CD121*Assumption!$K$467/12</f>
        <v>0</v>
      </c>
      <c r="CF106" s="158" t="n">
        <f aca="false">CE121*Assumption!$K$467/12</f>
        <v>0</v>
      </c>
      <c r="CG106" s="158" t="n">
        <f aca="false">CF121*Assumption!$K$467/12</f>
        <v>0</v>
      </c>
      <c r="CH106" s="158" t="n">
        <f aca="false">CG121*Assumption!$K$467/12</f>
        <v>0</v>
      </c>
      <c r="CI106" s="158" t="n">
        <f aca="false">CH121*Assumption!$K$467/12</f>
        <v>0</v>
      </c>
      <c r="CJ106" s="158" t="n">
        <f aca="false">CI121*Assumption!$K$467/12</f>
        <v>0</v>
      </c>
      <c r="CK106" s="158" t="n">
        <f aca="false">CJ121*Assumption!$K$467/12</f>
        <v>0</v>
      </c>
      <c r="CL106" s="158" t="n">
        <f aca="false">CK121*Assumption!$K$467/12</f>
        <v>0</v>
      </c>
      <c r="CM106" s="158" t="n">
        <f aca="false">CL121*Assumption!$K$467/12</f>
        <v>0</v>
      </c>
      <c r="CN106" s="158" t="n">
        <f aca="false">CM121*Assumption!$K$467/12</f>
        <v>0</v>
      </c>
      <c r="CO106" s="158" t="n">
        <f aca="false">CN121*Assumption!$K$467/12</f>
        <v>0</v>
      </c>
      <c r="CP106" s="158" t="n">
        <f aca="false">CO121*Assumption!$K$467/12</f>
        <v>0</v>
      </c>
      <c r="CQ106" s="158" t="n">
        <f aca="false">CP121*Assumption!$K$467/12</f>
        <v>0</v>
      </c>
      <c r="CR106" s="158" t="n">
        <f aca="false">CQ121*Assumption!$K$467/12</f>
        <v>0</v>
      </c>
      <c r="CS106" s="158" t="n">
        <f aca="false">CR121*Assumption!$K$467/12</f>
        <v>0</v>
      </c>
      <c r="CT106" s="158" t="n">
        <f aca="false">CS121*Assumption!$K$467/12</f>
        <v>0</v>
      </c>
      <c r="CU106" s="158" t="n">
        <f aca="false">CT121*Assumption!$K$467/12</f>
        <v>0</v>
      </c>
      <c r="CV106" s="158" t="n">
        <f aca="false">CU121*Assumption!$K$467/12</f>
        <v>0</v>
      </c>
      <c r="CW106" s="158" t="n">
        <f aca="false">CV121*Assumption!$K$467/12</f>
        <v>0</v>
      </c>
      <c r="CX106" s="158" t="n">
        <f aca="false">CW121*Assumption!$K$467/12</f>
        <v>0</v>
      </c>
      <c r="CY106" s="158" t="n">
        <f aca="false">CX121*Assumption!$K$467/12</f>
        <v>0</v>
      </c>
      <c r="CZ106" s="158" t="n">
        <f aca="false">CY121*Assumption!$K$467/12</f>
        <v>0</v>
      </c>
      <c r="DA106" s="158" t="n">
        <f aca="false">CZ121*Assumption!$K$467/12</f>
        <v>0</v>
      </c>
      <c r="DB106" s="158" t="n">
        <f aca="false">DA121*Assumption!$K$467/12</f>
        <v>0</v>
      </c>
      <c r="DC106" s="158" t="n">
        <f aca="false">DB121*Assumption!$K$467/12</f>
        <v>0</v>
      </c>
      <c r="DD106" s="158" t="n">
        <f aca="false">DC121*Assumption!$K$467/12</f>
        <v>0</v>
      </c>
      <c r="DE106" s="158" t="n">
        <f aca="false">DD121*Assumption!$K$467/12</f>
        <v>0</v>
      </c>
      <c r="DF106" s="158" t="n">
        <f aca="false">DE121*Assumption!$K$467/12</f>
        <v>0</v>
      </c>
      <c r="DG106" s="158" t="n">
        <f aca="false">DF121*Assumption!$K$467/12</f>
        <v>0</v>
      </c>
      <c r="DH106" s="158" t="n">
        <f aca="false">DG121*Assumption!$K$467/12</f>
        <v>0</v>
      </c>
      <c r="DI106" s="158" t="n">
        <f aca="false">DH121*Assumption!$K$467/12</f>
        <v>0</v>
      </c>
      <c r="DJ106" s="158" t="n">
        <f aca="false">DI121*Assumption!$K$467/12</f>
        <v>0</v>
      </c>
      <c r="DK106" s="158" t="n">
        <f aca="false">DJ121*Assumption!$K$467/12</f>
        <v>0</v>
      </c>
      <c r="DL106" s="158" t="n">
        <f aca="false">DK121*Assumption!$K$467/12</f>
        <v>0</v>
      </c>
      <c r="DM106" s="158" t="n">
        <f aca="false">DL121*Assumption!$K$467/12</f>
        <v>0</v>
      </c>
      <c r="DN106" s="158" t="n">
        <f aca="false">DM121*Assumption!$K$467/12</f>
        <v>0</v>
      </c>
      <c r="DO106" s="158" t="n">
        <f aca="false">DN121*Assumption!$K$467/12</f>
        <v>0</v>
      </c>
      <c r="DP106" s="158" t="n">
        <f aca="false">DO121*Assumption!$K$467/12</f>
        <v>0</v>
      </c>
      <c r="DQ106" s="158" t="n">
        <f aca="false">DP121*Assumption!$K$467/12</f>
        <v>0</v>
      </c>
      <c r="DR106" s="158" t="n">
        <f aca="false">DQ121*Assumption!$K$467/12</f>
        <v>0</v>
      </c>
      <c r="DS106" s="158" t="n">
        <f aca="false">DR121*Assumption!$K$467/12</f>
        <v>0</v>
      </c>
      <c r="DT106" s="158" t="n">
        <f aca="false">DS121*Assumption!$K$467/12</f>
        <v>0</v>
      </c>
      <c r="DU106" s="158" t="n">
        <f aca="false">DT121*Assumption!$K$467/12</f>
        <v>0</v>
      </c>
      <c r="DV106" s="158" t="n">
        <f aca="false">DU121*Assumption!$K$467/12</f>
        <v>0</v>
      </c>
      <c r="DW106" s="158" t="n">
        <f aca="false">DV121*Assumption!$K$467/12</f>
        <v>0</v>
      </c>
      <c r="DX106" s="158" t="n">
        <f aca="false">DW121*Assumption!$K$467/12</f>
        <v>0</v>
      </c>
      <c r="DY106" s="158" t="n">
        <f aca="false">DX121*Assumption!$K$467/12</f>
        <v>0</v>
      </c>
      <c r="DZ106" s="158" t="n">
        <f aca="false">DY121*Assumption!$K$467/12</f>
        <v>0</v>
      </c>
      <c r="EA106" s="158" t="n">
        <f aca="false">DZ121*Assumption!$K$467/12</f>
        <v>0</v>
      </c>
      <c r="EB106" s="158" t="n">
        <f aca="false">EA121*Assumption!$K$467/12</f>
        <v>0</v>
      </c>
      <c r="EC106" s="158" t="n">
        <f aca="false">EB121*Assumption!$K$467/12</f>
        <v>0</v>
      </c>
      <c r="ED106" s="158" t="n">
        <f aca="false">EC121*Assumption!$K$467/12</f>
        <v>0</v>
      </c>
      <c r="EE106" s="158" t="n">
        <f aca="false">ED121*Assumption!$K$467/12</f>
        <v>0</v>
      </c>
      <c r="EF106" s="158" t="n">
        <f aca="false">EE121*Assumption!$K$467/12</f>
        <v>0</v>
      </c>
    </row>
    <row r="107" customFormat="false" ht="15" hidden="false" customHeight="false" outlineLevel="0" collapsed="false">
      <c r="A107" s="112" t="s">
        <v>564</v>
      </c>
      <c r="B107" s="241" t="s">
        <v>116</v>
      </c>
      <c r="C107" s="242" t="n">
        <f aca="false">SUM(E107:EF107)</f>
        <v>19183.889358983</v>
      </c>
      <c r="E107" s="158" t="n">
        <f aca="false">0*Assumption!$K$468/12</f>
        <v>0</v>
      </c>
      <c r="F107" s="158" t="n">
        <f aca="false">E122*Assumption!$K$468/12</f>
        <v>0</v>
      </c>
      <c r="G107" s="158" t="n">
        <f aca="false">F122*Assumption!$K$468/12</f>
        <v>0</v>
      </c>
      <c r="H107" s="158" t="n">
        <f aca="false">G122*Assumption!$K$468/12</f>
        <v>0</v>
      </c>
      <c r="I107" s="158" t="n">
        <f aca="false">H122*Assumption!$K$468/12</f>
        <v>0</v>
      </c>
      <c r="J107" s="158" t="n">
        <f aca="false">I122*Assumption!$K$468/12</f>
        <v>0</v>
      </c>
      <c r="K107" s="158" t="n">
        <f aca="false">J122*Assumption!$K$468/12</f>
        <v>0</v>
      </c>
      <c r="L107" s="158" t="n">
        <f aca="false">K122*Assumption!$K$468/12</f>
        <v>0</v>
      </c>
      <c r="M107" s="158" t="n">
        <f aca="false">L122*Assumption!$K$468/12</f>
        <v>0</v>
      </c>
      <c r="N107" s="158" t="n">
        <f aca="false">M122*Assumption!$K$468/12</f>
        <v>0</v>
      </c>
      <c r="O107" s="158" t="n">
        <f aca="false">N122*Assumption!$K$468/12</f>
        <v>0</v>
      </c>
      <c r="P107" s="158" t="n">
        <f aca="false">O122*Assumption!$K$468/12</f>
        <v>0</v>
      </c>
      <c r="Q107" s="158" t="n">
        <f aca="false">P122*Assumption!$K$468/12</f>
        <v>0</v>
      </c>
      <c r="R107" s="158" t="n">
        <f aca="false">Q122*Assumption!$K$468/12</f>
        <v>0</v>
      </c>
      <c r="S107" s="158" t="n">
        <f aca="false">R122*Assumption!$K$468/12</f>
        <v>0</v>
      </c>
      <c r="T107" s="158" t="n">
        <f aca="false">S122*Assumption!$K$468/12</f>
        <v>0</v>
      </c>
      <c r="U107" s="158" t="n">
        <f aca="false">T122*Assumption!$K$468/12</f>
        <v>0</v>
      </c>
      <c r="V107" s="158" t="n">
        <f aca="false">U122*Assumption!$K$468/12</f>
        <v>0</v>
      </c>
      <c r="W107" s="158" t="n">
        <f aca="false">V122*Assumption!$K$468/12</f>
        <v>0</v>
      </c>
      <c r="X107" s="158" t="n">
        <f aca="false">W122*Assumption!$K$468/12</f>
        <v>0</v>
      </c>
      <c r="Y107" s="158" t="n">
        <f aca="false">X122*Assumption!$K$468/12</f>
        <v>0</v>
      </c>
      <c r="Z107" s="158" t="n">
        <f aca="false">Y122*Assumption!$K$468/12</f>
        <v>0</v>
      </c>
      <c r="AA107" s="158" t="n">
        <f aca="false">Z122*Assumption!$K$468/12</f>
        <v>0</v>
      </c>
      <c r="AB107" s="158" t="n">
        <f aca="false">AA122*Assumption!$K$468/12</f>
        <v>0</v>
      </c>
      <c r="AC107" s="158" t="n">
        <f aca="false">AB122*Assumption!$K$468/12</f>
        <v>0</v>
      </c>
      <c r="AD107" s="158" t="n">
        <f aca="false">AC122*Assumption!$K$468/12</f>
        <v>0</v>
      </c>
      <c r="AE107" s="158" t="n">
        <f aca="false">AD122*Assumption!$K$468/12</f>
        <v>0</v>
      </c>
      <c r="AF107" s="158" t="n">
        <f aca="false">AE122*Assumption!$K$468/12</f>
        <v>0</v>
      </c>
      <c r="AG107" s="158" t="n">
        <f aca="false">AF122*Assumption!$K$468/12</f>
        <v>0</v>
      </c>
      <c r="AH107" s="158" t="n">
        <f aca="false">AG122*Assumption!$K$468/12</f>
        <v>0</v>
      </c>
      <c r="AI107" s="158" t="n">
        <f aca="false">AH122*Assumption!$K$468/12</f>
        <v>0</v>
      </c>
      <c r="AJ107" s="158" t="n">
        <f aca="false">AI122*Assumption!$K$468/12</f>
        <v>0</v>
      </c>
      <c r="AK107" s="158" t="n">
        <f aca="false">AJ122*Assumption!$K$468/12</f>
        <v>0</v>
      </c>
      <c r="AL107" s="158" t="n">
        <f aca="false">AK122*Assumption!$K$468/12</f>
        <v>0</v>
      </c>
      <c r="AM107" s="158" t="n">
        <f aca="false">AL122*Assumption!$K$468/12</f>
        <v>0</v>
      </c>
      <c r="AN107" s="158" t="n">
        <f aca="false">AM122*Assumption!$K$468/12</f>
        <v>0</v>
      </c>
      <c r="AO107" s="158" t="n">
        <f aca="false">AN122*Assumption!$K$468/12</f>
        <v>134.969374414637</v>
      </c>
      <c r="AP107" s="158" t="n">
        <f aca="false">AO122*Assumption!$K$468/12</f>
        <v>134.969374414637</v>
      </c>
      <c r="AQ107" s="158" t="n">
        <f aca="false">AP122*Assumption!$K$468/12</f>
        <v>134.969374414637</v>
      </c>
      <c r="AR107" s="158" t="n">
        <f aca="false">AQ122*Assumption!$K$468/12</f>
        <v>134.969374414637</v>
      </c>
      <c r="AS107" s="158" t="n">
        <f aca="false">AR122*Assumption!$K$468/12</f>
        <v>302.103771990154</v>
      </c>
      <c r="AT107" s="158" t="n">
        <f aca="false">AS122*Assumption!$K$468/12</f>
        <v>552.472663660237</v>
      </c>
      <c r="AU107" s="158" t="n">
        <f aca="false">AT122*Assumption!$K$468/12</f>
        <v>801.646475370527</v>
      </c>
      <c r="AV107" s="158" t="n">
        <f aca="false">AU122*Assumption!$K$468/12</f>
        <v>999.281702959032</v>
      </c>
      <c r="AW107" s="158" t="n">
        <f aca="false">AV122*Assumption!$K$468/12</f>
        <v>999.281702959032</v>
      </c>
      <c r="AX107" s="158" t="n">
        <f aca="false">AW122*Assumption!$K$468/12</f>
        <v>999.281702959032</v>
      </c>
      <c r="AY107" s="158" t="n">
        <f aca="false">AX122*Assumption!$K$468/12</f>
        <v>999.281702959032</v>
      </c>
      <c r="AZ107" s="158" t="n">
        <f aca="false">AY122*Assumption!$K$468/12</f>
        <v>999.281702959032</v>
      </c>
      <c r="BA107" s="158" t="n">
        <f aca="false">AZ122*Assumption!$K$468/12</f>
        <v>999.281702959032</v>
      </c>
      <c r="BB107" s="158" t="n">
        <f aca="false">BA122*Assumption!$K$468/12</f>
        <v>999.281702959032</v>
      </c>
      <c r="BC107" s="158" t="n">
        <f aca="false">BB122*Assumption!$K$468/12</f>
        <v>999.281702959032</v>
      </c>
      <c r="BD107" s="158" t="n">
        <f aca="false">BC122*Assumption!$K$468/12</f>
        <v>999.281702959032</v>
      </c>
      <c r="BE107" s="158" t="n">
        <f aca="false">BD122*Assumption!$K$468/12</f>
        <v>999.281702959032</v>
      </c>
      <c r="BF107" s="158" t="n">
        <f aca="false">BE122*Assumption!$K$468/12</f>
        <v>999.281702959032</v>
      </c>
      <c r="BG107" s="158" t="n">
        <f aca="false">BF122*Assumption!$K$468/12</f>
        <v>999.281702959032</v>
      </c>
      <c r="BH107" s="158" t="n">
        <f aca="false">BG122*Assumption!$K$468/12</f>
        <v>999.281702959032</v>
      </c>
      <c r="BI107" s="158" t="n">
        <f aca="false">BH122*Assumption!$K$468/12</f>
        <v>999.281702959032</v>
      </c>
      <c r="BJ107" s="158" t="n">
        <f aca="false">BI122*Assumption!$K$468/12</f>
        <v>999.281702959032</v>
      </c>
      <c r="BK107" s="158" t="n">
        <f aca="false">BJ122*Assumption!$K$468/12</f>
        <v>999.281702959032</v>
      </c>
      <c r="BL107" s="158" t="n">
        <f aca="false">BK122*Assumption!$K$468/12</f>
        <v>999.281702959032</v>
      </c>
      <c r="BM107" s="158" t="n">
        <f aca="false">BL122*Assumption!$K$468/12</f>
        <v>0</v>
      </c>
      <c r="BN107" s="158" t="n">
        <f aca="false">BM122*Assumption!$K$468/12</f>
        <v>0</v>
      </c>
      <c r="BO107" s="158" t="n">
        <f aca="false">BN122*Assumption!$K$468/12</f>
        <v>0</v>
      </c>
      <c r="BP107" s="158" t="n">
        <f aca="false">BO122*Assumption!$K$468/12</f>
        <v>0</v>
      </c>
      <c r="BQ107" s="158" t="n">
        <f aca="false">BP122*Assumption!$K$468/12</f>
        <v>0</v>
      </c>
      <c r="BR107" s="158" t="n">
        <f aca="false">BQ122*Assumption!$K$468/12</f>
        <v>0</v>
      </c>
      <c r="BS107" s="158" t="n">
        <f aca="false">BR122*Assumption!$K$468/12</f>
        <v>0</v>
      </c>
      <c r="BT107" s="158" t="n">
        <f aca="false">BS122*Assumption!$K$468/12</f>
        <v>0</v>
      </c>
      <c r="BU107" s="158" t="n">
        <f aca="false">BT122*Assumption!$K$468/12</f>
        <v>0</v>
      </c>
      <c r="BV107" s="158" t="n">
        <f aca="false">BU122*Assumption!$K$468/12</f>
        <v>0</v>
      </c>
      <c r="BW107" s="158" t="n">
        <f aca="false">BV122*Assumption!$K$468/12</f>
        <v>0</v>
      </c>
      <c r="BX107" s="158" t="n">
        <f aca="false">BW122*Assumption!$K$468/12</f>
        <v>0</v>
      </c>
      <c r="BY107" s="158" t="n">
        <f aca="false">BX122*Assumption!$K$468/12</f>
        <v>0</v>
      </c>
      <c r="BZ107" s="158" t="n">
        <f aca="false">BY122*Assumption!$K$468/12</f>
        <v>0</v>
      </c>
      <c r="CA107" s="158" t="n">
        <f aca="false">BZ122*Assumption!$K$468/12</f>
        <v>0</v>
      </c>
      <c r="CB107" s="158" t="n">
        <f aca="false">CA122*Assumption!$K$468/12</f>
        <v>0</v>
      </c>
      <c r="CC107" s="158" t="n">
        <f aca="false">CB122*Assumption!$K$468/12</f>
        <v>0</v>
      </c>
      <c r="CD107" s="158" t="n">
        <f aca="false">CC122*Assumption!$K$468/12</f>
        <v>0</v>
      </c>
      <c r="CE107" s="158" t="n">
        <f aca="false">CD122*Assumption!$K$468/12</f>
        <v>0</v>
      </c>
      <c r="CF107" s="158" t="n">
        <f aca="false">CE122*Assumption!$K$468/12</f>
        <v>0</v>
      </c>
      <c r="CG107" s="158" t="n">
        <f aca="false">CF122*Assumption!$K$468/12</f>
        <v>0</v>
      </c>
      <c r="CH107" s="158" t="n">
        <f aca="false">CG122*Assumption!$K$468/12</f>
        <v>0</v>
      </c>
      <c r="CI107" s="158" t="n">
        <f aca="false">CH122*Assumption!$K$468/12</f>
        <v>0</v>
      </c>
      <c r="CJ107" s="158" t="n">
        <f aca="false">CI122*Assumption!$K$468/12</f>
        <v>0</v>
      </c>
      <c r="CK107" s="158" t="n">
        <f aca="false">CJ122*Assumption!$K$468/12</f>
        <v>0</v>
      </c>
      <c r="CL107" s="158" t="n">
        <f aca="false">CK122*Assumption!$K$468/12</f>
        <v>0</v>
      </c>
      <c r="CM107" s="158" t="n">
        <f aca="false">CL122*Assumption!$K$468/12</f>
        <v>0</v>
      </c>
      <c r="CN107" s="158" t="n">
        <f aca="false">CM122*Assumption!$K$468/12</f>
        <v>0</v>
      </c>
      <c r="CO107" s="158" t="n">
        <f aca="false">CN122*Assumption!$K$468/12</f>
        <v>0</v>
      </c>
      <c r="CP107" s="158" t="n">
        <f aca="false">CO122*Assumption!$K$468/12</f>
        <v>0</v>
      </c>
      <c r="CQ107" s="158" t="n">
        <f aca="false">CP122*Assumption!$K$468/12</f>
        <v>0</v>
      </c>
      <c r="CR107" s="158" t="n">
        <f aca="false">CQ122*Assumption!$K$468/12</f>
        <v>0</v>
      </c>
      <c r="CS107" s="158" t="n">
        <f aca="false">CR122*Assumption!$K$468/12</f>
        <v>0</v>
      </c>
      <c r="CT107" s="158" t="n">
        <f aca="false">CS122*Assumption!$K$468/12</f>
        <v>0</v>
      </c>
      <c r="CU107" s="158" t="n">
        <f aca="false">CT122*Assumption!$K$468/12</f>
        <v>0</v>
      </c>
      <c r="CV107" s="158" t="n">
        <f aca="false">CU122*Assumption!$K$468/12</f>
        <v>0</v>
      </c>
      <c r="CW107" s="158" t="n">
        <f aca="false">CV122*Assumption!$K$468/12</f>
        <v>0</v>
      </c>
      <c r="CX107" s="158" t="n">
        <f aca="false">CW122*Assumption!$K$468/12</f>
        <v>0</v>
      </c>
      <c r="CY107" s="158" t="n">
        <f aca="false">CX122*Assumption!$K$468/12</f>
        <v>0</v>
      </c>
      <c r="CZ107" s="158" t="n">
        <f aca="false">CY122*Assumption!$K$468/12</f>
        <v>0</v>
      </c>
      <c r="DA107" s="158" t="n">
        <f aca="false">CZ122*Assumption!$K$468/12</f>
        <v>0</v>
      </c>
      <c r="DB107" s="158" t="n">
        <f aca="false">DA122*Assumption!$K$468/12</f>
        <v>0</v>
      </c>
      <c r="DC107" s="158" t="n">
        <f aca="false">DB122*Assumption!$K$468/12</f>
        <v>0</v>
      </c>
      <c r="DD107" s="158" t="n">
        <f aca="false">DC122*Assumption!$K$468/12</f>
        <v>0</v>
      </c>
      <c r="DE107" s="158" t="n">
        <f aca="false">DD122*Assumption!$K$468/12</f>
        <v>0</v>
      </c>
      <c r="DF107" s="158" t="n">
        <f aca="false">DE122*Assumption!$K$468/12</f>
        <v>0</v>
      </c>
      <c r="DG107" s="158" t="n">
        <f aca="false">DF122*Assumption!$K$468/12</f>
        <v>0</v>
      </c>
      <c r="DH107" s="158" t="n">
        <f aca="false">DG122*Assumption!$K$468/12</f>
        <v>0</v>
      </c>
      <c r="DI107" s="158" t="n">
        <f aca="false">DH122*Assumption!$K$468/12</f>
        <v>0</v>
      </c>
      <c r="DJ107" s="158" t="n">
        <f aca="false">DI122*Assumption!$K$468/12</f>
        <v>0</v>
      </c>
      <c r="DK107" s="158" t="n">
        <f aca="false">DJ122*Assumption!$K$468/12</f>
        <v>0</v>
      </c>
      <c r="DL107" s="158" t="n">
        <f aca="false">DK122*Assumption!$K$468/12</f>
        <v>0</v>
      </c>
      <c r="DM107" s="158" t="n">
        <f aca="false">DL122*Assumption!$K$468/12</f>
        <v>0</v>
      </c>
      <c r="DN107" s="158" t="n">
        <f aca="false">DM122*Assumption!$K$468/12</f>
        <v>0</v>
      </c>
      <c r="DO107" s="158" t="n">
        <f aca="false">DN122*Assumption!$K$468/12</f>
        <v>0</v>
      </c>
      <c r="DP107" s="158" t="n">
        <f aca="false">DO122*Assumption!$K$468/12</f>
        <v>0</v>
      </c>
      <c r="DQ107" s="158" t="n">
        <f aca="false">DP122*Assumption!$K$468/12</f>
        <v>0</v>
      </c>
      <c r="DR107" s="158" t="n">
        <f aca="false">DQ122*Assumption!$K$468/12</f>
        <v>0</v>
      </c>
      <c r="DS107" s="158" t="n">
        <f aca="false">DR122*Assumption!$K$468/12</f>
        <v>0</v>
      </c>
      <c r="DT107" s="158" t="n">
        <f aca="false">DS122*Assumption!$K$468/12</f>
        <v>0</v>
      </c>
      <c r="DU107" s="158" t="n">
        <f aca="false">DT122*Assumption!$K$468/12</f>
        <v>0</v>
      </c>
      <c r="DV107" s="158" t="n">
        <f aca="false">DU122*Assumption!$K$468/12</f>
        <v>0</v>
      </c>
      <c r="DW107" s="158" t="n">
        <f aca="false">DV122*Assumption!$K$468/12</f>
        <v>0</v>
      </c>
      <c r="DX107" s="158" t="n">
        <f aca="false">DW122*Assumption!$K$468/12</f>
        <v>0</v>
      </c>
      <c r="DY107" s="158" t="n">
        <f aca="false">DX122*Assumption!$K$468/12</f>
        <v>0</v>
      </c>
      <c r="DZ107" s="158" t="n">
        <f aca="false">DY122*Assumption!$K$468/12</f>
        <v>0</v>
      </c>
      <c r="EA107" s="158" t="n">
        <f aca="false">DZ122*Assumption!$K$468/12</f>
        <v>0</v>
      </c>
      <c r="EB107" s="158" t="n">
        <f aca="false">EA122*Assumption!$K$468/12</f>
        <v>0</v>
      </c>
      <c r="EC107" s="158" t="n">
        <f aca="false">EB122*Assumption!$K$468/12</f>
        <v>0</v>
      </c>
      <c r="ED107" s="158" t="n">
        <f aca="false">EC122*Assumption!$K$468/12</f>
        <v>0</v>
      </c>
      <c r="EE107" s="158" t="n">
        <f aca="false">ED122*Assumption!$K$468/12</f>
        <v>0</v>
      </c>
      <c r="EF107" s="158" t="n">
        <f aca="false">EE122*Assumption!$K$468/12</f>
        <v>0</v>
      </c>
    </row>
    <row r="108" customFormat="false" ht="15" hidden="false" customHeight="false" outlineLevel="0" collapsed="false">
      <c r="A108" s="112" t="s">
        <v>565</v>
      </c>
      <c r="B108" s="241" t="s">
        <v>116</v>
      </c>
      <c r="C108" s="242" t="n">
        <f aca="false">SUM(E108:EF108)</f>
        <v>31542.5543969337</v>
      </c>
      <c r="E108" s="158" t="n">
        <f aca="false">0*Assumption!$K$469/12</f>
        <v>0</v>
      </c>
      <c r="F108" s="158" t="n">
        <f aca="false">E123*Assumption!$K$469/12</f>
        <v>0</v>
      </c>
      <c r="G108" s="158" t="n">
        <f aca="false">F123*Assumption!$K$469/12</f>
        <v>0</v>
      </c>
      <c r="H108" s="158" t="n">
        <f aca="false">G123*Assumption!$K$469/12</f>
        <v>0</v>
      </c>
      <c r="I108" s="158" t="n">
        <f aca="false">H123*Assumption!$K$469/12</f>
        <v>0</v>
      </c>
      <c r="J108" s="158" t="n">
        <f aca="false">I123*Assumption!$K$469/12</f>
        <v>0</v>
      </c>
      <c r="K108" s="158" t="n">
        <f aca="false">J123*Assumption!$K$469/12</f>
        <v>0</v>
      </c>
      <c r="L108" s="158" t="n">
        <f aca="false">K123*Assumption!$K$469/12</f>
        <v>0</v>
      </c>
      <c r="M108" s="158" t="n">
        <f aca="false">L123*Assumption!$K$469/12</f>
        <v>0</v>
      </c>
      <c r="N108" s="158" t="n">
        <f aca="false">M123*Assumption!$K$469/12</f>
        <v>0</v>
      </c>
      <c r="O108" s="158" t="n">
        <f aca="false">N123*Assumption!$K$469/12</f>
        <v>0</v>
      </c>
      <c r="P108" s="158" t="n">
        <f aca="false">O123*Assumption!$K$469/12</f>
        <v>0</v>
      </c>
      <c r="Q108" s="158" t="n">
        <f aca="false">P123*Assumption!$K$469/12</f>
        <v>0</v>
      </c>
      <c r="R108" s="158" t="n">
        <f aca="false">Q123*Assumption!$K$469/12</f>
        <v>0</v>
      </c>
      <c r="S108" s="158" t="n">
        <f aca="false">R123*Assumption!$K$469/12</f>
        <v>0</v>
      </c>
      <c r="T108" s="158" t="n">
        <f aca="false">S123*Assumption!$K$469/12</f>
        <v>0</v>
      </c>
      <c r="U108" s="158" t="n">
        <f aca="false">T123*Assumption!$K$469/12</f>
        <v>0</v>
      </c>
      <c r="V108" s="158" t="n">
        <f aca="false">U123*Assumption!$K$469/12</f>
        <v>0</v>
      </c>
      <c r="W108" s="158" t="n">
        <f aca="false">V123*Assumption!$K$469/12</f>
        <v>0</v>
      </c>
      <c r="X108" s="158" t="n">
        <f aca="false">W123*Assumption!$K$469/12</f>
        <v>0</v>
      </c>
      <c r="Y108" s="158" t="n">
        <f aca="false">X123*Assumption!$K$469/12</f>
        <v>0</v>
      </c>
      <c r="Z108" s="158" t="n">
        <f aca="false">Y123*Assumption!$K$469/12</f>
        <v>0</v>
      </c>
      <c r="AA108" s="158" t="n">
        <f aca="false">Z123*Assumption!$K$469/12</f>
        <v>0</v>
      </c>
      <c r="AB108" s="158" t="n">
        <f aca="false">AA123*Assumption!$K$469/12</f>
        <v>0</v>
      </c>
      <c r="AC108" s="158" t="n">
        <f aca="false">AB123*Assumption!$K$469/12</f>
        <v>0</v>
      </c>
      <c r="AD108" s="158" t="n">
        <f aca="false">AC123*Assumption!$K$469/12</f>
        <v>0</v>
      </c>
      <c r="AE108" s="158" t="n">
        <f aca="false">AD123*Assumption!$K$469/12</f>
        <v>0</v>
      </c>
      <c r="AF108" s="158" t="n">
        <f aca="false">AE123*Assumption!$K$469/12</f>
        <v>0</v>
      </c>
      <c r="AG108" s="158" t="n">
        <f aca="false">AF123*Assumption!$K$469/12</f>
        <v>0</v>
      </c>
      <c r="AH108" s="158" t="n">
        <f aca="false">AG123*Assumption!$K$469/12</f>
        <v>0</v>
      </c>
      <c r="AI108" s="158" t="n">
        <f aca="false">AH123*Assumption!$K$469/12</f>
        <v>0</v>
      </c>
      <c r="AJ108" s="158" t="n">
        <f aca="false">AI123*Assumption!$K$469/12</f>
        <v>7.29568674709683</v>
      </c>
      <c r="AK108" s="158" t="n">
        <f aca="false">AJ123*Assumption!$K$469/12</f>
        <v>257.217069591365</v>
      </c>
      <c r="AL108" s="158" t="n">
        <f aca="false">AK123*Assumption!$K$469/12</f>
        <v>519.437656721514</v>
      </c>
      <c r="AM108" s="158" t="n">
        <f aca="false">AL123*Assumption!$K$469/12</f>
        <v>792.644743000414</v>
      </c>
      <c r="AN108" s="158" t="n">
        <f aca="false">AM123*Assumption!$K$469/12</f>
        <v>1075.46524569086</v>
      </c>
      <c r="AO108" s="158" t="n">
        <f aca="false">AN123*Assumption!$K$469/12</f>
        <v>1203.7705831326</v>
      </c>
      <c r="AP108" s="158" t="n">
        <f aca="false">AO123*Assumption!$K$469/12</f>
        <v>1203.7705831326</v>
      </c>
      <c r="AQ108" s="158" t="n">
        <f aca="false">AP123*Assumption!$K$469/12</f>
        <v>1203.7705831326</v>
      </c>
      <c r="AR108" s="158" t="n">
        <f aca="false">AQ123*Assumption!$K$469/12</f>
        <v>1203.7705831326</v>
      </c>
      <c r="AS108" s="158" t="n">
        <f aca="false">AR123*Assumption!$K$469/12</f>
        <v>1203.7705831326</v>
      </c>
      <c r="AT108" s="158" t="n">
        <f aca="false">AS123*Assumption!$K$469/12</f>
        <v>1203.7705831326</v>
      </c>
      <c r="AU108" s="158" t="n">
        <f aca="false">AT123*Assumption!$K$469/12</f>
        <v>1203.7705831326</v>
      </c>
      <c r="AV108" s="158" t="n">
        <f aca="false">AU123*Assumption!$K$469/12</f>
        <v>1203.7705831326</v>
      </c>
      <c r="AW108" s="158" t="n">
        <f aca="false">AV123*Assumption!$K$469/12</f>
        <v>1203.7705831326</v>
      </c>
      <c r="AX108" s="158" t="n">
        <f aca="false">AW123*Assumption!$K$469/12</f>
        <v>1203.7705831326</v>
      </c>
      <c r="AY108" s="158" t="n">
        <f aca="false">AX123*Assumption!$K$469/12</f>
        <v>1203.7705831326</v>
      </c>
      <c r="AZ108" s="158" t="n">
        <f aca="false">AY123*Assumption!$K$469/12</f>
        <v>1203.7705831326</v>
      </c>
      <c r="BA108" s="158" t="n">
        <f aca="false">AZ123*Assumption!$K$469/12</f>
        <v>1203.7705831326</v>
      </c>
      <c r="BB108" s="158" t="n">
        <f aca="false">BA123*Assumption!$K$469/12</f>
        <v>1203.7705831326</v>
      </c>
      <c r="BC108" s="158" t="n">
        <f aca="false">BB123*Assumption!$K$469/12</f>
        <v>1203.7705831326</v>
      </c>
      <c r="BD108" s="158" t="n">
        <f aca="false">BC123*Assumption!$K$469/12</f>
        <v>1203.7705831326</v>
      </c>
      <c r="BE108" s="158" t="n">
        <f aca="false">BD123*Assumption!$K$469/12</f>
        <v>1203.7705831326</v>
      </c>
      <c r="BF108" s="158" t="n">
        <f aca="false">BE123*Assumption!$K$469/12</f>
        <v>1203.7705831326</v>
      </c>
      <c r="BG108" s="158" t="n">
        <f aca="false">BF123*Assumption!$K$469/12</f>
        <v>1203.7705831326</v>
      </c>
      <c r="BH108" s="158" t="n">
        <f aca="false">BG123*Assumption!$K$469/12</f>
        <v>1203.7705831326</v>
      </c>
      <c r="BI108" s="158" t="n">
        <f aca="false">BH123*Assumption!$K$469/12</f>
        <v>1203.7705831326</v>
      </c>
      <c r="BJ108" s="158" t="n">
        <f aca="false">BI123*Assumption!$K$469/12</f>
        <v>1203.7705831326</v>
      </c>
      <c r="BK108" s="158" t="n">
        <f aca="false">BJ123*Assumption!$K$469/12</f>
        <v>1203.7705831326</v>
      </c>
      <c r="BL108" s="158" t="n">
        <f aca="false">BK123*Assumption!$K$469/12</f>
        <v>1203.7705831326</v>
      </c>
      <c r="BM108" s="158" t="n">
        <f aca="false">BL123*Assumption!$K$469/12</f>
        <v>0</v>
      </c>
      <c r="BN108" s="158" t="n">
        <f aca="false">BM123*Assumption!$K$469/12</f>
        <v>0</v>
      </c>
      <c r="BO108" s="158" t="n">
        <f aca="false">BN123*Assumption!$K$469/12</f>
        <v>0</v>
      </c>
      <c r="BP108" s="158" t="n">
        <f aca="false">BO123*Assumption!$K$469/12</f>
        <v>0</v>
      </c>
      <c r="BQ108" s="158" t="n">
        <f aca="false">BP123*Assumption!$K$469/12</f>
        <v>0</v>
      </c>
      <c r="BR108" s="158" t="n">
        <f aca="false">BQ123*Assumption!$K$469/12</f>
        <v>0</v>
      </c>
      <c r="BS108" s="158" t="n">
        <f aca="false">BR123*Assumption!$K$469/12</f>
        <v>0</v>
      </c>
      <c r="BT108" s="158" t="n">
        <f aca="false">BS123*Assumption!$K$469/12</f>
        <v>0</v>
      </c>
      <c r="BU108" s="158" t="n">
        <f aca="false">BT123*Assumption!$K$469/12</f>
        <v>0</v>
      </c>
      <c r="BV108" s="158" t="n">
        <f aca="false">BU123*Assumption!$K$469/12</f>
        <v>0</v>
      </c>
      <c r="BW108" s="158" t="n">
        <f aca="false">BV123*Assumption!$K$469/12</f>
        <v>0</v>
      </c>
      <c r="BX108" s="158" t="n">
        <f aca="false">BW123*Assumption!$K$469/12</f>
        <v>0</v>
      </c>
      <c r="BY108" s="158" t="n">
        <f aca="false">BX123*Assumption!$K$469/12</f>
        <v>0</v>
      </c>
      <c r="BZ108" s="158" t="n">
        <f aca="false">BY123*Assumption!$K$469/12</f>
        <v>0</v>
      </c>
      <c r="CA108" s="158" t="n">
        <f aca="false">BZ123*Assumption!$K$469/12</f>
        <v>0</v>
      </c>
      <c r="CB108" s="158" t="n">
        <f aca="false">CA123*Assumption!$K$469/12</f>
        <v>0</v>
      </c>
      <c r="CC108" s="158" t="n">
        <f aca="false">CB123*Assumption!$K$469/12</f>
        <v>0</v>
      </c>
      <c r="CD108" s="158" t="n">
        <f aca="false">CC123*Assumption!$K$469/12</f>
        <v>0</v>
      </c>
      <c r="CE108" s="158" t="n">
        <f aca="false">CD123*Assumption!$K$469/12</f>
        <v>0</v>
      </c>
      <c r="CF108" s="158" t="n">
        <f aca="false">CE123*Assumption!$K$469/12</f>
        <v>0</v>
      </c>
      <c r="CG108" s="158" t="n">
        <f aca="false">CF123*Assumption!$K$469/12</f>
        <v>0</v>
      </c>
      <c r="CH108" s="158" t="n">
        <f aca="false">CG123*Assumption!$K$469/12</f>
        <v>0</v>
      </c>
      <c r="CI108" s="158" t="n">
        <f aca="false">CH123*Assumption!$K$469/12</f>
        <v>0</v>
      </c>
      <c r="CJ108" s="158" t="n">
        <f aca="false">CI123*Assumption!$K$469/12</f>
        <v>0</v>
      </c>
      <c r="CK108" s="158" t="n">
        <f aca="false">CJ123*Assumption!$K$469/12</f>
        <v>0</v>
      </c>
      <c r="CL108" s="158" t="n">
        <f aca="false">CK123*Assumption!$K$469/12</f>
        <v>0</v>
      </c>
      <c r="CM108" s="158" t="n">
        <f aca="false">CL123*Assumption!$K$469/12</f>
        <v>0</v>
      </c>
      <c r="CN108" s="158" t="n">
        <f aca="false">CM123*Assumption!$K$469/12</f>
        <v>0</v>
      </c>
      <c r="CO108" s="158" t="n">
        <f aca="false">CN123*Assumption!$K$469/12</f>
        <v>0</v>
      </c>
      <c r="CP108" s="158" t="n">
        <f aca="false">CO123*Assumption!$K$469/12</f>
        <v>0</v>
      </c>
      <c r="CQ108" s="158" t="n">
        <f aca="false">CP123*Assumption!$K$469/12</f>
        <v>0</v>
      </c>
      <c r="CR108" s="158" t="n">
        <f aca="false">CQ123*Assumption!$K$469/12</f>
        <v>0</v>
      </c>
      <c r="CS108" s="158" t="n">
        <f aca="false">CR123*Assumption!$K$469/12</f>
        <v>0</v>
      </c>
      <c r="CT108" s="158" t="n">
        <f aca="false">CS123*Assumption!$K$469/12</f>
        <v>0</v>
      </c>
      <c r="CU108" s="158" t="n">
        <f aca="false">CT123*Assumption!$K$469/12</f>
        <v>0</v>
      </c>
      <c r="CV108" s="158" t="n">
        <f aca="false">CU123*Assumption!$K$469/12</f>
        <v>0</v>
      </c>
      <c r="CW108" s="158" t="n">
        <f aca="false">CV123*Assumption!$K$469/12</f>
        <v>0</v>
      </c>
      <c r="CX108" s="158" t="n">
        <f aca="false">CW123*Assumption!$K$469/12</f>
        <v>0</v>
      </c>
      <c r="CY108" s="158" t="n">
        <f aca="false">CX123*Assumption!$K$469/12</f>
        <v>0</v>
      </c>
      <c r="CZ108" s="158" t="n">
        <f aca="false">CY123*Assumption!$K$469/12</f>
        <v>0</v>
      </c>
      <c r="DA108" s="158" t="n">
        <f aca="false">CZ123*Assumption!$K$469/12</f>
        <v>0</v>
      </c>
      <c r="DB108" s="158" t="n">
        <f aca="false">DA123*Assumption!$K$469/12</f>
        <v>0</v>
      </c>
      <c r="DC108" s="158" t="n">
        <f aca="false">DB123*Assumption!$K$469/12</f>
        <v>0</v>
      </c>
      <c r="DD108" s="158" t="n">
        <f aca="false">DC123*Assumption!$K$469/12</f>
        <v>0</v>
      </c>
      <c r="DE108" s="158" t="n">
        <f aca="false">DD123*Assumption!$K$469/12</f>
        <v>0</v>
      </c>
      <c r="DF108" s="158" t="n">
        <f aca="false">DE123*Assumption!$K$469/12</f>
        <v>0</v>
      </c>
      <c r="DG108" s="158" t="n">
        <f aca="false">DF123*Assumption!$K$469/12</f>
        <v>0</v>
      </c>
      <c r="DH108" s="158" t="n">
        <f aca="false">DG123*Assumption!$K$469/12</f>
        <v>0</v>
      </c>
      <c r="DI108" s="158" t="n">
        <f aca="false">DH123*Assumption!$K$469/12</f>
        <v>0</v>
      </c>
      <c r="DJ108" s="158" t="n">
        <f aca="false">DI123*Assumption!$K$469/12</f>
        <v>0</v>
      </c>
      <c r="DK108" s="158" t="n">
        <f aca="false">DJ123*Assumption!$K$469/12</f>
        <v>0</v>
      </c>
      <c r="DL108" s="158" t="n">
        <f aca="false">DK123*Assumption!$K$469/12</f>
        <v>0</v>
      </c>
      <c r="DM108" s="158" t="n">
        <f aca="false">DL123*Assumption!$K$469/12</f>
        <v>0</v>
      </c>
      <c r="DN108" s="158" t="n">
        <f aca="false">DM123*Assumption!$K$469/12</f>
        <v>0</v>
      </c>
      <c r="DO108" s="158" t="n">
        <f aca="false">DN123*Assumption!$K$469/12</f>
        <v>0</v>
      </c>
      <c r="DP108" s="158" t="n">
        <f aca="false">DO123*Assumption!$K$469/12</f>
        <v>0</v>
      </c>
      <c r="DQ108" s="158" t="n">
        <f aca="false">DP123*Assumption!$K$469/12</f>
        <v>0</v>
      </c>
      <c r="DR108" s="158" t="n">
        <f aca="false">DQ123*Assumption!$K$469/12</f>
        <v>0</v>
      </c>
      <c r="DS108" s="158" t="n">
        <f aca="false">DR123*Assumption!$K$469/12</f>
        <v>0</v>
      </c>
      <c r="DT108" s="158" t="n">
        <f aca="false">DS123*Assumption!$K$469/12</f>
        <v>0</v>
      </c>
      <c r="DU108" s="158" t="n">
        <f aca="false">DT123*Assumption!$K$469/12</f>
        <v>0</v>
      </c>
      <c r="DV108" s="158" t="n">
        <f aca="false">DU123*Assumption!$K$469/12</f>
        <v>0</v>
      </c>
      <c r="DW108" s="158" t="n">
        <f aca="false">DV123*Assumption!$K$469/12</f>
        <v>0</v>
      </c>
      <c r="DX108" s="158" t="n">
        <f aca="false">DW123*Assumption!$K$469/12</f>
        <v>0</v>
      </c>
      <c r="DY108" s="158" t="n">
        <f aca="false">DX123*Assumption!$K$469/12</f>
        <v>0</v>
      </c>
      <c r="DZ108" s="158" t="n">
        <f aca="false">DY123*Assumption!$K$469/12</f>
        <v>0</v>
      </c>
      <c r="EA108" s="158" t="n">
        <f aca="false">DZ123*Assumption!$K$469/12</f>
        <v>0</v>
      </c>
      <c r="EB108" s="158" t="n">
        <f aca="false">EA123*Assumption!$K$469/12</f>
        <v>0</v>
      </c>
      <c r="EC108" s="158" t="n">
        <f aca="false">EB123*Assumption!$K$469/12</f>
        <v>0</v>
      </c>
      <c r="ED108" s="158" t="n">
        <f aca="false">EC123*Assumption!$K$469/12</f>
        <v>0</v>
      </c>
      <c r="EE108" s="158" t="n">
        <f aca="false">ED123*Assumption!$K$469/12</f>
        <v>0</v>
      </c>
      <c r="EF108" s="158" t="n">
        <f aca="false">EE123*Assumption!$K$469/12</f>
        <v>0</v>
      </c>
    </row>
    <row r="109" customFormat="false" ht="15" hidden="false" customHeight="false" outlineLevel="0" collapsed="false">
      <c r="A109" s="112" t="s">
        <v>566</v>
      </c>
      <c r="B109" s="241" t="s">
        <v>116</v>
      </c>
      <c r="C109" s="242" t="n">
        <f aca="false">SUM(E109:EF109)</f>
        <v>13013.0590317863</v>
      </c>
      <c r="E109" s="158" t="n">
        <f aca="false">E11*MAX(0,Assumption!$E$436-0)*Assumption!$O$467/12</f>
        <v>0</v>
      </c>
      <c r="F109" s="158" t="n">
        <f aca="false">F11*MAX(0,Assumption!$E$436-E121)*Assumption!$O$467/12</f>
        <v>0</v>
      </c>
      <c r="G109" s="158" t="n">
        <f aca="false">G11*MAX(0,Assumption!$E$436-F121)*Assumption!$O$467/12</f>
        <v>0</v>
      </c>
      <c r="H109" s="158" t="n">
        <f aca="false">H11*MAX(0,Assumption!$E$436-G121)*Assumption!$O$467/12</f>
        <v>0</v>
      </c>
      <c r="I109" s="158" t="n">
        <f aca="false">I11*MAX(0,Assumption!$E$436-H121)*Assumption!$O$467/12</f>
        <v>0</v>
      </c>
      <c r="J109" s="158" t="n">
        <f aca="false">J11*MAX(0,Assumption!$E$436-I121)*Assumption!$O$467/12</f>
        <v>0</v>
      </c>
      <c r="K109" s="158" t="n">
        <f aca="false">K11*MAX(0,Assumption!$E$436-J121)*Assumption!$O$467/12</f>
        <v>0</v>
      </c>
      <c r="L109" s="158" t="n">
        <f aca="false">L11*MAX(0,Assumption!$E$436-K121)*Assumption!$O$467/12</f>
        <v>0</v>
      </c>
      <c r="M109" s="158" t="n">
        <f aca="false">M11*MAX(0,Assumption!$E$436-L121)*Assumption!$O$467/12</f>
        <v>0</v>
      </c>
      <c r="N109" s="158" t="n">
        <f aca="false">N11*MAX(0,Assumption!$E$436-M121)*Assumption!$O$467/12</f>
        <v>0</v>
      </c>
      <c r="O109" s="158" t="n">
        <f aca="false">O11*MAX(0,Assumption!$E$436-N121)*Assumption!$O$467/12</f>
        <v>0</v>
      </c>
      <c r="P109" s="158" t="n">
        <f aca="false">P11*MAX(0,Assumption!$E$436-O121)*Assumption!$O$467/12</f>
        <v>0</v>
      </c>
      <c r="Q109" s="158" t="n">
        <f aca="false">Q11*MAX(0,Assumption!$E$436-P121)*Assumption!$O$467/12</f>
        <v>0</v>
      </c>
      <c r="R109" s="158" t="n">
        <f aca="false">R11*MAX(0,Assumption!$E$436-Q121)*Assumption!$O$467/12</f>
        <v>0</v>
      </c>
      <c r="S109" s="158" t="n">
        <f aca="false">S11*MAX(0,Assumption!$E$436-R121)*Assumption!$O$467/12</f>
        <v>0</v>
      </c>
      <c r="T109" s="158" t="n">
        <f aca="false">T11*MAX(0,Assumption!$E$436-S121)*Assumption!$O$467/12</f>
        <v>0</v>
      </c>
      <c r="U109" s="158" t="n">
        <f aca="false">U11*MAX(0,Assumption!$E$436-T121)*Assumption!$O$467/12</f>
        <v>0</v>
      </c>
      <c r="V109" s="158" t="n">
        <f aca="false">V11*MAX(0,Assumption!$E$436-U121)*Assumption!$O$467/12</f>
        <v>0</v>
      </c>
      <c r="W109" s="158" t="n">
        <f aca="false">W11*MAX(0,Assumption!$E$436-V121)*Assumption!$O$467/12</f>
        <v>342.123968492018</v>
      </c>
      <c r="X109" s="158" t="n">
        <f aca="false">X11*MAX(0,Assumption!$E$436-W121)*Assumption!$O$467/12</f>
        <v>342.123968492018</v>
      </c>
      <c r="Y109" s="158" t="n">
        <f aca="false">Y11*MAX(0,Assumption!$E$436-X121)*Assumption!$O$467/12</f>
        <v>342.123968492018</v>
      </c>
      <c r="Z109" s="158" t="n">
        <f aca="false">Z11*MAX(0,Assumption!$E$436-Y121)*Assumption!$O$467/12</f>
        <v>342.123968492018</v>
      </c>
      <c r="AA109" s="158" t="n">
        <f aca="false">AA11*MAX(0,Assumption!$E$436-Z121)*Assumption!$O$467/12</f>
        <v>342.123968492018</v>
      </c>
      <c r="AB109" s="158" t="n">
        <f aca="false">AB11*MAX(0,Assumption!$E$436-AA121)*Assumption!$O$467/12</f>
        <v>342.123968492018</v>
      </c>
      <c r="AC109" s="158" t="n">
        <f aca="false">AC11*MAX(0,Assumption!$E$436-AB121)*Assumption!$O$467/12</f>
        <v>342.123968492018</v>
      </c>
      <c r="AD109" s="158" t="n">
        <f aca="false">AD11*MAX(0,Assumption!$E$436-AC121)*Assumption!$O$467/12</f>
        <v>342.123968492018</v>
      </c>
      <c r="AE109" s="158" t="n">
        <f aca="false">AE11*MAX(0,Assumption!$E$436-AD121)*Assumption!$O$467/12</f>
        <v>342.123968492018</v>
      </c>
      <c r="AF109" s="158" t="n">
        <f aca="false">AF11*MAX(0,Assumption!$E$436-AE121)*Assumption!$O$467/12</f>
        <v>342.123968492018</v>
      </c>
      <c r="AG109" s="158" t="n">
        <f aca="false">AG11*MAX(0,Assumption!$E$436-AF121)*Assumption!$O$467/12</f>
        <v>342.123968492018</v>
      </c>
      <c r="AH109" s="158" t="n">
        <f aca="false">AH11*MAX(0,Assumption!$E$436-AG121)*Assumption!$O$467/12</f>
        <v>342.123968492018</v>
      </c>
      <c r="AI109" s="158" t="n">
        <f aca="false">AI11*MAX(0,Assumption!$E$436-AH121)*Assumption!$O$467/12</f>
        <v>342.123968492018</v>
      </c>
      <c r="AJ109" s="158" t="n">
        <f aca="false">AJ11*MAX(0,Assumption!$E$436-AI121)*Assumption!$O$467/12</f>
        <v>342.123968492018</v>
      </c>
      <c r="AK109" s="158" t="n">
        <f aca="false">AK11*MAX(0,Assumption!$E$436-AJ121)*Assumption!$O$467/12</f>
        <v>342.123968492018</v>
      </c>
      <c r="AL109" s="158" t="n">
        <f aca="false">AL11*MAX(0,Assumption!$E$436-AK121)*Assumption!$O$467/12</f>
        <v>342.123968492018</v>
      </c>
      <c r="AM109" s="158" t="n">
        <f aca="false">AM11*MAX(0,Assumption!$E$436-AL121)*Assumption!$O$467/12</f>
        <v>342.123968492018</v>
      </c>
      <c r="AN109" s="158" t="n">
        <f aca="false">AN11*MAX(0,Assumption!$E$436-AM121)*Assumption!$O$467/12</f>
        <v>342.123968492018</v>
      </c>
      <c r="AO109" s="158" t="n">
        <f aca="false">AO11*MAX(0,Assumption!$E$436-AN121)*Assumption!$O$467/12</f>
        <v>342.123968492018</v>
      </c>
      <c r="AP109" s="158" t="n">
        <f aca="false">AP11*MAX(0,Assumption!$E$436-AO121)*Assumption!$O$467/12</f>
        <v>342.123968492018</v>
      </c>
      <c r="AQ109" s="158" t="n">
        <f aca="false">AQ11*MAX(0,Assumption!$E$436-AP121)*Assumption!$O$467/12</f>
        <v>342.123968492018</v>
      </c>
      <c r="AR109" s="158" t="n">
        <f aca="false">AR11*MAX(0,Assumption!$E$436-AQ121)*Assumption!$O$467/12</f>
        <v>342.123968492018</v>
      </c>
      <c r="AS109" s="158" t="n">
        <f aca="false">AS11*MAX(0,Assumption!$E$436-AR121)*Assumption!$O$467/12</f>
        <v>342.123968492018</v>
      </c>
      <c r="AT109" s="158" t="n">
        <f aca="false">AT11*MAX(0,Assumption!$E$436-AS121)*Assumption!$O$467/12</f>
        <v>342.123968492018</v>
      </c>
      <c r="AU109" s="158" t="n">
        <f aca="false">AU11*MAX(0,Assumption!$E$436-AT121)*Assumption!$O$467/12</f>
        <v>342.123968492018</v>
      </c>
      <c r="AV109" s="158" t="n">
        <f aca="false">AV11*MAX(0,Assumption!$E$436-AU121)*Assumption!$O$467/12</f>
        <v>338.764509873586</v>
      </c>
      <c r="AW109" s="158" t="n">
        <f aca="false">AW11*MAX(0,Assumption!$E$436-AV121)*Assumption!$O$467/12</f>
        <v>322.128947433344</v>
      </c>
      <c r="AX109" s="158" t="n">
        <f aca="false">AX11*MAX(0,Assumption!$E$436-AW121)*Assumption!$O$467/12</f>
        <v>305.849055707309</v>
      </c>
      <c r="AY109" s="158" t="n">
        <f aca="false">AY11*MAX(0,Assumption!$E$436-AX121)*Assumption!$O$467/12</f>
        <v>290.0089467246</v>
      </c>
      <c r="AZ109" s="158" t="n">
        <f aca="false">AZ11*MAX(0,Assumption!$E$436-AY121)*Assumption!$O$467/12</f>
        <v>274.690238412198</v>
      </c>
      <c r="BA109" s="158" t="n">
        <f aca="false">BA11*MAX(0,Assumption!$E$436-AZ121)*Assumption!$O$467/12</f>
        <v>259.971597981095</v>
      </c>
      <c r="BB109" s="158" t="n">
        <f aca="false">BB11*MAX(0,Assumption!$E$436-BA121)*Assumption!$O$467/12</f>
        <v>259.971597981095</v>
      </c>
      <c r="BC109" s="158" t="n">
        <f aca="false">BC11*MAX(0,Assumption!$E$436-BB121)*Assumption!$O$467/12</f>
        <v>259.971597981095</v>
      </c>
      <c r="BD109" s="158" t="n">
        <f aca="false">BD11*MAX(0,Assumption!$E$436-BC121)*Assumption!$O$467/12</f>
        <v>259.971597981095</v>
      </c>
      <c r="BE109" s="158" t="n">
        <f aca="false">BE11*MAX(0,Assumption!$E$436-BD121)*Assumption!$O$467/12</f>
        <v>259.971597981095</v>
      </c>
      <c r="BF109" s="158" t="n">
        <f aca="false">BF11*MAX(0,Assumption!$E$436-BE121)*Assumption!$O$467/12</f>
        <v>255.490975032877</v>
      </c>
      <c r="BG109" s="158" t="n">
        <f aca="false">BG11*MAX(0,Assumption!$E$436-BF121)*Assumption!$O$467/12</f>
        <v>246.094734306652</v>
      </c>
      <c r="BH109" s="158" t="n">
        <f aca="false">BH11*MAX(0,Assumption!$E$436-BG121)*Assumption!$O$467/12</f>
        <v>237.733758370671</v>
      </c>
      <c r="BI109" s="158" t="n">
        <f aca="false">BI11*MAX(0,Assumption!$E$436-BH121)*Assumption!$O$467/12</f>
        <v>230.449145364314</v>
      </c>
      <c r="BJ109" s="158" t="n">
        <f aca="false">BJ11*MAX(0,Assumption!$E$436-BI121)*Assumption!$O$467/12</f>
        <v>224.275945669699</v>
      </c>
      <c r="BK109" s="158" t="n">
        <f aca="false">BK11*MAX(0,Assumption!$E$436-BJ121)*Assumption!$O$467/12</f>
        <v>219.242965754227</v>
      </c>
      <c r="BL109" s="158" t="n">
        <f aca="false">BL11*MAX(0,Assumption!$E$436-BK121)*Assumption!$O$467/12</f>
        <v>215.372606930934</v>
      </c>
      <c r="BM109" s="158" t="n">
        <f aca="false">BM11*MAX(0,Assumption!$E$436-BL121)*Assumption!$O$467/12</f>
        <v>0</v>
      </c>
      <c r="BN109" s="158" t="n">
        <f aca="false">BN11*MAX(0,Assumption!$E$436-BM121)*Assumption!$O$467/12</f>
        <v>0</v>
      </c>
      <c r="BO109" s="158" t="n">
        <f aca="false">BO11*MAX(0,Assumption!$E$436-BN121)*Assumption!$O$467/12</f>
        <v>0</v>
      </c>
      <c r="BP109" s="158" t="n">
        <f aca="false">BP11*MAX(0,Assumption!$E$436-BO121)*Assumption!$O$467/12</f>
        <v>0</v>
      </c>
      <c r="BQ109" s="158" t="n">
        <f aca="false">BQ11*MAX(0,Assumption!$E$436-BP121)*Assumption!$O$467/12</f>
        <v>0</v>
      </c>
      <c r="BR109" s="158" t="n">
        <f aca="false">BR11*MAX(0,Assumption!$E$436-BQ121)*Assumption!$O$467/12</f>
        <v>0</v>
      </c>
      <c r="BS109" s="158" t="n">
        <f aca="false">BS11*MAX(0,Assumption!$E$436-BR121)*Assumption!$O$467/12</f>
        <v>0</v>
      </c>
      <c r="BT109" s="158" t="n">
        <f aca="false">BT11*MAX(0,Assumption!$E$436-BS121)*Assumption!$O$467/12</f>
        <v>0</v>
      </c>
      <c r="BU109" s="158" t="n">
        <f aca="false">BU11*MAX(0,Assumption!$E$436-BT121)*Assumption!$O$467/12</f>
        <v>0</v>
      </c>
      <c r="BV109" s="158" t="n">
        <f aca="false">BV11*MAX(0,Assumption!$E$436-BU121)*Assumption!$O$467/12</f>
        <v>0</v>
      </c>
      <c r="BW109" s="158" t="n">
        <f aca="false">BW11*MAX(0,Assumption!$E$436-BV121)*Assumption!$O$467/12</f>
        <v>0</v>
      </c>
      <c r="BX109" s="158" t="n">
        <f aca="false">BX11*MAX(0,Assumption!$E$436-BW121)*Assumption!$O$467/12</f>
        <v>0</v>
      </c>
      <c r="BY109" s="158" t="n">
        <f aca="false">BY11*MAX(0,Assumption!$E$436-BX121)*Assumption!$O$467/12</f>
        <v>0</v>
      </c>
      <c r="BZ109" s="158" t="n">
        <f aca="false">BZ11*MAX(0,Assumption!$E$436-BY121)*Assumption!$O$467/12</f>
        <v>0</v>
      </c>
      <c r="CA109" s="158" t="n">
        <f aca="false">CA11*MAX(0,Assumption!$E$436-BZ121)*Assumption!$O$467/12</f>
        <v>0</v>
      </c>
      <c r="CB109" s="158" t="n">
        <f aca="false">CB11*MAX(0,Assumption!$E$436-CA121)*Assumption!$O$467/12</f>
        <v>0</v>
      </c>
      <c r="CC109" s="158" t="n">
        <f aca="false">CC11*MAX(0,Assumption!$E$436-CB121)*Assumption!$O$467/12</f>
        <v>0</v>
      </c>
      <c r="CD109" s="158" t="n">
        <f aca="false">CD11*MAX(0,Assumption!$E$436-CC121)*Assumption!$O$467/12</f>
        <v>0</v>
      </c>
      <c r="CE109" s="158" t="n">
        <f aca="false">CE11*MAX(0,Assumption!$E$436-CD121)*Assumption!$O$467/12</f>
        <v>0</v>
      </c>
      <c r="CF109" s="158" t="n">
        <f aca="false">CF11*MAX(0,Assumption!$E$436-CE121)*Assumption!$O$467/12</f>
        <v>0</v>
      </c>
      <c r="CG109" s="158" t="n">
        <f aca="false">CG11*MAX(0,Assumption!$E$436-CF121)*Assumption!$O$467/12</f>
        <v>0</v>
      </c>
      <c r="CH109" s="158" t="n">
        <f aca="false">CH11*MAX(0,Assumption!$E$436-CG121)*Assumption!$O$467/12</f>
        <v>0</v>
      </c>
      <c r="CI109" s="158" t="n">
        <f aca="false">CI11*MAX(0,Assumption!$E$436-CH121)*Assumption!$O$467/12</f>
        <v>0</v>
      </c>
      <c r="CJ109" s="158" t="n">
        <f aca="false">CJ11*MAX(0,Assumption!$E$436-CI121)*Assumption!$O$467/12</f>
        <v>0</v>
      </c>
      <c r="CK109" s="158" t="n">
        <f aca="false">CK11*MAX(0,Assumption!$E$436-CJ121)*Assumption!$O$467/12</f>
        <v>0</v>
      </c>
      <c r="CL109" s="158" t="n">
        <f aca="false">CL11*MAX(0,Assumption!$E$436-CK121)*Assumption!$O$467/12</f>
        <v>0</v>
      </c>
      <c r="CM109" s="158" t="n">
        <f aca="false">CM11*MAX(0,Assumption!$E$436-CL121)*Assumption!$O$467/12</f>
        <v>0</v>
      </c>
      <c r="CN109" s="158" t="n">
        <f aca="false">CN11*MAX(0,Assumption!$E$436-CM121)*Assumption!$O$467/12</f>
        <v>0</v>
      </c>
      <c r="CO109" s="158" t="n">
        <f aca="false">CO11*MAX(0,Assumption!$E$436-CN121)*Assumption!$O$467/12</f>
        <v>0</v>
      </c>
      <c r="CP109" s="158" t="n">
        <f aca="false">CP11*MAX(0,Assumption!$E$436-CO121)*Assumption!$O$467/12</f>
        <v>0</v>
      </c>
      <c r="CQ109" s="158" t="n">
        <f aca="false">CQ11*MAX(0,Assumption!$E$436-CP121)*Assumption!$O$467/12</f>
        <v>0</v>
      </c>
      <c r="CR109" s="158" t="n">
        <f aca="false">CR11*MAX(0,Assumption!$E$436-CQ121)*Assumption!$O$467/12</f>
        <v>0</v>
      </c>
      <c r="CS109" s="158" t="n">
        <f aca="false">CS11*MAX(0,Assumption!$E$436-CR121)*Assumption!$O$467/12</f>
        <v>0</v>
      </c>
      <c r="CT109" s="158" t="n">
        <f aca="false">CT11*MAX(0,Assumption!$E$436-CS121)*Assumption!$O$467/12</f>
        <v>0</v>
      </c>
      <c r="CU109" s="158" t="n">
        <f aca="false">CU11*MAX(0,Assumption!$E$436-CT121)*Assumption!$O$467/12</f>
        <v>0</v>
      </c>
      <c r="CV109" s="158" t="n">
        <f aca="false">CV11*MAX(0,Assumption!$E$436-CU121)*Assumption!$O$467/12</f>
        <v>0</v>
      </c>
      <c r="CW109" s="158" t="n">
        <f aca="false">CW11*MAX(0,Assumption!$E$436-CV121)*Assumption!$O$467/12</f>
        <v>0</v>
      </c>
      <c r="CX109" s="158" t="n">
        <f aca="false">CX11*MAX(0,Assumption!$E$436-CW121)*Assumption!$O$467/12</f>
        <v>0</v>
      </c>
      <c r="CY109" s="158" t="n">
        <f aca="false">CY11*MAX(0,Assumption!$E$436-CX121)*Assumption!$O$467/12</f>
        <v>0</v>
      </c>
      <c r="CZ109" s="158" t="n">
        <f aca="false">CZ11*MAX(0,Assumption!$E$436-CY121)*Assumption!$O$467/12</f>
        <v>0</v>
      </c>
      <c r="DA109" s="158" t="n">
        <f aca="false">DA11*MAX(0,Assumption!$E$436-CZ121)*Assumption!$O$467/12</f>
        <v>0</v>
      </c>
      <c r="DB109" s="158" t="n">
        <f aca="false">DB11*MAX(0,Assumption!$E$436-DA121)*Assumption!$O$467/12</f>
        <v>0</v>
      </c>
      <c r="DC109" s="158" t="n">
        <f aca="false">DC11*MAX(0,Assumption!$E$436-DB121)*Assumption!$O$467/12</f>
        <v>0</v>
      </c>
      <c r="DD109" s="158" t="n">
        <f aca="false">DD11*MAX(0,Assumption!$E$436-DC121)*Assumption!$O$467/12</f>
        <v>0</v>
      </c>
      <c r="DE109" s="158" t="n">
        <f aca="false">DE11*MAX(0,Assumption!$E$436-DD121)*Assumption!$O$467/12</f>
        <v>0</v>
      </c>
      <c r="DF109" s="158" t="n">
        <f aca="false">DF11*MAX(0,Assumption!$E$436-DE121)*Assumption!$O$467/12</f>
        <v>0</v>
      </c>
      <c r="DG109" s="158" t="n">
        <f aca="false">DG11*MAX(0,Assumption!$E$436-DF121)*Assumption!$O$467/12</f>
        <v>0</v>
      </c>
      <c r="DH109" s="158" t="n">
        <f aca="false">DH11*MAX(0,Assumption!$E$436-DG121)*Assumption!$O$467/12</f>
        <v>0</v>
      </c>
      <c r="DI109" s="158" t="n">
        <f aca="false">DI11*MAX(0,Assumption!$E$436-DH121)*Assumption!$O$467/12</f>
        <v>0</v>
      </c>
      <c r="DJ109" s="158" t="n">
        <f aca="false">DJ11*MAX(0,Assumption!$E$436-DI121)*Assumption!$O$467/12</f>
        <v>0</v>
      </c>
      <c r="DK109" s="158" t="n">
        <f aca="false">DK11*MAX(0,Assumption!$E$436-DJ121)*Assumption!$O$467/12</f>
        <v>0</v>
      </c>
      <c r="DL109" s="158" t="n">
        <f aca="false">DL11*MAX(0,Assumption!$E$436-DK121)*Assumption!$O$467/12</f>
        <v>0</v>
      </c>
      <c r="DM109" s="158" t="n">
        <f aca="false">DM11*MAX(0,Assumption!$E$436-DL121)*Assumption!$O$467/12</f>
        <v>0</v>
      </c>
      <c r="DN109" s="158" t="n">
        <f aca="false">DN11*MAX(0,Assumption!$E$436-DM121)*Assumption!$O$467/12</f>
        <v>0</v>
      </c>
      <c r="DO109" s="158" t="n">
        <f aca="false">DO11*MAX(0,Assumption!$E$436-DN121)*Assumption!$O$467/12</f>
        <v>0</v>
      </c>
      <c r="DP109" s="158" t="n">
        <f aca="false">DP11*MAX(0,Assumption!$E$436-DO121)*Assumption!$O$467/12</f>
        <v>0</v>
      </c>
      <c r="DQ109" s="158" t="n">
        <f aca="false">DQ11*MAX(0,Assumption!$E$436-DP121)*Assumption!$O$467/12</f>
        <v>0</v>
      </c>
      <c r="DR109" s="158" t="n">
        <f aca="false">DR11*MAX(0,Assumption!$E$436-DQ121)*Assumption!$O$467/12</f>
        <v>0</v>
      </c>
      <c r="DS109" s="158" t="n">
        <f aca="false">DS11*MAX(0,Assumption!$E$436-DR121)*Assumption!$O$467/12</f>
        <v>0</v>
      </c>
      <c r="DT109" s="158" t="n">
        <f aca="false">DT11*MAX(0,Assumption!$E$436-DS121)*Assumption!$O$467/12</f>
        <v>0</v>
      </c>
      <c r="DU109" s="158" t="n">
        <f aca="false">DU11*MAX(0,Assumption!$E$436-DT121)*Assumption!$O$467/12</f>
        <v>0</v>
      </c>
      <c r="DV109" s="158" t="n">
        <f aca="false">DV11*MAX(0,Assumption!$E$436-DU121)*Assumption!$O$467/12</f>
        <v>0</v>
      </c>
      <c r="DW109" s="158" t="n">
        <f aca="false">DW11*MAX(0,Assumption!$E$436-DV121)*Assumption!$O$467/12</f>
        <v>0</v>
      </c>
      <c r="DX109" s="158" t="n">
        <f aca="false">DX11*MAX(0,Assumption!$E$436-DW121)*Assumption!$O$467/12</f>
        <v>0</v>
      </c>
      <c r="DY109" s="158" t="n">
        <f aca="false">DY11*MAX(0,Assumption!$E$436-DX121)*Assumption!$O$467/12</f>
        <v>0</v>
      </c>
      <c r="DZ109" s="158" t="n">
        <f aca="false">DZ11*MAX(0,Assumption!$E$436-DY121)*Assumption!$O$467/12</f>
        <v>0</v>
      </c>
      <c r="EA109" s="158" t="n">
        <f aca="false">EA11*MAX(0,Assumption!$E$436-DZ121)*Assumption!$O$467/12</f>
        <v>0</v>
      </c>
      <c r="EB109" s="158" t="n">
        <f aca="false">EB11*MAX(0,Assumption!$E$436-EA121)*Assumption!$O$467/12</f>
        <v>0</v>
      </c>
      <c r="EC109" s="158" t="n">
        <f aca="false">EC11*MAX(0,Assumption!$E$436-EB121)*Assumption!$O$467/12</f>
        <v>0</v>
      </c>
      <c r="ED109" s="158" t="n">
        <f aca="false">ED11*MAX(0,Assumption!$E$436-EC121)*Assumption!$O$467/12</f>
        <v>0</v>
      </c>
      <c r="EE109" s="158" t="n">
        <f aca="false">EE11*MAX(0,Assumption!$E$436-ED121)*Assumption!$O$467/12</f>
        <v>0</v>
      </c>
      <c r="EF109" s="158" t="n">
        <f aca="false">EF11*MAX(0,Assumption!$E$436-EE121)*Assumption!$O$467/12</f>
        <v>0</v>
      </c>
    </row>
    <row r="110" customFormat="false" ht="15" hidden="false" customHeight="false" outlineLevel="0" collapsed="false">
      <c r="A110" s="112" t="s">
        <v>567</v>
      </c>
      <c r="B110" s="241" t="s">
        <v>116</v>
      </c>
      <c r="C110" s="242" t="n">
        <f aca="false">SUM(E110:EF110)</f>
        <v>1560.68097022578</v>
      </c>
      <c r="E110" s="158" t="n">
        <f aca="false">E11*MAX(0,Assumption!$E$437-0)*Assumption!$O$468/12</f>
        <v>0</v>
      </c>
      <c r="F110" s="158" t="n">
        <f aca="false">F11*MAX(0,Assumption!$E$437-E122)*Assumption!$O$468/12</f>
        <v>0</v>
      </c>
      <c r="G110" s="158" t="n">
        <f aca="false">G11*MAX(0,Assumption!$E$437-F122)*Assumption!$O$468/12</f>
        <v>0</v>
      </c>
      <c r="H110" s="158" t="n">
        <f aca="false">H11*MAX(0,Assumption!$E$437-G122)*Assumption!$O$468/12</f>
        <v>0</v>
      </c>
      <c r="I110" s="158" t="n">
        <f aca="false">I11*MAX(0,Assumption!$E$437-H122)*Assumption!$O$468/12</f>
        <v>0</v>
      </c>
      <c r="J110" s="158" t="n">
        <f aca="false">J11*MAX(0,Assumption!$E$437-I122)*Assumption!$O$468/12</f>
        <v>0</v>
      </c>
      <c r="K110" s="158" t="n">
        <f aca="false">K11*MAX(0,Assumption!$E$437-J122)*Assumption!$O$468/12</f>
        <v>0</v>
      </c>
      <c r="L110" s="158" t="n">
        <f aca="false">L11*MAX(0,Assumption!$E$437-K122)*Assumption!$O$468/12</f>
        <v>0</v>
      </c>
      <c r="M110" s="158" t="n">
        <f aca="false">M11*MAX(0,Assumption!$E$437-L122)*Assumption!$O$468/12</f>
        <v>0</v>
      </c>
      <c r="N110" s="158" t="n">
        <f aca="false">N11*MAX(0,Assumption!$E$437-M122)*Assumption!$O$468/12</f>
        <v>0</v>
      </c>
      <c r="O110" s="158" t="n">
        <f aca="false">O11*MAX(0,Assumption!$E$437-N122)*Assumption!$O$468/12</f>
        <v>0</v>
      </c>
      <c r="P110" s="158" t="n">
        <f aca="false">P11*MAX(0,Assumption!$E$437-O122)*Assumption!$O$468/12</f>
        <v>0</v>
      </c>
      <c r="Q110" s="158" t="n">
        <f aca="false">Q11*MAX(0,Assumption!$E$437-P122)*Assumption!$O$468/12</f>
        <v>0</v>
      </c>
      <c r="R110" s="158" t="n">
        <f aca="false">R11*MAX(0,Assumption!$E$437-Q122)*Assumption!$O$468/12</f>
        <v>0</v>
      </c>
      <c r="S110" s="158" t="n">
        <f aca="false">S11*MAX(0,Assumption!$E$437-R122)*Assumption!$O$468/12</f>
        <v>0</v>
      </c>
      <c r="T110" s="158" t="n">
        <f aca="false">T11*MAX(0,Assumption!$E$437-S122)*Assumption!$O$468/12</f>
        <v>0</v>
      </c>
      <c r="U110" s="158" t="n">
        <f aca="false">U11*MAX(0,Assumption!$E$437-T122)*Assumption!$O$468/12</f>
        <v>0</v>
      </c>
      <c r="V110" s="158" t="n">
        <f aca="false">V11*MAX(0,Assumption!$E$437-U122)*Assumption!$O$468/12</f>
        <v>0</v>
      </c>
      <c r="W110" s="158" t="n">
        <f aca="false">W11*MAX(0,Assumption!$E$437-V122)*Assumption!$O$468/12</f>
        <v>68.443952257468</v>
      </c>
      <c r="X110" s="158" t="n">
        <f aca="false">X11*MAX(0,Assumption!$E$437-W122)*Assumption!$O$468/12</f>
        <v>68.443952257468</v>
      </c>
      <c r="Y110" s="158" t="n">
        <f aca="false">Y11*MAX(0,Assumption!$E$437-X122)*Assumption!$O$468/12</f>
        <v>68.443952257468</v>
      </c>
      <c r="Z110" s="158" t="n">
        <f aca="false">Z11*MAX(0,Assumption!$E$437-Y122)*Assumption!$O$468/12</f>
        <v>68.443952257468</v>
      </c>
      <c r="AA110" s="158" t="n">
        <f aca="false">AA11*MAX(0,Assumption!$E$437-Z122)*Assumption!$O$468/12</f>
        <v>68.443952257468</v>
      </c>
      <c r="AB110" s="158" t="n">
        <f aca="false">AB11*MAX(0,Assumption!$E$437-AA122)*Assumption!$O$468/12</f>
        <v>68.443952257468</v>
      </c>
      <c r="AC110" s="158" t="n">
        <f aca="false">AC11*MAX(0,Assumption!$E$437-AB122)*Assumption!$O$468/12</f>
        <v>68.443952257468</v>
      </c>
      <c r="AD110" s="158" t="n">
        <f aca="false">AD11*MAX(0,Assumption!$E$437-AC122)*Assumption!$O$468/12</f>
        <v>68.443952257468</v>
      </c>
      <c r="AE110" s="158" t="n">
        <f aca="false">AE11*MAX(0,Assumption!$E$437-AD122)*Assumption!$O$468/12</f>
        <v>68.443952257468</v>
      </c>
      <c r="AF110" s="158" t="n">
        <f aca="false">AF11*MAX(0,Assumption!$E$437-AE122)*Assumption!$O$468/12</f>
        <v>68.443952257468</v>
      </c>
      <c r="AG110" s="158" t="n">
        <f aca="false">AG11*MAX(0,Assumption!$E$437-AF122)*Assumption!$O$468/12</f>
        <v>68.443952257468</v>
      </c>
      <c r="AH110" s="158" t="n">
        <f aca="false">AH11*MAX(0,Assumption!$E$437-AG122)*Assumption!$O$468/12</f>
        <v>68.443952257468</v>
      </c>
      <c r="AI110" s="158" t="n">
        <f aca="false">AI11*MAX(0,Assumption!$E$437-AH122)*Assumption!$O$468/12</f>
        <v>68.443952257468</v>
      </c>
      <c r="AJ110" s="158" t="n">
        <f aca="false">AJ11*MAX(0,Assumption!$E$437-AI122)*Assumption!$O$468/12</f>
        <v>68.443952257468</v>
      </c>
      <c r="AK110" s="158" t="n">
        <f aca="false">AK11*MAX(0,Assumption!$E$437-AJ122)*Assumption!$O$468/12</f>
        <v>68.443952257468</v>
      </c>
      <c r="AL110" s="158" t="n">
        <f aca="false">AL11*MAX(0,Assumption!$E$437-AK122)*Assumption!$O$468/12</f>
        <v>68.443952257468</v>
      </c>
      <c r="AM110" s="158" t="n">
        <f aca="false">AM11*MAX(0,Assumption!$E$437-AL122)*Assumption!$O$468/12</f>
        <v>68.443952257468</v>
      </c>
      <c r="AN110" s="158" t="n">
        <f aca="false">AN11*MAX(0,Assumption!$E$437-AM122)*Assumption!$O$468/12</f>
        <v>68.443952257468</v>
      </c>
      <c r="AO110" s="158" t="n">
        <f aca="false">AO11*MAX(0,Assumption!$E$437-AN122)*Assumption!$O$468/12</f>
        <v>59.1994745578353</v>
      </c>
      <c r="AP110" s="158" t="n">
        <f aca="false">AP11*MAX(0,Assumption!$E$437-AO122)*Assumption!$O$468/12</f>
        <v>59.1994745578353</v>
      </c>
      <c r="AQ110" s="158" t="n">
        <f aca="false">AQ11*MAX(0,Assumption!$E$437-AP122)*Assumption!$O$468/12</f>
        <v>59.1994745578353</v>
      </c>
      <c r="AR110" s="158" t="n">
        <f aca="false">AR11*MAX(0,Assumption!$E$437-AQ122)*Assumption!$O$468/12</f>
        <v>59.1994745578353</v>
      </c>
      <c r="AS110" s="158" t="n">
        <f aca="false">AS11*MAX(0,Assumption!$E$437-AR122)*Assumption!$O$468/12</f>
        <v>47.7519130800601</v>
      </c>
      <c r="AT110" s="158" t="n">
        <f aca="false">AT11*MAX(0,Assumption!$E$437-AS122)*Assumption!$O$468/12</f>
        <v>30.6033588560819</v>
      </c>
      <c r="AU110" s="158" t="n">
        <f aca="false">AU11*MAX(0,Assumption!$E$437-AT122)*Assumption!$O$468/12</f>
        <v>13.5366594238702</v>
      </c>
      <c r="AV110" s="158" t="n">
        <f aca="false">AV11*MAX(0,Assumption!$E$437-AU122)*Assumption!$O$468/12</f>
        <v>0</v>
      </c>
      <c r="AW110" s="158" t="n">
        <f aca="false">AW11*MAX(0,Assumption!$E$437-AV122)*Assumption!$O$468/12</f>
        <v>0</v>
      </c>
      <c r="AX110" s="158" t="n">
        <f aca="false">AX11*MAX(0,Assumption!$E$437-AW122)*Assumption!$O$468/12</f>
        <v>0</v>
      </c>
      <c r="AY110" s="158" t="n">
        <f aca="false">AY11*MAX(0,Assumption!$E$437-AX122)*Assumption!$O$468/12</f>
        <v>0</v>
      </c>
      <c r="AZ110" s="158" t="n">
        <f aca="false">AZ11*MAX(0,Assumption!$E$437-AY122)*Assumption!$O$468/12</f>
        <v>0</v>
      </c>
      <c r="BA110" s="158" t="n">
        <f aca="false">BA11*MAX(0,Assumption!$E$437-AZ122)*Assumption!$O$468/12</f>
        <v>0</v>
      </c>
      <c r="BB110" s="158" t="n">
        <f aca="false">BB11*MAX(0,Assumption!$E$437-BA122)*Assumption!$O$468/12</f>
        <v>0</v>
      </c>
      <c r="BC110" s="158" t="n">
        <f aca="false">BC11*MAX(0,Assumption!$E$437-BB122)*Assumption!$O$468/12</f>
        <v>0</v>
      </c>
      <c r="BD110" s="158" t="n">
        <f aca="false">BD11*MAX(0,Assumption!$E$437-BC122)*Assumption!$O$468/12</f>
        <v>0</v>
      </c>
      <c r="BE110" s="158" t="n">
        <f aca="false">BE11*MAX(0,Assumption!$E$437-BD122)*Assumption!$O$468/12</f>
        <v>0</v>
      </c>
      <c r="BF110" s="158" t="n">
        <f aca="false">BF11*MAX(0,Assumption!$E$437-BE122)*Assumption!$O$468/12</f>
        <v>0</v>
      </c>
      <c r="BG110" s="158" t="n">
        <f aca="false">BG11*MAX(0,Assumption!$E$437-BF122)*Assumption!$O$468/12</f>
        <v>0</v>
      </c>
      <c r="BH110" s="158" t="n">
        <f aca="false">BH11*MAX(0,Assumption!$E$437-BG122)*Assumption!$O$468/12</f>
        <v>0</v>
      </c>
      <c r="BI110" s="158" t="n">
        <f aca="false">BI11*MAX(0,Assumption!$E$437-BH122)*Assumption!$O$468/12</f>
        <v>0</v>
      </c>
      <c r="BJ110" s="158" t="n">
        <f aca="false">BJ11*MAX(0,Assumption!$E$437-BI122)*Assumption!$O$468/12</f>
        <v>0</v>
      </c>
      <c r="BK110" s="158" t="n">
        <f aca="false">BK11*MAX(0,Assumption!$E$437-BJ122)*Assumption!$O$468/12</f>
        <v>0</v>
      </c>
      <c r="BL110" s="158" t="n">
        <f aca="false">BL11*MAX(0,Assumption!$E$437-BK122)*Assumption!$O$468/12</f>
        <v>0</v>
      </c>
      <c r="BM110" s="158" t="n">
        <f aca="false">BM11*MAX(0,Assumption!$E$437-BL122)*Assumption!$O$468/12</f>
        <v>0</v>
      </c>
      <c r="BN110" s="158" t="n">
        <f aca="false">BN11*MAX(0,Assumption!$E$437-BM122)*Assumption!$O$468/12</f>
        <v>0</v>
      </c>
      <c r="BO110" s="158" t="n">
        <f aca="false">BO11*MAX(0,Assumption!$E$437-BN122)*Assumption!$O$468/12</f>
        <v>0</v>
      </c>
      <c r="BP110" s="158" t="n">
        <f aca="false">BP11*MAX(0,Assumption!$E$437-BO122)*Assumption!$O$468/12</f>
        <v>0</v>
      </c>
      <c r="BQ110" s="158" t="n">
        <f aca="false">BQ11*MAX(0,Assumption!$E$437-BP122)*Assumption!$O$468/12</f>
        <v>0</v>
      </c>
      <c r="BR110" s="158" t="n">
        <f aca="false">BR11*MAX(0,Assumption!$E$437-BQ122)*Assumption!$O$468/12</f>
        <v>0</v>
      </c>
      <c r="BS110" s="158" t="n">
        <f aca="false">BS11*MAX(0,Assumption!$E$437-BR122)*Assumption!$O$468/12</f>
        <v>0</v>
      </c>
      <c r="BT110" s="158" t="n">
        <f aca="false">BT11*MAX(0,Assumption!$E$437-BS122)*Assumption!$O$468/12</f>
        <v>0</v>
      </c>
      <c r="BU110" s="158" t="n">
        <f aca="false">BU11*MAX(0,Assumption!$E$437-BT122)*Assumption!$O$468/12</f>
        <v>0</v>
      </c>
      <c r="BV110" s="158" t="n">
        <f aca="false">BV11*MAX(0,Assumption!$E$437-BU122)*Assumption!$O$468/12</f>
        <v>0</v>
      </c>
      <c r="BW110" s="158" t="n">
        <f aca="false">BW11*MAX(0,Assumption!$E$437-BV122)*Assumption!$O$468/12</f>
        <v>0</v>
      </c>
      <c r="BX110" s="158" t="n">
        <f aca="false">BX11*MAX(0,Assumption!$E$437-BW122)*Assumption!$O$468/12</f>
        <v>0</v>
      </c>
      <c r="BY110" s="158" t="n">
        <f aca="false">BY11*MAX(0,Assumption!$E$437-BX122)*Assumption!$O$468/12</f>
        <v>0</v>
      </c>
      <c r="BZ110" s="158" t="n">
        <f aca="false">BZ11*MAX(0,Assumption!$E$437-BY122)*Assumption!$O$468/12</f>
        <v>0</v>
      </c>
      <c r="CA110" s="158" t="n">
        <f aca="false">CA11*MAX(0,Assumption!$E$437-BZ122)*Assumption!$O$468/12</f>
        <v>0</v>
      </c>
      <c r="CB110" s="158" t="n">
        <f aca="false">CB11*MAX(0,Assumption!$E$437-CA122)*Assumption!$O$468/12</f>
        <v>0</v>
      </c>
      <c r="CC110" s="158" t="n">
        <f aca="false">CC11*MAX(0,Assumption!$E$437-CB122)*Assumption!$O$468/12</f>
        <v>0</v>
      </c>
      <c r="CD110" s="158" t="n">
        <f aca="false">CD11*MAX(0,Assumption!$E$437-CC122)*Assumption!$O$468/12</f>
        <v>0</v>
      </c>
      <c r="CE110" s="158" t="n">
        <f aca="false">CE11*MAX(0,Assumption!$E$437-CD122)*Assumption!$O$468/12</f>
        <v>0</v>
      </c>
      <c r="CF110" s="158" t="n">
        <f aca="false">CF11*MAX(0,Assumption!$E$437-CE122)*Assumption!$O$468/12</f>
        <v>0</v>
      </c>
      <c r="CG110" s="158" t="n">
        <f aca="false">CG11*MAX(0,Assumption!$E$437-CF122)*Assumption!$O$468/12</f>
        <v>0</v>
      </c>
      <c r="CH110" s="158" t="n">
        <f aca="false">CH11*MAX(0,Assumption!$E$437-CG122)*Assumption!$O$468/12</f>
        <v>0</v>
      </c>
      <c r="CI110" s="158" t="n">
        <f aca="false">CI11*MAX(0,Assumption!$E$437-CH122)*Assumption!$O$468/12</f>
        <v>0</v>
      </c>
      <c r="CJ110" s="158" t="n">
        <f aca="false">CJ11*MAX(0,Assumption!$E$437-CI122)*Assumption!$O$468/12</f>
        <v>0</v>
      </c>
      <c r="CK110" s="158" t="n">
        <f aca="false">CK11*MAX(0,Assumption!$E$437-CJ122)*Assumption!$O$468/12</f>
        <v>0</v>
      </c>
      <c r="CL110" s="158" t="n">
        <f aca="false">CL11*MAX(0,Assumption!$E$437-CK122)*Assumption!$O$468/12</f>
        <v>0</v>
      </c>
      <c r="CM110" s="158" t="n">
        <f aca="false">CM11*MAX(0,Assumption!$E$437-CL122)*Assumption!$O$468/12</f>
        <v>0</v>
      </c>
      <c r="CN110" s="158" t="n">
        <f aca="false">CN11*MAX(0,Assumption!$E$437-CM122)*Assumption!$O$468/12</f>
        <v>0</v>
      </c>
      <c r="CO110" s="158" t="n">
        <f aca="false">CO11*MAX(0,Assumption!$E$437-CN122)*Assumption!$O$468/12</f>
        <v>0</v>
      </c>
      <c r="CP110" s="158" t="n">
        <f aca="false">CP11*MAX(0,Assumption!$E$437-CO122)*Assumption!$O$468/12</f>
        <v>0</v>
      </c>
      <c r="CQ110" s="158" t="n">
        <f aca="false">CQ11*MAX(0,Assumption!$E$437-CP122)*Assumption!$O$468/12</f>
        <v>0</v>
      </c>
      <c r="CR110" s="158" t="n">
        <f aca="false">CR11*MAX(0,Assumption!$E$437-CQ122)*Assumption!$O$468/12</f>
        <v>0</v>
      </c>
      <c r="CS110" s="158" t="n">
        <f aca="false">CS11*MAX(0,Assumption!$E$437-CR122)*Assumption!$O$468/12</f>
        <v>0</v>
      </c>
      <c r="CT110" s="158" t="n">
        <f aca="false">CT11*MAX(0,Assumption!$E$437-CS122)*Assumption!$O$468/12</f>
        <v>0</v>
      </c>
      <c r="CU110" s="158" t="n">
        <f aca="false">CU11*MAX(0,Assumption!$E$437-CT122)*Assumption!$O$468/12</f>
        <v>0</v>
      </c>
      <c r="CV110" s="158" t="n">
        <f aca="false">CV11*MAX(0,Assumption!$E$437-CU122)*Assumption!$O$468/12</f>
        <v>0</v>
      </c>
      <c r="CW110" s="158" t="n">
        <f aca="false">CW11*MAX(0,Assumption!$E$437-CV122)*Assumption!$O$468/12</f>
        <v>0</v>
      </c>
      <c r="CX110" s="158" t="n">
        <f aca="false">CX11*MAX(0,Assumption!$E$437-CW122)*Assumption!$O$468/12</f>
        <v>0</v>
      </c>
      <c r="CY110" s="158" t="n">
        <f aca="false">CY11*MAX(0,Assumption!$E$437-CX122)*Assumption!$O$468/12</f>
        <v>0</v>
      </c>
      <c r="CZ110" s="158" t="n">
        <f aca="false">CZ11*MAX(0,Assumption!$E$437-CY122)*Assumption!$O$468/12</f>
        <v>0</v>
      </c>
      <c r="DA110" s="158" t="n">
        <f aca="false">DA11*MAX(0,Assumption!$E$437-CZ122)*Assumption!$O$468/12</f>
        <v>0</v>
      </c>
      <c r="DB110" s="158" t="n">
        <f aca="false">DB11*MAX(0,Assumption!$E$437-DA122)*Assumption!$O$468/12</f>
        <v>0</v>
      </c>
      <c r="DC110" s="158" t="n">
        <f aca="false">DC11*MAX(0,Assumption!$E$437-DB122)*Assumption!$O$468/12</f>
        <v>0</v>
      </c>
      <c r="DD110" s="158" t="n">
        <f aca="false">DD11*MAX(0,Assumption!$E$437-DC122)*Assumption!$O$468/12</f>
        <v>0</v>
      </c>
      <c r="DE110" s="158" t="n">
        <f aca="false">DE11*MAX(0,Assumption!$E$437-DD122)*Assumption!$O$468/12</f>
        <v>0</v>
      </c>
      <c r="DF110" s="158" t="n">
        <f aca="false">DF11*MAX(0,Assumption!$E$437-DE122)*Assumption!$O$468/12</f>
        <v>0</v>
      </c>
      <c r="DG110" s="158" t="n">
        <f aca="false">DG11*MAX(0,Assumption!$E$437-DF122)*Assumption!$O$468/12</f>
        <v>0</v>
      </c>
      <c r="DH110" s="158" t="n">
        <f aca="false">DH11*MAX(0,Assumption!$E$437-DG122)*Assumption!$O$468/12</f>
        <v>0</v>
      </c>
      <c r="DI110" s="158" t="n">
        <f aca="false">DI11*MAX(0,Assumption!$E$437-DH122)*Assumption!$O$468/12</f>
        <v>0</v>
      </c>
      <c r="DJ110" s="158" t="n">
        <f aca="false">DJ11*MAX(0,Assumption!$E$437-DI122)*Assumption!$O$468/12</f>
        <v>0</v>
      </c>
      <c r="DK110" s="158" t="n">
        <f aca="false">DK11*MAX(0,Assumption!$E$437-DJ122)*Assumption!$O$468/12</f>
        <v>0</v>
      </c>
      <c r="DL110" s="158" t="n">
        <f aca="false">DL11*MAX(0,Assumption!$E$437-DK122)*Assumption!$O$468/12</f>
        <v>0</v>
      </c>
      <c r="DM110" s="158" t="n">
        <f aca="false">DM11*MAX(0,Assumption!$E$437-DL122)*Assumption!$O$468/12</f>
        <v>0</v>
      </c>
      <c r="DN110" s="158" t="n">
        <f aca="false">DN11*MAX(0,Assumption!$E$437-DM122)*Assumption!$O$468/12</f>
        <v>0</v>
      </c>
      <c r="DO110" s="158" t="n">
        <f aca="false">DO11*MAX(0,Assumption!$E$437-DN122)*Assumption!$O$468/12</f>
        <v>0</v>
      </c>
      <c r="DP110" s="158" t="n">
        <f aca="false">DP11*MAX(0,Assumption!$E$437-DO122)*Assumption!$O$468/12</f>
        <v>0</v>
      </c>
      <c r="DQ110" s="158" t="n">
        <f aca="false">DQ11*MAX(0,Assumption!$E$437-DP122)*Assumption!$O$468/12</f>
        <v>0</v>
      </c>
      <c r="DR110" s="158" t="n">
        <f aca="false">DR11*MAX(0,Assumption!$E$437-DQ122)*Assumption!$O$468/12</f>
        <v>0</v>
      </c>
      <c r="DS110" s="158" t="n">
        <f aca="false">DS11*MAX(0,Assumption!$E$437-DR122)*Assumption!$O$468/12</f>
        <v>0</v>
      </c>
      <c r="DT110" s="158" t="n">
        <f aca="false">DT11*MAX(0,Assumption!$E$437-DS122)*Assumption!$O$468/12</f>
        <v>0</v>
      </c>
      <c r="DU110" s="158" t="n">
        <f aca="false">DU11*MAX(0,Assumption!$E$437-DT122)*Assumption!$O$468/12</f>
        <v>0</v>
      </c>
      <c r="DV110" s="158" t="n">
        <f aca="false">DV11*MAX(0,Assumption!$E$437-DU122)*Assumption!$O$468/12</f>
        <v>0</v>
      </c>
      <c r="DW110" s="158" t="n">
        <f aca="false">DW11*MAX(0,Assumption!$E$437-DV122)*Assumption!$O$468/12</f>
        <v>0</v>
      </c>
      <c r="DX110" s="158" t="n">
        <f aca="false">DX11*MAX(0,Assumption!$E$437-DW122)*Assumption!$O$468/12</f>
        <v>0</v>
      </c>
      <c r="DY110" s="158" t="n">
        <f aca="false">DY11*MAX(0,Assumption!$E$437-DX122)*Assumption!$O$468/12</f>
        <v>0</v>
      </c>
      <c r="DZ110" s="158" t="n">
        <f aca="false">DZ11*MAX(0,Assumption!$E$437-DY122)*Assumption!$O$468/12</f>
        <v>0</v>
      </c>
      <c r="EA110" s="158" t="n">
        <f aca="false">EA11*MAX(0,Assumption!$E$437-DZ122)*Assumption!$O$468/12</f>
        <v>0</v>
      </c>
      <c r="EB110" s="158" t="n">
        <f aca="false">EB11*MAX(0,Assumption!$E$437-EA122)*Assumption!$O$468/12</f>
        <v>0</v>
      </c>
      <c r="EC110" s="158" t="n">
        <f aca="false">EC11*MAX(0,Assumption!$E$437-EB122)*Assumption!$O$468/12</f>
        <v>0</v>
      </c>
      <c r="ED110" s="158" t="n">
        <f aca="false">ED11*MAX(0,Assumption!$E$437-EC122)*Assumption!$O$468/12</f>
        <v>0</v>
      </c>
      <c r="EE110" s="158" t="n">
        <f aca="false">EE11*MAX(0,Assumption!$E$437-ED122)*Assumption!$O$468/12</f>
        <v>0</v>
      </c>
      <c r="EF110" s="158" t="n">
        <f aca="false">EF11*MAX(0,Assumption!$E$437-EE122)*Assumption!$O$468/12</f>
        <v>0</v>
      </c>
    </row>
    <row r="111" customFormat="false" ht="15" hidden="false" customHeight="false" outlineLevel="0" collapsed="false">
      <c r="A111" s="112" t="s">
        <v>568</v>
      </c>
      <c r="B111" s="241" t="s">
        <v>116</v>
      </c>
      <c r="C111" s="242" t="n">
        <f aca="false">SUM(E111:EF111)</f>
        <v>1080.44375537702</v>
      </c>
      <c r="E111" s="158" t="n">
        <f aca="false">E11*MAX(0,Assumption!$E$438-0)*Assumption!$O$469/12</f>
        <v>0</v>
      </c>
      <c r="F111" s="158" t="n">
        <f aca="false">F11*MAX(0,Assumption!$E$438-E123)*Assumption!$O$469/12</f>
        <v>0</v>
      </c>
      <c r="G111" s="158" t="n">
        <f aca="false">G11*MAX(0,Assumption!$E$438-F123)*Assumption!$O$469/12</f>
        <v>0</v>
      </c>
      <c r="H111" s="158" t="n">
        <f aca="false">H11*MAX(0,Assumption!$E$438-G123)*Assumption!$O$469/12</f>
        <v>0</v>
      </c>
      <c r="I111" s="158" t="n">
        <f aca="false">I11*MAX(0,Assumption!$E$438-H123)*Assumption!$O$469/12</f>
        <v>0</v>
      </c>
      <c r="J111" s="158" t="n">
        <f aca="false">J11*MAX(0,Assumption!$E$438-I123)*Assumption!$O$469/12</f>
        <v>0</v>
      </c>
      <c r="K111" s="158" t="n">
        <f aca="false">K11*MAX(0,Assumption!$E$438-J123)*Assumption!$O$469/12</f>
        <v>0</v>
      </c>
      <c r="L111" s="158" t="n">
        <f aca="false">L11*MAX(0,Assumption!$E$438-K123)*Assumption!$O$469/12</f>
        <v>0</v>
      </c>
      <c r="M111" s="158" t="n">
        <f aca="false">M11*MAX(0,Assumption!$E$438-L123)*Assumption!$O$469/12</f>
        <v>0</v>
      </c>
      <c r="N111" s="158" t="n">
        <f aca="false">N11*MAX(0,Assumption!$E$438-M123)*Assumption!$O$469/12</f>
        <v>0</v>
      </c>
      <c r="O111" s="158" t="n">
        <f aca="false">O11*MAX(0,Assumption!$E$438-N123)*Assumption!$O$469/12</f>
        <v>0</v>
      </c>
      <c r="P111" s="158" t="n">
        <f aca="false">P11*MAX(0,Assumption!$E$438-O123)*Assumption!$O$469/12</f>
        <v>0</v>
      </c>
      <c r="Q111" s="158" t="n">
        <f aca="false">Q11*MAX(0,Assumption!$E$438-P123)*Assumption!$O$469/12</f>
        <v>0</v>
      </c>
      <c r="R111" s="158" t="n">
        <f aca="false">R11*MAX(0,Assumption!$E$438-Q123)*Assumption!$O$469/12</f>
        <v>0</v>
      </c>
      <c r="S111" s="158" t="n">
        <f aca="false">S11*MAX(0,Assumption!$E$438-R123)*Assumption!$O$469/12</f>
        <v>0</v>
      </c>
      <c r="T111" s="158" t="n">
        <f aca="false">T11*MAX(0,Assumption!$E$438-S123)*Assumption!$O$469/12</f>
        <v>0</v>
      </c>
      <c r="U111" s="158" t="n">
        <f aca="false">U11*MAX(0,Assumption!$E$438-T123)*Assumption!$O$469/12</f>
        <v>0</v>
      </c>
      <c r="V111" s="158" t="n">
        <f aca="false">V11*MAX(0,Assumption!$E$438-U123)*Assumption!$O$469/12</f>
        <v>0</v>
      </c>
      <c r="W111" s="158" t="n">
        <f aca="false">W11*MAX(0,Assumption!$E$438-V123)*Assumption!$O$469/12</f>
        <v>68.396055859807</v>
      </c>
      <c r="X111" s="158" t="n">
        <f aca="false">X11*MAX(0,Assumption!$E$438-W123)*Assumption!$O$469/12</f>
        <v>68.396055859807</v>
      </c>
      <c r="Y111" s="158" t="n">
        <f aca="false">Y11*MAX(0,Assumption!$E$438-X123)*Assumption!$O$469/12</f>
        <v>68.396055859807</v>
      </c>
      <c r="Z111" s="158" t="n">
        <f aca="false">Z11*MAX(0,Assumption!$E$438-Y123)*Assumption!$O$469/12</f>
        <v>68.396055859807</v>
      </c>
      <c r="AA111" s="158" t="n">
        <f aca="false">AA11*MAX(0,Assumption!$E$438-Z123)*Assumption!$O$469/12</f>
        <v>68.396055859807</v>
      </c>
      <c r="AB111" s="158" t="n">
        <f aca="false">AB11*MAX(0,Assumption!$E$438-AA123)*Assumption!$O$469/12</f>
        <v>68.396055859807</v>
      </c>
      <c r="AC111" s="158" t="n">
        <f aca="false">AC11*MAX(0,Assumption!$E$438-AB123)*Assumption!$O$469/12</f>
        <v>68.396055859807</v>
      </c>
      <c r="AD111" s="158" t="n">
        <f aca="false">AD11*MAX(0,Assumption!$E$438-AC123)*Assumption!$O$469/12</f>
        <v>68.396055859807</v>
      </c>
      <c r="AE111" s="158" t="n">
        <f aca="false">AE11*MAX(0,Assumption!$E$438-AD123)*Assumption!$O$469/12</f>
        <v>68.396055859807</v>
      </c>
      <c r="AF111" s="158" t="n">
        <f aca="false">AF11*MAX(0,Assumption!$E$438-AE123)*Assumption!$O$469/12</f>
        <v>68.396055859807</v>
      </c>
      <c r="AG111" s="158" t="n">
        <f aca="false">AG11*MAX(0,Assumption!$E$438-AF123)*Assumption!$O$469/12</f>
        <v>68.396055859807</v>
      </c>
      <c r="AH111" s="158" t="n">
        <f aca="false">AH11*MAX(0,Assumption!$E$438-AG123)*Assumption!$O$469/12</f>
        <v>68.396055859807</v>
      </c>
      <c r="AI111" s="158" t="n">
        <f aca="false">AI11*MAX(0,Assumption!$E$438-AH123)*Assumption!$O$469/12</f>
        <v>68.396055859807</v>
      </c>
      <c r="AJ111" s="158" t="n">
        <f aca="false">AJ11*MAX(0,Assumption!$E$438-AI123)*Assumption!$O$469/12</f>
        <v>67.981528203722</v>
      </c>
      <c r="AK111" s="158" t="n">
        <f aca="false">AK11*MAX(0,Assumption!$E$438-AJ123)*Assumption!$O$469/12</f>
        <v>53.7814496330249</v>
      </c>
      <c r="AL111" s="158" t="n">
        <f aca="false">AL11*MAX(0,Assumption!$E$438-AK123)*Assumption!$O$469/12</f>
        <v>38.8825526369937</v>
      </c>
      <c r="AM111" s="158" t="n">
        <f aca="false">AM11*MAX(0,Assumption!$E$438-AL123)*Assumption!$O$469/12</f>
        <v>23.3594227347835</v>
      </c>
      <c r="AN111" s="158" t="n">
        <f aca="false">AN11*MAX(0,Assumption!$E$438-AM123)*Assumption!$O$469/12</f>
        <v>7.29007599100787</v>
      </c>
      <c r="AO111" s="158" t="n">
        <f aca="false">AO11*MAX(0,Assumption!$E$438-AN123)*Assumption!$O$469/12</f>
        <v>0</v>
      </c>
      <c r="AP111" s="158" t="n">
        <f aca="false">AP11*MAX(0,Assumption!$E$438-AO123)*Assumption!$O$469/12</f>
        <v>0</v>
      </c>
      <c r="AQ111" s="158" t="n">
        <f aca="false">AQ11*MAX(0,Assumption!$E$438-AP123)*Assumption!$O$469/12</f>
        <v>0</v>
      </c>
      <c r="AR111" s="158" t="n">
        <f aca="false">AR11*MAX(0,Assumption!$E$438-AQ123)*Assumption!$O$469/12</f>
        <v>0</v>
      </c>
      <c r="AS111" s="158" t="n">
        <f aca="false">AS11*MAX(0,Assumption!$E$438-AR123)*Assumption!$O$469/12</f>
        <v>0</v>
      </c>
      <c r="AT111" s="158" t="n">
        <f aca="false">AT11*MAX(0,Assumption!$E$438-AS123)*Assumption!$O$469/12</f>
        <v>0</v>
      </c>
      <c r="AU111" s="158" t="n">
        <f aca="false">AU11*MAX(0,Assumption!$E$438-AT123)*Assumption!$O$469/12</f>
        <v>0</v>
      </c>
      <c r="AV111" s="158" t="n">
        <f aca="false">AV11*MAX(0,Assumption!$E$438-AU123)*Assumption!$O$469/12</f>
        <v>0</v>
      </c>
      <c r="AW111" s="158" t="n">
        <f aca="false">AW11*MAX(0,Assumption!$E$438-AV123)*Assumption!$O$469/12</f>
        <v>0</v>
      </c>
      <c r="AX111" s="158" t="n">
        <f aca="false">AX11*MAX(0,Assumption!$E$438-AW123)*Assumption!$O$469/12</f>
        <v>0</v>
      </c>
      <c r="AY111" s="158" t="n">
        <f aca="false">AY11*MAX(0,Assumption!$E$438-AX123)*Assumption!$O$469/12</f>
        <v>0</v>
      </c>
      <c r="AZ111" s="158" t="n">
        <f aca="false">AZ11*MAX(0,Assumption!$E$438-AY123)*Assumption!$O$469/12</f>
        <v>0</v>
      </c>
      <c r="BA111" s="158" t="n">
        <f aca="false">BA11*MAX(0,Assumption!$E$438-AZ123)*Assumption!$O$469/12</f>
        <v>0</v>
      </c>
      <c r="BB111" s="158" t="n">
        <f aca="false">BB11*MAX(0,Assumption!$E$438-BA123)*Assumption!$O$469/12</f>
        <v>0</v>
      </c>
      <c r="BC111" s="158" t="n">
        <f aca="false">BC11*MAX(0,Assumption!$E$438-BB123)*Assumption!$O$469/12</f>
        <v>0</v>
      </c>
      <c r="BD111" s="158" t="n">
        <f aca="false">BD11*MAX(0,Assumption!$E$438-BC123)*Assumption!$O$469/12</f>
        <v>0</v>
      </c>
      <c r="BE111" s="158" t="n">
        <f aca="false">BE11*MAX(0,Assumption!$E$438-BD123)*Assumption!$O$469/12</f>
        <v>0</v>
      </c>
      <c r="BF111" s="158" t="n">
        <f aca="false">BF11*MAX(0,Assumption!$E$438-BE123)*Assumption!$O$469/12</f>
        <v>0</v>
      </c>
      <c r="BG111" s="158" t="n">
        <f aca="false">BG11*MAX(0,Assumption!$E$438-BF123)*Assumption!$O$469/12</f>
        <v>0</v>
      </c>
      <c r="BH111" s="158" t="n">
        <f aca="false">BH11*MAX(0,Assumption!$E$438-BG123)*Assumption!$O$469/12</f>
        <v>0</v>
      </c>
      <c r="BI111" s="158" t="n">
        <f aca="false">BI11*MAX(0,Assumption!$E$438-BH123)*Assumption!$O$469/12</f>
        <v>0</v>
      </c>
      <c r="BJ111" s="158" t="n">
        <f aca="false">BJ11*MAX(0,Assumption!$E$438-BI123)*Assumption!$O$469/12</f>
        <v>0</v>
      </c>
      <c r="BK111" s="158" t="n">
        <f aca="false">BK11*MAX(0,Assumption!$E$438-BJ123)*Assumption!$O$469/12</f>
        <v>0</v>
      </c>
      <c r="BL111" s="158" t="n">
        <f aca="false">BL11*MAX(0,Assumption!$E$438-BK123)*Assumption!$O$469/12</f>
        <v>0</v>
      </c>
      <c r="BM111" s="158" t="n">
        <f aca="false">BM11*MAX(0,Assumption!$E$438-BL123)*Assumption!$O$469/12</f>
        <v>0</v>
      </c>
      <c r="BN111" s="158" t="n">
        <f aca="false">BN11*MAX(0,Assumption!$E$438-BM123)*Assumption!$O$469/12</f>
        <v>0</v>
      </c>
      <c r="BO111" s="158" t="n">
        <f aca="false">BO11*MAX(0,Assumption!$E$438-BN123)*Assumption!$O$469/12</f>
        <v>0</v>
      </c>
      <c r="BP111" s="158" t="n">
        <f aca="false">BP11*MAX(0,Assumption!$E$438-BO123)*Assumption!$O$469/12</f>
        <v>0</v>
      </c>
      <c r="BQ111" s="158" t="n">
        <f aca="false">BQ11*MAX(0,Assumption!$E$438-BP123)*Assumption!$O$469/12</f>
        <v>0</v>
      </c>
      <c r="BR111" s="158" t="n">
        <f aca="false">BR11*MAX(0,Assumption!$E$438-BQ123)*Assumption!$O$469/12</f>
        <v>0</v>
      </c>
      <c r="BS111" s="158" t="n">
        <f aca="false">BS11*MAX(0,Assumption!$E$438-BR123)*Assumption!$O$469/12</f>
        <v>0</v>
      </c>
      <c r="BT111" s="158" t="n">
        <f aca="false">BT11*MAX(0,Assumption!$E$438-BS123)*Assumption!$O$469/12</f>
        <v>0</v>
      </c>
      <c r="BU111" s="158" t="n">
        <f aca="false">BU11*MAX(0,Assumption!$E$438-BT123)*Assumption!$O$469/12</f>
        <v>0</v>
      </c>
      <c r="BV111" s="158" t="n">
        <f aca="false">BV11*MAX(0,Assumption!$E$438-BU123)*Assumption!$O$469/12</f>
        <v>0</v>
      </c>
      <c r="BW111" s="158" t="n">
        <f aca="false">BW11*MAX(0,Assumption!$E$438-BV123)*Assumption!$O$469/12</f>
        <v>0</v>
      </c>
      <c r="BX111" s="158" t="n">
        <f aca="false">BX11*MAX(0,Assumption!$E$438-BW123)*Assumption!$O$469/12</f>
        <v>0</v>
      </c>
      <c r="BY111" s="158" t="n">
        <f aca="false">BY11*MAX(0,Assumption!$E$438-BX123)*Assumption!$O$469/12</f>
        <v>0</v>
      </c>
      <c r="BZ111" s="158" t="n">
        <f aca="false">BZ11*MAX(0,Assumption!$E$438-BY123)*Assumption!$O$469/12</f>
        <v>0</v>
      </c>
      <c r="CA111" s="158" t="n">
        <f aca="false">CA11*MAX(0,Assumption!$E$438-BZ123)*Assumption!$O$469/12</f>
        <v>0</v>
      </c>
      <c r="CB111" s="158" t="n">
        <f aca="false">CB11*MAX(0,Assumption!$E$438-CA123)*Assumption!$O$469/12</f>
        <v>0</v>
      </c>
      <c r="CC111" s="158" t="n">
        <f aca="false">CC11*MAX(0,Assumption!$E$438-CB123)*Assumption!$O$469/12</f>
        <v>0</v>
      </c>
      <c r="CD111" s="158" t="n">
        <f aca="false">CD11*MAX(0,Assumption!$E$438-CC123)*Assumption!$O$469/12</f>
        <v>0</v>
      </c>
      <c r="CE111" s="158" t="n">
        <f aca="false">CE11*MAX(0,Assumption!$E$438-CD123)*Assumption!$O$469/12</f>
        <v>0</v>
      </c>
      <c r="CF111" s="158" t="n">
        <f aca="false">CF11*MAX(0,Assumption!$E$438-CE123)*Assumption!$O$469/12</f>
        <v>0</v>
      </c>
      <c r="CG111" s="158" t="n">
        <f aca="false">CG11*MAX(0,Assumption!$E$438-CF123)*Assumption!$O$469/12</f>
        <v>0</v>
      </c>
      <c r="CH111" s="158" t="n">
        <f aca="false">CH11*MAX(0,Assumption!$E$438-CG123)*Assumption!$O$469/12</f>
        <v>0</v>
      </c>
      <c r="CI111" s="158" t="n">
        <f aca="false">CI11*MAX(0,Assumption!$E$438-CH123)*Assumption!$O$469/12</f>
        <v>0</v>
      </c>
      <c r="CJ111" s="158" t="n">
        <f aca="false">CJ11*MAX(0,Assumption!$E$438-CI123)*Assumption!$O$469/12</f>
        <v>0</v>
      </c>
      <c r="CK111" s="158" t="n">
        <f aca="false">CK11*MAX(0,Assumption!$E$438-CJ123)*Assumption!$O$469/12</f>
        <v>0</v>
      </c>
      <c r="CL111" s="158" t="n">
        <f aca="false">CL11*MAX(0,Assumption!$E$438-CK123)*Assumption!$O$469/12</f>
        <v>0</v>
      </c>
      <c r="CM111" s="158" t="n">
        <f aca="false">CM11*MAX(0,Assumption!$E$438-CL123)*Assumption!$O$469/12</f>
        <v>0</v>
      </c>
      <c r="CN111" s="158" t="n">
        <f aca="false">CN11*MAX(0,Assumption!$E$438-CM123)*Assumption!$O$469/12</f>
        <v>0</v>
      </c>
      <c r="CO111" s="158" t="n">
        <f aca="false">CO11*MAX(0,Assumption!$E$438-CN123)*Assumption!$O$469/12</f>
        <v>0</v>
      </c>
      <c r="CP111" s="158" t="n">
        <f aca="false">CP11*MAX(0,Assumption!$E$438-CO123)*Assumption!$O$469/12</f>
        <v>0</v>
      </c>
      <c r="CQ111" s="158" t="n">
        <f aca="false">CQ11*MAX(0,Assumption!$E$438-CP123)*Assumption!$O$469/12</f>
        <v>0</v>
      </c>
      <c r="CR111" s="158" t="n">
        <f aca="false">CR11*MAX(0,Assumption!$E$438-CQ123)*Assumption!$O$469/12</f>
        <v>0</v>
      </c>
      <c r="CS111" s="158" t="n">
        <f aca="false">CS11*MAX(0,Assumption!$E$438-CR123)*Assumption!$O$469/12</f>
        <v>0</v>
      </c>
      <c r="CT111" s="158" t="n">
        <f aca="false">CT11*MAX(0,Assumption!$E$438-CS123)*Assumption!$O$469/12</f>
        <v>0</v>
      </c>
      <c r="CU111" s="158" t="n">
        <f aca="false">CU11*MAX(0,Assumption!$E$438-CT123)*Assumption!$O$469/12</f>
        <v>0</v>
      </c>
      <c r="CV111" s="158" t="n">
        <f aca="false">CV11*MAX(0,Assumption!$E$438-CU123)*Assumption!$O$469/12</f>
        <v>0</v>
      </c>
      <c r="CW111" s="158" t="n">
        <f aca="false">CW11*MAX(0,Assumption!$E$438-CV123)*Assumption!$O$469/12</f>
        <v>0</v>
      </c>
      <c r="CX111" s="158" t="n">
        <f aca="false">CX11*MAX(0,Assumption!$E$438-CW123)*Assumption!$O$469/12</f>
        <v>0</v>
      </c>
      <c r="CY111" s="158" t="n">
        <f aca="false">CY11*MAX(0,Assumption!$E$438-CX123)*Assumption!$O$469/12</f>
        <v>0</v>
      </c>
      <c r="CZ111" s="158" t="n">
        <f aca="false">CZ11*MAX(0,Assumption!$E$438-CY123)*Assumption!$O$469/12</f>
        <v>0</v>
      </c>
      <c r="DA111" s="158" t="n">
        <f aca="false">DA11*MAX(0,Assumption!$E$438-CZ123)*Assumption!$O$469/12</f>
        <v>0</v>
      </c>
      <c r="DB111" s="158" t="n">
        <f aca="false">DB11*MAX(0,Assumption!$E$438-DA123)*Assumption!$O$469/12</f>
        <v>0</v>
      </c>
      <c r="DC111" s="158" t="n">
        <f aca="false">DC11*MAX(0,Assumption!$E$438-DB123)*Assumption!$O$469/12</f>
        <v>0</v>
      </c>
      <c r="DD111" s="158" t="n">
        <f aca="false">DD11*MAX(0,Assumption!$E$438-DC123)*Assumption!$O$469/12</f>
        <v>0</v>
      </c>
      <c r="DE111" s="158" t="n">
        <f aca="false">DE11*MAX(0,Assumption!$E$438-DD123)*Assumption!$O$469/12</f>
        <v>0</v>
      </c>
      <c r="DF111" s="158" t="n">
        <f aca="false">DF11*MAX(0,Assumption!$E$438-DE123)*Assumption!$O$469/12</f>
        <v>0</v>
      </c>
      <c r="DG111" s="158" t="n">
        <f aca="false">DG11*MAX(0,Assumption!$E$438-DF123)*Assumption!$O$469/12</f>
        <v>0</v>
      </c>
      <c r="DH111" s="158" t="n">
        <f aca="false">DH11*MAX(0,Assumption!$E$438-DG123)*Assumption!$O$469/12</f>
        <v>0</v>
      </c>
      <c r="DI111" s="158" t="n">
        <f aca="false">DI11*MAX(0,Assumption!$E$438-DH123)*Assumption!$O$469/12</f>
        <v>0</v>
      </c>
      <c r="DJ111" s="158" t="n">
        <f aca="false">DJ11*MAX(0,Assumption!$E$438-DI123)*Assumption!$O$469/12</f>
        <v>0</v>
      </c>
      <c r="DK111" s="158" t="n">
        <f aca="false">DK11*MAX(0,Assumption!$E$438-DJ123)*Assumption!$O$469/12</f>
        <v>0</v>
      </c>
      <c r="DL111" s="158" t="n">
        <f aca="false">DL11*MAX(0,Assumption!$E$438-DK123)*Assumption!$O$469/12</f>
        <v>0</v>
      </c>
      <c r="DM111" s="158" t="n">
        <f aca="false">DM11*MAX(0,Assumption!$E$438-DL123)*Assumption!$O$469/12</f>
        <v>0</v>
      </c>
      <c r="DN111" s="158" t="n">
        <f aca="false">DN11*MAX(0,Assumption!$E$438-DM123)*Assumption!$O$469/12</f>
        <v>0</v>
      </c>
      <c r="DO111" s="158" t="n">
        <f aca="false">DO11*MAX(0,Assumption!$E$438-DN123)*Assumption!$O$469/12</f>
        <v>0</v>
      </c>
      <c r="DP111" s="158" t="n">
        <f aca="false">DP11*MAX(0,Assumption!$E$438-DO123)*Assumption!$O$469/12</f>
        <v>0</v>
      </c>
      <c r="DQ111" s="158" t="n">
        <f aca="false">DQ11*MAX(0,Assumption!$E$438-DP123)*Assumption!$O$469/12</f>
        <v>0</v>
      </c>
      <c r="DR111" s="158" t="n">
        <f aca="false">DR11*MAX(0,Assumption!$E$438-DQ123)*Assumption!$O$469/12</f>
        <v>0</v>
      </c>
      <c r="DS111" s="158" t="n">
        <f aca="false">DS11*MAX(0,Assumption!$E$438-DR123)*Assumption!$O$469/12</f>
        <v>0</v>
      </c>
      <c r="DT111" s="158" t="n">
        <f aca="false">DT11*MAX(0,Assumption!$E$438-DS123)*Assumption!$O$469/12</f>
        <v>0</v>
      </c>
      <c r="DU111" s="158" t="n">
        <f aca="false">DU11*MAX(0,Assumption!$E$438-DT123)*Assumption!$O$469/12</f>
        <v>0</v>
      </c>
      <c r="DV111" s="158" t="n">
        <f aca="false">DV11*MAX(0,Assumption!$E$438-DU123)*Assumption!$O$469/12</f>
        <v>0</v>
      </c>
      <c r="DW111" s="158" t="n">
        <f aca="false">DW11*MAX(0,Assumption!$E$438-DV123)*Assumption!$O$469/12</f>
        <v>0</v>
      </c>
      <c r="DX111" s="158" t="n">
        <f aca="false">DX11*MAX(0,Assumption!$E$438-DW123)*Assumption!$O$469/12</f>
        <v>0</v>
      </c>
      <c r="DY111" s="158" t="n">
        <f aca="false">DY11*MAX(0,Assumption!$E$438-DX123)*Assumption!$O$469/12</f>
        <v>0</v>
      </c>
      <c r="DZ111" s="158" t="n">
        <f aca="false">DZ11*MAX(0,Assumption!$E$438-DY123)*Assumption!$O$469/12</f>
        <v>0</v>
      </c>
      <c r="EA111" s="158" t="n">
        <f aca="false">EA11*MAX(0,Assumption!$E$438-DZ123)*Assumption!$O$469/12</f>
        <v>0</v>
      </c>
      <c r="EB111" s="158" t="n">
        <f aca="false">EB11*MAX(0,Assumption!$E$438-EA123)*Assumption!$O$469/12</f>
        <v>0</v>
      </c>
      <c r="EC111" s="158" t="n">
        <f aca="false">EC11*MAX(0,Assumption!$E$438-EB123)*Assumption!$O$469/12</f>
        <v>0</v>
      </c>
      <c r="ED111" s="158" t="n">
        <f aca="false">ED11*MAX(0,Assumption!$E$438-EC123)*Assumption!$O$469/12</f>
        <v>0</v>
      </c>
      <c r="EE111" s="158" t="n">
        <f aca="false">EE11*MAX(0,Assumption!$E$438-ED123)*Assumption!$O$469/12</f>
        <v>0</v>
      </c>
      <c r="EF111" s="158" t="n">
        <f aca="false">EF11*MAX(0,Assumption!$E$438-EE123)*Assumption!$O$469/12</f>
        <v>0</v>
      </c>
    </row>
    <row r="112" customFormat="false" ht="15" hidden="false" customHeight="false" outlineLevel="0" collapsed="false">
      <c r="A112" s="247" t="s">
        <v>569</v>
      </c>
      <c r="B112" s="244" t="s">
        <v>116</v>
      </c>
      <c r="C112" s="245" t="n">
        <f aca="false">SUM(E112:EF112)</f>
        <v>95505.6823353484</v>
      </c>
      <c r="D112" s="13"/>
      <c r="E112" s="246" t="n">
        <f aca="false">SUM(E103:E111)</f>
        <v>0</v>
      </c>
      <c r="F112" s="246" t="n">
        <f aca="false">SUM(F103:F111)</f>
        <v>0</v>
      </c>
      <c r="G112" s="246" t="n">
        <f aca="false">SUM(G103:G111)</f>
        <v>0</v>
      </c>
      <c r="H112" s="246" t="n">
        <f aca="false">SUM(H103:H111)</f>
        <v>0</v>
      </c>
      <c r="I112" s="246" t="n">
        <f aca="false">SUM(I103:I111)</f>
        <v>0</v>
      </c>
      <c r="J112" s="246" t="n">
        <f aca="false">SUM(J103:J111)</f>
        <v>0</v>
      </c>
      <c r="K112" s="246" t="n">
        <f aca="false">SUM(K103:K111)</f>
        <v>0</v>
      </c>
      <c r="L112" s="246" t="n">
        <f aca="false">SUM(L103:L111)</f>
        <v>0</v>
      </c>
      <c r="M112" s="246" t="n">
        <f aca="false">SUM(M103:M111)</f>
        <v>0</v>
      </c>
      <c r="N112" s="246" t="n">
        <f aca="false">SUM(N103:N111)</f>
        <v>0</v>
      </c>
      <c r="O112" s="246" t="n">
        <f aca="false">SUM(O103:O111)</f>
        <v>0</v>
      </c>
      <c r="P112" s="246" t="n">
        <f aca="false">SUM(P103:P111)</f>
        <v>0</v>
      </c>
      <c r="Q112" s="246" t="n">
        <f aca="false">SUM(Q103:Q111)</f>
        <v>0</v>
      </c>
      <c r="R112" s="246" t="n">
        <f aca="false">SUM(R103:R111)</f>
        <v>0</v>
      </c>
      <c r="S112" s="246" t="n">
        <f aca="false">SUM(S103:S111)</f>
        <v>0</v>
      </c>
      <c r="T112" s="246" t="n">
        <f aca="false">SUM(T103:T111)</f>
        <v>0</v>
      </c>
      <c r="U112" s="246" t="n">
        <f aca="false">SUM(U103:U111)</f>
        <v>0</v>
      </c>
      <c r="V112" s="246" t="n">
        <f aca="false">SUM(V103:V111)</f>
        <v>0</v>
      </c>
      <c r="W112" s="246" t="n">
        <f aca="false">SUM(W103:W111)</f>
        <v>11974.0994152323</v>
      </c>
      <c r="X112" s="246" t="n">
        <f aca="false">SUM(X103:X111)</f>
        <v>478.963976609293</v>
      </c>
      <c r="Y112" s="246" t="n">
        <f aca="false">SUM(Y103:Y111)</f>
        <v>478.963976609293</v>
      </c>
      <c r="Z112" s="246" t="n">
        <f aca="false">SUM(Z103:Z111)</f>
        <v>478.963976609293</v>
      </c>
      <c r="AA112" s="246" t="n">
        <f aca="false">SUM(AA103:AA111)</f>
        <v>478.963976609293</v>
      </c>
      <c r="AB112" s="246" t="n">
        <f aca="false">SUM(AB103:AB111)</f>
        <v>478.963976609293</v>
      </c>
      <c r="AC112" s="246" t="n">
        <f aca="false">SUM(AC103:AC111)</f>
        <v>478.963976609293</v>
      </c>
      <c r="AD112" s="246" t="n">
        <f aca="false">SUM(AD103:AD111)</f>
        <v>478.963976609293</v>
      </c>
      <c r="AE112" s="246" t="n">
        <f aca="false">SUM(AE103:AE111)</f>
        <v>478.963976609293</v>
      </c>
      <c r="AF112" s="246" t="n">
        <f aca="false">SUM(AF103:AF111)</f>
        <v>478.963976609293</v>
      </c>
      <c r="AG112" s="246" t="n">
        <f aca="false">SUM(AG103:AG111)</f>
        <v>478.963976609293</v>
      </c>
      <c r="AH112" s="246" t="n">
        <f aca="false">SUM(AH103:AH111)</f>
        <v>478.963976609293</v>
      </c>
      <c r="AI112" s="246" t="n">
        <f aca="false">SUM(AI103:AI111)</f>
        <v>478.963976609293</v>
      </c>
      <c r="AJ112" s="246" t="n">
        <f aca="false">SUM(AJ103:AJ111)</f>
        <v>485.845135700305</v>
      </c>
      <c r="AK112" s="246" t="n">
        <f aca="false">SUM(AK103:AK111)</f>
        <v>721.566439973876</v>
      </c>
      <c r="AL112" s="246" t="n">
        <f aca="false">SUM(AL103:AL111)</f>
        <v>968.888130107994</v>
      </c>
      <c r="AM112" s="246" t="n">
        <f aca="false">SUM(AM103:AM111)</f>
        <v>1226.57208648468</v>
      </c>
      <c r="AN112" s="246" t="n">
        <f aca="false">SUM(AN103:AN111)</f>
        <v>1493.32324243136</v>
      </c>
      <c r="AO112" s="246" t="n">
        <f aca="false">SUM(AO103:AO111)</f>
        <v>1740.06340059709</v>
      </c>
      <c r="AP112" s="246" t="n">
        <f aca="false">SUM(AP103:AP111)</f>
        <v>1740.06340059709</v>
      </c>
      <c r="AQ112" s="246" t="n">
        <f aca="false">SUM(AQ103:AQ111)</f>
        <v>1740.06340059709</v>
      </c>
      <c r="AR112" s="246" t="n">
        <f aca="false">SUM(AR103:AR111)</f>
        <v>1740.06340059709</v>
      </c>
      <c r="AS112" s="246" t="n">
        <f aca="false">SUM(AS103:AS111)</f>
        <v>1895.75023669484</v>
      </c>
      <c r="AT112" s="246" t="n">
        <f aca="false">SUM(AT103:AT111)</f>
        <v>2128.97057414094</v>
      </c>
      <c r="AU112" s="246" t="n">
        <f aca="false">SUM(AU103:AU111)</f>
        <v>2361.07768641902</v>
      </c>
      <c r="AV112" s="246" t="n">
        <f aca="false">SUM(AV103:AV111)</f>
        <v>2585.48975800484</v>
      </c>
      <c r="AW112" s="246" t="n">
        <f aca="false">SUM(AW103:AW111)</f>
        <v>2785.11650728774</v>
      </c>
      <c r="AX112" s="246" t="n">
        <f aca="false">SUM(AX103:AX111)</f>
        <v>2980.47520800016</v>
      </c>
      <c r="AY112" s="246" t="n">
        <f aca="false">SUM(AY103:AY111)</f>
        <v>3170.55651579267</v>
      </c>
      <c r="AZ112" s="246" t="n">
        <f aca="false">SUM(AZ103:AZ111)</f>
        <v>3354.3810155415</v>
      </c>
      <c r="BA112" s="246" t="n">
        <f aca="false">SUM(BA103:BA111)</f>
        <v>3531.00470071473</v>
      </c>
      <c r="BB112" s="246" t="n">
        <f aca="false">SUM(BB103:BB111)</f>
        <v>3531.00470071473</v>
      </c>
      <c r="BC112" s="246" t="n">
        <f aca="false">SUM(BC103:BC111)</f>
        <v>3531.00470071473</v>
      </c>
      <c r="BD112" s="246" t="n">
        <f aca="false">SUM(BD103:BD111)</f>
        <v>3531.00470071473</v>
      </c>
      <c r="BE112" s="246" t="n">
        <f aca="false">SUM(BE103:BE111)</f>
        <v>3531.00470071473</v>
      </c>
      <c r="BF112" s="246" t="n">
        <f aca="false">SUM(BF103:BF111)</f>
        <v>3584.77217609334</v>
      </c>
      <c r="BG112" s="246" t="n">
        <f aca="false">SUM(BG103:BG111)</f>
        <v>3697.52706480804</v>
      </c>
      <c r="BH112" s="246" t="n">
        <f aca="false">SUM(BH103:BH111)</f>
        <v>3797.85877603982</v>
      </c>
      <c r="BI112" s="246" t="n">
        <f aca="false">SUM(BI103:BI111)</f>
        <v>3885.27413211609</v>
      </c>
      <c r="BJ112" s="246" t="n">
        <f aca="false">SUM(BJ103:BJ111)</f>
        <v>3959.35252845148</v>
      </c>
      <c r="BK112" s="246" t="n">
        <f aca="false">SUM(BK103:BK111)</f>
        <v>4019.74828743714</v>
      </c>
      <c r="BL112" s="246" t="n">
        <f aca="false">SUM(BL103:BL111)</f>
        <v>4066.19259331667</v>
      </c>
      <c r="BM112" s="246" t="n">
        <f aca="false">SUM(BM103:BM111)</f>
        <v>0</v>
      </c>
      <c r="BN112" s="246" t="n">
        <f aca="false">SUM(BN103:BN111)</f>
        <v>0</v>
      </c>
      <c r="BO112" s="246" t="n">
        <f aca="false">SUM(BO103:BO111)</f>
        <v>0</v>
      </c>
      <c r="BP112" s="246" t="n">
        <f aca="false">SUM(BP103:BP111)</f>
        <v>0</v>
      </c>
      <c r="BQ112" s="246" t="n">
        <f aca="false">SUM(BQ103:BQ111)</f>
        <v>0</v>
      </c>
      <c r="BR112" s="246" t="n">
        <f aca="false">SUM(BR103:BR111)</f>
        <v>0</v>
      </c>
      <c r="BS112" s="246" t="n">
        <f aca="false">SUM(BS103:BS111)</f>
        <v>0</v>
      </c>
      <c r="BT112" s="246" t="n">
        <f aca="false">SUM(BT103:BT111)</f>
        <v>0</v>
      </c>
      <c r="BU112" s="246" t="n">
        <f aca="false">SUM(BU103:BU111)</f>
        <v>0</v>
      </c>
      <c r="BV112" s="246" t="n">
        <f aca="false">SUM(BV103:BV111)</f>
        <v>0</v>
      </c>
      <c r="BW112" s="246" t="n">
        <f aca="false">SUM(BW103:BW111)</f>
        <v>0</v>
      </c>
      <c r="BX112" s="246" t="n">
        <f aca="false">SUM(BX103:BX111)</f>
        <v>0</v>
      </c>
      <c r="BY112" s="246" t="n">
        <f aca="false">SUM(BY103:BY111)</f>
        <v>0</v>
      </c>
      <c r="BZ112" s="246" t="n">
        <f aca="false">SUM(BZ103:BZ111)</f>
        <v>0</v>
      </c>
      <c r="CA112" s="246" t="n">
        <f aca="false">SUM(CA103:CA111)</f>
        <v>0</v>
      </c>
      <c r="CB112" s="246" t="n">
        <f aca="false">SUM(CB103:CB111)</f>
        <v>0</v>
      </c>
      <c r="CC112" s="246" t="n">
        <f aca="false">SUM(CC103:CC111)</f>
        <v>0</v>
      </c>
      <c r="CD112" s="246" t="n">
        <f aca="false">SUM(CD103:CD111)</f>
        <v>0</v>
      </c>
      <c r="CE112" s="246" t="n">
        <f aca="false">SUM(CE103:CE111)</f>
        <v>0</v>
      </c>
      <c r="CF112" s="246" t="n">
        <f aca="false">SUM(CF103:CF111)</f>
        <v>0</v>
      </c>
      <c r="CG112" s="246" t="n">
        <f aca="false">SUM(CG103:CG111)</f>
        <v>0</v>
      </c>
      <c r="CH112" s="246" t="n">
        <f aca="false">SUM(CH103:CH111)</f>
        <v>0</v>
      </c>
      <c r="CI112" s="246" t="n">
        <f aca="false">SUM(CI103:CI111)</f>
        <v>0</v>
      </c>
      <c r="CJ112" s="246" t="n">
        <f aca="false">SUM(CJ103:CJ111)</f>
        <v>0</v>
      </c>
      <c r="CK112" s="246" t="n">
        <f aca="false">SUM(CK103:CK111)</f>
        <v>0</v>
      </c>
      <c r="CL112" s="246" t="n">
        <f aca="false">SUM(CL103:CL111)</f>
        <v>0</v>
      </c>
      <c r="CM112" s="246" t="n">
        <f aca="false">SUM(CM103:CM111)</f>
        <v>0</v>
      </c>
      <c r="CN112" s="246" t="n">
        <f aca="false">SUM(CN103:CN111)</f>
        <v>0</v>
      </c>
      <c r="CO112" s="246" t="n">
        <f aca="false">SUM(CO103:CO111)</f>
        <v>0</v>
      </c>
      <c r="CP112" s="246" t="n">
        <f aca="false">SUM(CP103:CP111)</f>
        <v>0</v>
      </c>
      <c r="CQ112" s="246" t="n">
        <f aca="false">SUM(CQ103:CQ111)</f>
        <v>0</v>
      </c>
      <c r="CR112" s="246" t="n">
        <f aca="false">SUM(CR103:CR111)</f>
        <v>0</v>
      </c>
      <c r="CS112" s="246" t="n">
        <f aca="false">SUM(CS103:CS111)</f>
        <v>0</v>
      </c>
      <c r="CT112" s="246" t="n">
        <f aca="false">SUM(CT103:CT111)</f>
        <v>0</v>
      </c>
      <c r="CU112" s="246" t="n">
        <f aca="false">SUM(CU103:CU111)</f>
        <v>0</v>
      </c>
      <c r="CV112" s="246" t="n">
        <f aca="false">SUM(CV103:CV111)</f>
        <v>0</v>
      </c>
      <c r="CW112" s="246" t="n">
        <f aca="false">SUM(CW103:CW111)</f>
        <v>0</v>
      </c>
      <c r="CX112" s="246" t="n">
        <f aca="false">SUM(CX103:CX111)</f>
        <v>0</v>
      </c>
      <c r="CY112" s="246" t="n">
        <f aca="false">SUM(CY103:CY111)</f>
        <v>0</v>
      </c>
      <c r="CZ112" s="246" t="n">
        <f aca="false">SUM(CZ103:CZ111)</f>
        <v>0</v>
      </c>
      <c r="DA112" s="246" t="n">
        <f aca="false">SUM(DA103:DA111)</f>
        <v>0</v>
      </c>
      <c r="DB112" s="246" t="n">
        <f aca="false">SUM(DB103:DB111)</f>
        <v>0</v>
      </c>
      <c r="DC112" s="246" t="n">
        <f aca="false">SUM(DC103:DC111)</f>
        <v>0</v>
      </c>
      <c r="DD112" s="246" t="n">
        <f aca="false">SUM(DD103:DD111)</f>
        <v>0</v>
      </c>
      <c r="DE112" s="246" t="n">
        <f aca="false">SUM(DE103:DE111)</f>
        <v>0</v>
      </c>
      <c r="DF112" s="246" t="n">
        <f aca="false">SUM(DF103:DF111)</f>
        <v>0</v>
      </c>
      <c r="DG112" s="246" t="n">
        <f aca="false">SUM(DG103:DG111)</f>
        <v>0</v>
      </c>
      <c r="DH112" s="246" t="n">
        <f aca="false">SUM(DH103:DH111)</f>
        <v>0</v>
      </c>
      <c r="DI112" s="246" t="n">
        <f aca="false">SUM(DI103:DI111)</f>
        <v>0</v>
      </c>
      <c r="DJ112" s="246" t="n">
        <f aca="false">SUM(DJ103:DJ111)</f>
        <v>0</v>
      </c>
      <c r="DK112" s="246" t="n">
        <f aca="false">SUM(DK103:DK111)</f>
        <v>0</v>
      </c>
      <c r="DL112" s="246" t="n">
        <f aca="false">SUM(DL103:DL111)</f>
        <v>0</v>
      </c>
      <c r="DM112" s="246" t="n">
        <f aca="false">SUM(DM103:DM111)</f>
        <v>0</v>
      </c>
      <c r="DN112" s="246" t="n">
        <f aca="false">SUM(DN103:DN111)</f>
        <v>0</v>
      </c>
      <c r="DO112" s="246" t="n">
        <f aca="false">SUM(DO103:DO111)</f>
        <v>0</v>
      </c>
      <c r="DP112" s="246" t="n">
        <f aca="false">SUM(DP103:DP111)</f>
        <v>0</v>
      </c>
      <c r="DQ112" s="246" t="n">
        <f aca="false">SUM(DQ103:DQ111)</f>
        <v>0</v>
      </c>
      <c r="DR112" s="246" t="n">
        <f aca="false">SUM(DR103:DR111)</f>
        <v>0</v>
      </c>
      <c r="DS112" s="246" t="n">
        <f aca="false">SUM(DS103:DS111)</f>
        <v>0</v>
      </c>
      <c r="DT112" s="246" t="n">
        <f aca="false">SUM(DT103:DT111)</f>
        <v>0</v>
      </c>
      <c r="DU112" s="246" t="n">
        <f aca="false">SUM(DU103:DU111)</f>
        <v>0</v>
      </c>
      <c r="DV112" s="246" t="n">
        <f aca="false">SUM(DV103:DV111)</f>
        <v>0</v>
      </c>
      <c r="DW112" s="246" t="n">
        <f aca="false">SUM(DW103:DW111)</f>
        <v>0</v>
      </c>
      <c r="DX112" s="246" t="n">
        <f aca="false">SUM(DX103:DX111)</f>
        <v>0</v>
      </c>
      <c r="DY112" s="246" t="n">
        <f aca="false">SUM(DY103:DY111)</f>
        <v>0</v>
      </c>
      <c r="DZ112" s="246" t="n">
        <f aca="false">SUM(DZ103:DZ111)</f>
        <v>0</v>
      </c>
      <c r="EA112" s="246" t="n">
        <f aca="false">SUM(EA103:EA111)</f>
        <v>0</v>
      </c>
      <c r="EB112" s="246" t="n">
        <f aca="false">SUM(EB103:EB111)</f>
        <v>0</v>
      </c>
      <c r="EC112" s="246" t="n">
        <f aca="false">SUM(EC103:EC111)</f>
        <v>0</v>
      </c>
      <c r="ED112" s="246" t="n">
        <f aca="false">SUM(ED103:ED111)</f>
        <v>0</v>
      </c>
      <c r="EE112" s="246" t="n">
        <f aca="false">SUM(EE103:EE111)</f>
        <v>0</v>
      </c>
      <c r="EF112" s="246" t="n">
        <f aca="false">SUM(EF103:EF111)</f>
        <v>0</v>
      </c>
    </row>
    <row r="113" customFormat="false" ht="15" hidden="false" customHeight="false" outlineLevel="0" collapsed="false">
      <c r="A113" s="112" t="s">
        <v>570</v>
      </c>
      <c r="B113" s="241" t="s">
        <v>116</v>
      </c>
      <c r="C113" s="242" t="n">
        <f aca="false">SUM(E113:EF113)</f>
        <v>164150.534063537</v>
      </c>
      <c r="E113" s="158" t="n">
        <f aca="false">E11*MAX(0,MIN(E153,Assumption!$E$438-0))</f>
        <v>0</v>
      </c>
      <c r="F113" s="158" t="n">
        <f aca="false">F11*MAX(0,MIN(F153,Assumption!$E$438-E123))</f>
        <v>0</v>
      </c>
      <c r="G113" s="158" t="n">
        <f aca="false">G11*MAX(0,MIN(G153,Assumption!$E$438-F123))</f>
        <v>0</v>
      </c>
      <c r="H113" s="158" t="n">
        <f aca="false">H11*MAX(0,MIN(H153,Assumption!$E$438-G123))</f>
        <v>0</v>
      </c>
      <c r="I113" s="158" t="n">
        <f aca="false">I11*MAX(0,MIN(I153,Assumption!$E$438-H123))</f>
        <v>0</v>
      </c>
      <c r="J113" s="158" t="n">
        <f aca="false">J11*MAX(0,MIN(J153,Assumption!$E$438-I123))</f>
        <v>0</v>
      </c>
      <c r="K113" s="158" t="n">
        <f aca="false">K11*MAX(0,MIN(K153,Assumption!$E$438-J123))</f>
        <v>0</v>
      </c>
      <c r="L113" s="158" t="n">
        <f aca="false">L11*MAX(0,MIN(L153,Assumption!$E$438-K123))</f>
        <v>0</v>
      </c>
      <c r="M113" s="158" t="n">
        <f aca="false">M11*MAX(0,MIN(M153,Assumption!$E$438-L123))</f>
        <v>0</v>
      </c>
      <c r="N113" s="158" t="n">
        <f aca="false">N11*MAX(0,MIN(N153,Assumption!$E$438-M123))</f>
        <v>0</v>
      </c>
      <c r="O113" s="158" t="n">
        <f aca="false">O11*MAX(0,MIN(O153,Assumption!$E$438-N123))</f>
        <v>0</v>
      </c>
      <c r="P113" s="158" t="n">
        <f aca="false">P11*MAX(0,MIN(P153,Assumption!$E$438-O123))</f>
        <v>0</v>
      </c>
      <c r="Q113" s="158" t="n">
        <f aca="false">Q11*MAX(0,MIN(Q153,Assumption!$E$438-P123))</f>
        <v>0</v>
      </c>
      <c r="R113" s="158" t="n">
        <f aca="false">R11*MAX(0,MIN(R153,Assumption!$E$438-Q123))</f>
        <v>0</v>
      </c>
      <c r="S113" s="158" t="n">
        <f aca="false">S11*MAX(0,MIN(S153,Assumption!$E$438-R123))</f>
        <v>0</v>
      </c>
      <c r="T113" s="158" t="n">
        <f aca="false">T11*MAX(0,MIN(T153,Assumption!$E$438-S123))</f>
        <v>0</v>
      </c>
      <c r="U113" s="158" t="n">
        <f aca="false">U11*MAX(0,MIN(U153,Assumption!$E$438-T123))</f>
        <v>0</v>
      </c>
      <c r="V113" s="158" t="n">
        <f aca="false">V11*MAX(0,MIN(V153,Assumption!$E$438-U123))</f>
        <v>0</v>
      </c>
      <c r="W113" s="158" t="n">
        <f aca="false">W11*MAX(0,MIN(W153,Assumption!$E$438-V123))</f>
        <v>0</v>
      </c>
      <c r="X113" s="158" t="n">
        <f aca="false">X11*MAX(0,MIN(X153,Assumption!$E$438-W123))</f>
        <v>0</v>
      </c>
      <c r="Y113" s="158" t="n">
        <f aca="false">Y11*MAX(0,MIN(Y153,Assumption!$E$438-X123))</f>
        <v>0</v>
      </c>
      <c r="Z113" s="158" t="n">
        <f aca="false">Z11*MAX(0,MIN(Z153,Assumption!$E$438-Y123))</f>
        <v>0</v>
      </c>
      <c r="AA113" s="158" t="n">
        <f aca="false">AA11*MAX(0,MIN(AA153,Assumption!$E$438-Z123))</f>
        <v>0</v>
      </c>
      <c r="AB113" s="158" t="n">
        <f aca="false">AB11*MAX(0,MIN(AB153,Assumption!$E$438-AA123))</f>
        <v>0</v>
      </c>
      <c r="AC113" s="158" t="n">
        <f aca="false">AC11*MAX(0,MIN(AC153,Assumption!$E$438-AB123))</f>
        <v>0</v>
      </c>
      <c r="AD113" s="158" t="n">
        <f aca="false">AD11*MAX(0,MIN(AD153,Assumption!$E$438-AC123))</f>
        <v>0</v>
      </c>
      <c r="AE113" s="158" t="n">
        <f aca="false">AE11*MAX(0,MIN(AE153,Assumption!$E$438-AD123))</f>
        <v>0</v>
      </c>
      <c r="AF113" s="158" t="n">
        <f aca="false">AF11*MAX(0,MIN(AF153,Assumption!$E$438-AE123))</f>
        <v>0</v>
      </c>
      <c r="AG113" s="158" t="n">
        <f aca="false">AG11*MAX(0,MIN(AG153,Assumption!$E$438-AF123))</f>
        <v>0</v>
      </c>
      <c r="AH113" s="158" t="n">
        <f aca="false">AH11*MAX(0,MIN(AH153,Assumption!$E$438-AG123))</f>
        <v>0</v>
      </c>
      <c r="AI113" s="158" t="n">
        <f aca="false">AI11*MAX(0,MIN(AI153,Assumption!$E$438-AH123))</f>
        <v>994.866374604113</v>
      </c>
      <c r="AJ113" s="158" t="n">
        <f aca="false">AJ11*MAX(0,MIN(AJ153,Assumption!$E$438-AI123))</f>
        <v>34080.188569673</v>
      </c>
      <c r="AK113" s="158" t="n">
        <f aca="false">AK11*MAX(0,MIN(AK153,Assumption!$E$438-AJ123))</f>
        <v>35757.3527904749</v>
      </c>
      <c r="AL113" s="158" t="n">
        <f aca="false">AL11*MAX(0,MIN(AL153,Assumption!$E$438-AK123))</f>
        <v>37255.5117653045</v>
      </c>
      <c r="AM113" s="158" t="n">
        <f aca="false">AM11*MAX(0,MIN(AM153,Assumption!$E$438-AL123))</f>
        <v>38566.4321850614</v>
      </c>
      <c r="AN113" s="158" t="n">
        <f aca="false">AN11*MAX(0,MIN(AN153,Assumption!$E$438-AM123))</f>
        <v>17496.1823784189</v>
      </c>
      <c r="AO113" s="158" t="n">
        <f aca="false">AO11*MAX(0,MIN(AO153,Assumption!$E$438-AN123))</f>
        <v>0</v>
      </c>
      <c r="AP113" s="158" t="n">
        <f aca="false">AP11*MAX(0,MIN(AP153,Assumption!$E$438-AO123))</f>
        <v>0</v>
      </c>
      <c r="AQ113" s="158" t="n">
        <f aca="false">AQ11*MAX(0,MIN(AQ153,Assumption!$E$438-AP123))</f>
        <v>0</v>
      </c>
      <c r="AR113" s="158" t="n">
        <f aca="false">AR11*MAX(0,MIN(AR153,Assumption!$E$438-AQ123))</f>
        <v>0</v>
      </c>
      <c r="AS113" s="158" t="n">
        <f aca="false">AS11*MAX(0,MIN(AS153,Assumption!$E$438-AR123))</f>
        <v>0</v>
      </c>
      <c r="AT113" s="158" t="n">
        <f aca="false">AT11*MAX(0,MIN(AT153,Assumption!$E$438-AS123))</f>
        <v>0</v>
      </c>
      <c r="AU113" s="158" t="n">
        <f aca="false">AU11*MAX(0,MIN(AU153,Assumption!$E$438-AT123))</f>
        <v>0</v>
      </c>
      <c r="AV113" s="158" t="n">
        <f aca="false">AV11*MAX(0,MIN(AV153,Assumption!$E$438-AU123))</f>
        <v>0</v>
      </c>
      <c r="AW113" s="158" t="n">
        <f aca="false">AW11*MAX(0,MIN(AW153,Assumption!$E$438-AV123))</f>
        <v>0</v>
      </c>
      <c r="AX113" s="158" t="n">
        <f aca="false">AX11*MAX(0,MIN(AX153,Assumption!$E$438-AW123))</f>
        <v>0</v>
      </c>
      <c r="AY113" s="158" t="n">
        <f aca="false">AY11*MAX(0,MIN(AY153,Assumption!$E$438-AX123))</f>
        <v>0</v>
      </c>
      <c r="AZ113" s="158" t="n">
        <f aca="false">AZ11*MAX(0,MIN(AZ153,Assumption!$E$438-AY123))</f>
        <v>0</v>
      </c>
      <c r="BA113" s="158" t="n">
        <f aca="false">BA11*MAX(0,MIN(BA153,Assumption!$E$438-AZ123))</f>
        <v>0</v>
      </c>
      <c r="BB113" s="158" t="n">
        <f aca="false">BB11*MAX(0,MIN(BB153,Assumption!$E$438-BA123))</f>
        <v>0</v>
      </c>
      <c r="BC113" s="158" t="n">
        <f aca="false">BC11*MAX(0,MIN(BC153,Assumption!$E$438-BB123))</f>
        <v>0</v>
      </c>
      <c r="BD113" s="158" t="n">
        <f aca="false">BD11*MAX(0,MIN(BD153,Assumption!$E$438-BC123))</f>
        <v>0</v>
      </c>
      <c r="BE113" s="158" t="n">
        <f aca="false">BE11*MAX(0,MIN(BE153,Assumption!$E$438-BD123))</f>
        <v>0</v>
      </c>
      <c r="BF113" s="158" t="n">
        <f aca="false">BF11*MAX(0,MIN(BF153,Assumption!$E$438-BE123))</f>
        <v>0</v>
      </c>
      <c r="BG113" s="158" t="n">
        <f aca="false">BG11*MAX(0,MIN(BG153,Assumption!$E$438-BF123))</f>
        <v>0</v>
      </c>
      <c r="BH113" s="158" t="n">
        <f aca="false">BH11*MAX(0,MIN(BH153,Assumption!$E$438-BG123))</f>
        <v>0</v>
      </c>
      <c r="BI113" s="158" t="n">
        <f aca="false">BI11*MAX(0,MIN(BI153,Assumption!$E$438-BH123))</f>
        <v>0</v>
      </c>
      <c r="BJ113" s="158" t="n">
        <f aca="false">BJ11*MAX(0,MIN(BJ153,Assumption!$E$438-BI123))</f>
        <v>0</v>
      </c>
      <c r="BK113" s="158" t="n">
        <f aca="false">BK11*MAX(0,MIN(BK153,Assumption!$E$438-BJ123))</f>
        <v>0</v>
      </c>
      <c r="BL113" s="158" t="n">
        <f aca="false">BL11*MAX(0,MIN(BL153,Assumption!$E$438-BK123))</f>
        <v>0</v>
      </c>
      <c r="BM113" s="158" t="n">
        <f aca="false">BM11*MAX(0,MIN(BM153,Assumption!$E$438-BL123))</f>
        <v>0</v>
      </c>
      <c r="BN113" s="158" t="n">
        <f aca="false">BN11*MAX(0,MIN(BN153,Assumption!$E$438-BM123))</f>
        <v>0</v>
      </c>
      <c r="BO113" s="158" t="n">
        <f aca="false">BO11*MAX(0,MIN(BO153,Assumption!$E$438-BN123))</f>
        <v>0</v>
      </c>
      <c r="BP113" s="158" t="n">
        <f aca="false">BP11*MAX(0,MIN(BP153,Assumption!$E$438-BO123))</f>
        <v>0</v>
      </c>
      <c r="BQ113" s="158" t="n">
        <f aca="false">BQ11*MAX(0,MIN(BQ153,Assumption!$E$438-BP123))</f>
        <v>0</v>
      </c>
      <c r="BR113" s="158" t="n">
        <f aca="false">BR11*MAX(0,MIN(BR153,Assumption!$E$438-BQ123))</f>
        <v>0</v>
      </c>
      <c r="BS113" s="158" t="n">
        <f aca="false">BS11*MAX(0,MIN(BS153,Assumption!$E$438-BR123))</f>
        <v>0</v>
      </c>
      <c r="BT113" s="158" t="n">
        <f aca="false">BT11*MAX(0,MIN(BT153,Assumption!$E$438-BS123))</f>
        <v>0</v>
      </c>
      <c r="BU113" s="158" t="n">
        <f aca="false">BU11*MAX(0,MIN(BU153,Assumption!$E$438-BT123))</f>
        <v>0</v>
      </c>
      <c r="BV113" s="158" t="n">
        <f aca="false">BV11*MAX(0,MIN(BV153,Assumption!$E$438-BU123))</f>
        <v>0</v>
      </c>
      <c r="BW113" s="158" t="n">
        <f aca="false">BW11*MAX(0,MIN(BW153,Assumption!$E$438-BV123))</f>
        <v>0</v>
      </c>
      <c r="BX113" s="158" t="n">
        <f aca="false">BX11*MAX(0,MIN(BX153,Assumption!$E$438-BW123))</f>
        <v>0</v>
      </c>
      <c r="BY113" s="158" t="n">
        <f aca="false">BY11*MAX(0,MIN(BY153,Assumption!$E$438-BX123))</f>
        <v>0</v>
      </c>
      <c r="BZ113" s="158" t="n">
        <f aca="false">BZ11*MAX(0,MIN(BZ153,Assumption!$E$438-BY123))</f>
        <v>0</v>
      </c>
      <c r="CA113" s="158" t="n">
        <f aca="false">CA11*MAX(0,MIN(CA153,Assumption!$E$438-BZ123))</f>
        <v>0</v>
      </c>
      <c r="CB113" s="158" t="n">
        <f aca="false">CB11*MAX(0,MIN(CB153,Assumption!$E$438-CA123))</f>
        <v>0</v>
      </c>
      <c r="CC113" s="158" t="n">
        <f aca="false">CC11*MAX(0,MIN(CC153,Assumption!$E$438-CB123))</f>
        <v>0</v>
      </c>
      <c r="CD113" s="158" t="n">
        <f aca="false">CD11*MAX(0,MIN(CD153,Assumption!$E$438-CC123))</f>
        <v>0</v>
      </c>
      <c r="CE113" s="158" t="n">
        <f aca="false">CE11*MAX(0,MIN(CE153,Assumption!$E$438-CD123))</f>
        <v>0</v>
      </c>
      <c r="CF113" s="158" t="n">
        <f aca="false">CF11*MAX(0,MIN(CF153,Assumption!$E$438-CE123))</f>
        <v>0</v>
      </c>
      <c r="CG113" s="158" t="n">
        <f aca="false">CG11*MAX(0,MIN(CG153,Assumption!$E$438-CF123))</f>
        <v>0</v>
      </c>
      <c r="CH113" s="158" t="n">
        <f aca="false">CH11*MAX(0,MIN(CH153,Assumption!$E$438-CG123))</f>
        <v>0</v>
      </c>
      <c r="CI113" s="158" t="n">
        <f aca="false">CI11*MAX(0,MIN(CI153,Assumption!$E$438-CH123))</f>
        <v>0</v>
      </c>
      <c r="CJ113" s="158" t="n">
        <f aca="false">CJ11*MAX(0,MIN(CJ153,Assumption!$E$438-CI123))</f>
        <v>0</v>
      </c>
      <c r="CK113" s="158" t="n">
        <f aca="false">CK11*MAX(0,MIN(CK153,Assumption!$E$438-CJ123))</f>
        <v>0</v>
      </c>
      <c r="CL113" s="158" t="n">
        <f aca="false">CL11*MAX(0,MIN(CL153,Assumption!$E$438-CK123))</f>
        <v>0</v>
      </c>
      <c r="CM113" s="158" t="n">
        <f aca="false">CM11*MAX(0,MIN(CM153,Assumption!$E$438-CL123))</f>
        <v>0</v>
      </c>
      <c r="CN113" s="158" t="n">
        <f aca="false">CN11*MAX(0,MIN(CN153,Assumption!$E$438-CM123))</f>
        <v>0</v>
      </c>
      <c r="CO113" s="158" t="n">
        <f aca="false">CO11*MAX(0,MIN(CO153,Assumption!$E$438-CN123))</f>
        <v>0</v>
      </c>
      <c r="CP113" s="158" t="n">
        <f aca="false">CP11*MAX(0,MIN(CP153,Assumption!$E$438-CO123))</f>
        <v>0</v>
      </c>
      <c r="CQ113" s="158" t="n">
        <f aca="false">CQ11*MAX(0,MIN(CQ153,Assumption!$E$438-CP123))</f>
        <v>0</v>
      </c>
      <c r="CR113" s="158" t="n">
        <f aca="false">CR11*MAX(0,MIN(CR153,Assumption!$E$438-CQ123))</f>
        <v>0</v>
      </c>
      <c r="CS113" s="158" t="n">
        <f aca="false">CS11*MAX(0,MIN(CS153,Assumption!$E$438-CR123))</f>
        <v>0</v>
      </c>
      <c r="CT113" s="158" t="n">
        <f aca="false">CT11*MAX(0,MIN(CT153,Assumption!$E$438-CS123))</f>
        <v>0</v>
      </c>
      <c r="CU113" s="158" t="n">
        <f aca="false">CU11*MAX(0,MIN(CU153,Assumption!$E$438-CT123))</f>
        <v>0</v>
      </c>
      <c r="CV113" s="158" t="n">
        <f aca="false">CV11*MAX(0,MIN(CV153,Assumption!$E$438-CU123))</f>
        <v>0</v>
      </c>
      <c r="CW113" s="158" t="n">
        <f aca="false">CW11*MAX(0,MIN(CW153,Assumption!$E$438-CV123))</f>
        <v>0</v>
      </c>
      <c r="CX113" s="158" t="n">
        <f aca="false">CX11*MAX(0,MIN(CX153,Assumption!$E$438-CW123))</f>
        <v>0</v>
      </c>
      <c r="CY113" s="158" t="n">
        <f aca="false">CY11*MAX(0,MIN(CY153,Assumption!$E$438-CX123))</f>
        <v>0</v>
      </c>
      <c r="CZ113" s="158" t="n">
        <f aca="false">CZ11*MAX(0,MIN(CZ153,Assumption!$E$438-CY123))</f>
        <v>0</v>
      </c>
      <c r="DA113" s="158" t="n">
        <f aca="false">DA11*MAX(0,MIN(DA153,Assumption!$E$438-CZ123))</f>
        <v>0</v>
      </c>
      <c r="DB113" s="158" t="n">
        <f aca="false">DB11*MAX(0,MIN(DB153,Assumption!$E$438-DA123))</f>
        <v>0</v>
      </c>
      <c r="DC113" s="158" t="n">
        <f aca="false">DC11*MAX(0,MIN(DC153,Assumption!$E$438-DB123))</f>
        <v>0</v>
      </c>
      <c r="DD113" s="158" t="n">
        <f aca="false">DD11*MAX(0,MIN(DD153,Assumption!$E$438-DC123))</f>
        <v>0</v>
      </c>
      <c r="DE113" s="158" t="n">
        <f aca="false">DE11*MAX(0,MIN(DE153,Assumption!$E$438-DD123))</f>
        <v>0</v>
      </c>
      <c r="DF113" s="158" t="n">
        <f aca="false">DF11*MAX(0,MIN(DF153,Assumption!$E$438-DE123))</f>
        <v>0</v>
      </c>
      <c r="DG113" s="158" t="n">
        <f aca="false">DG11*MAX(0,MIN(DG153,Assumption!$E$438-DF123))</f>
        <v>0</v>
      </c>
      <c r="DH113" s="158" t="n">
        <f aca="false">DH11*MAX(0,MIN(DH153,Assumption!$E$438-DG123))</f>
        <v>0</v>
      </c>
      <c r="DI113" s="158" t="n">
        <f aca="false">DI11*MAX(0,MIN(DI153,Assumption!$E$438-DH123))</f>
        <v>0</v>
      </c>
      <c r="DJ113" s="158" t="n">
        <f aca="false">DJ11*MAX(0,MIN(DJ153,Assumption!$E$438-DI123))</f>
        <v>0</v>
      </c>
      <c r="DK113" s="158" t="n">
        <f aca="false">DK11*MAX(0,MIN(DK153,Assumption!$E$438-DJ123))</f>
        <v>0</v>
      </c>
      <c r="DL113" s="158" t="n">
        <f aca="false">DL11*MAX(0,MIN(DL153,Assumption!$E$438-DK123))</f>
        <v>0</v>
      </c>
      <c r="DM113" s="158" t="n">
        <f aca="false">DM11*MAX(0,MIN(DM153,Assumption!$E$438-DL123))</f>
        <v>0</v>
      </c>
      <c r="DN113" s="158" t="n">
        <f aca="false">DN11*MAX(0,MIN(DN153,Assumption!$E$438-DM123))</f>
        <v>0</v>
      </c>
      <c r="DO113" s="158" t="n">
        <f aca="false">DO11*MAX(0,MIN(DO153,Assumption!$E$438-DN123))</f>
        <v>0</v>
      </c>
      <c r="DP113" s="158" t="n">
        <f aca="false">DP11*MAX(0,MIN(DP153,Assumption!$E$438-DO123))</f>
        <v>0</v>
      </c>
      <c r="DQ113" s="158" t="n">
        <f aca="false">DQ11*MAX(0,MIN(DQ153,Assumption!$E$438-DP123))</f>
        <v>0</v>
      </c>
      <c r="DR113" s="158" t="n">
        <f aca="false">DR11*MAX(0,MIN(DR153,Assumption!$E$438-DQ123))</f>
        <v>0</v>
      </c>
      <c r="DS113" s="158" t="n">
        <f aca="false">DS11*MAX(0,MIN(DS153,Assumption!$E$438-DR123))</f>
        <v>0</v>
      </c>
      <c r="DT113" s="158" t="n">
        <f aca="false">DT11*MAX(0,MIN(DT153,Assumption!$E$438-DS123))</f>
        <v>0</v>
      </c>
      <c r="DU113" s="158" t="n">
        <f aca="false">DU11*MAX(0,MIN(DU153,Assumption!$E$438-DT123))</f>
        <v>0</v>
      </c>
      <c r="DV113" s="158" t="n">
        <f aca="false">DV11*MAX(0,MIN(DV153,Assumption!$E$438-DU123))</f>
        <v>0</v>
      </c>
      <c r="DW113" s="158" t="n">
        <f aca="false">DW11*MAX(0,MIN(DW153,Assumption!$E$438-DV123))</f>
        <v>0</v>
      </c>
      <c r="DX113" s="158" t="n">
        <f aca="false">DX11*MAX(0,MIN(DX153,Assumption!$E$438-DW123))</f>
        <v>0</v>
      </c>
      <c r="DY113" s="158" t="n">
        <f aca="false">DY11*MAX(0,MIN(DY153,Assumption!$E$438-DX123))</f>
        <v>0</v>
      </c>
      <c r="DZ113" s="158" t="n">
        <f aca="false">DZ11*MAX(0,MIN(DZ153,Assumption!$E$438-DY123))</f>
        <v>0</v>
      </c>
      <c r="EA113" s="158" t="n">
        <f aca="false">EA11*MAX(0,MIN(EA153,Assumption!$E$438-DZ123))</f>
        <v>0</v>
      </c>
      <c r="EB113" s="158" t="n">
        <f aca="false">EB11*MAX(0,MIN(EB153,Assumption!$E$438-EA123))</f>
        <v>0</v>
      </c>
      <c r="EC113" s="158" t="n">
        <f aca="false">EC11*MAX(0,MIN(EC153,Assumption!$E$438-EB123))</f>
        <v>0</v>
      </c>
      <c r="ED113" s="158" t="n">
        <f aca="false">ED11*MAX(0,MIN(ED153,Assumption!$E$438-EC123))</f>
        <v>0</v>
      </c>
      <c r="EE113" s="158" t="n">
        <f aca="false">EE11*MAX(0,MIN(EE153,Assumption!$E$438-ED123))</f>
        <v>0</v>
      </c>
      <c r="EF113" s="158" t="n">
        <f aca="false">EF11*MAX(0,MIN(EF153,Assumption!$E$438-EE123))</f>
        <v>0</v>
      </c>
    </row>
    <row r="114" customFormat="false" ht="15" hidden="false" customHeight="false" outlineLevel="0" collapsed="false">
      <c r="A114" s="112" t="s">
        <v>571</v>
      </c>
      <c r="B114" s="241" t="s">
        <v>116</v>
      </c>
      <c r="C114" s="242" t="n">
        <f aca="false">SUM(E114:EF114)</f>
        <v>164265.485417923</v>
      </c>
      <c r="E114" s="158" t="n">
        <f aca="false">E11*MAX(0,MIN(E153-E113,Assumption!$E$437-0))</f>
        <v>0</v>
      </c>
      <c r="F114" s="158" t="n">
        <f aca="false">F11*MAX(0,MIN(F153-F113,Assumption!$E$437-E122))</f>
        <v>0</v>
      </c>
      <c r="G114" s="158" t="n">
        <f aca="false">G11*MAX(0,MIN(G153-G113,Assumption!$E$437-F122))</f>
        <v>0</v>
      </c>
      <c r="H114" s="158" t="n">
        <f aca="false">H11*MAX(0,MIN(H153-H113,Assumption!$E$437-G122))</f>
        <v>0</v>
      </c>
      <c r="I114" s="158" t="n">
        <f aca="false">I11*MAX(0,MIN(I153-I113,Assumption!$E$437-H122))</f>
        <v>0</v>
      </c>
      <c r="J114" s="158" t="n">
        <f aca="false">J11*MAX(0,MIN(J153-J113,Assumption!$E$437-I122))</f>
        <v>0</v>
      </c>
      <c r="K114" s="158" t="n">
        <f aca="false">K11*MAX(0,MIN(K153-K113,Assumption!$E$437-J122))</f>
        <v>0</v>
      </c>
      <c r="L114" s="158" t="n">
        <f aca="false">L11*MAX(0,MIN(L153-L113,Assumption!$E$437-K122))</f>
        <v>0</v>
      </c>
      <c r="M114" s="158" t="n">
        <f aca="false">M11*MAX(0,MIN(M153-M113,Assumption!$E$437-L122))</f>
        <v>0</v>
      </c>
      <c r="N114" s="158" t="n">
        <f aca="false">N11*MAX(0,MIN(N153-N113,Assumption!$E$437-M122))</f>
        <v>0</v>
      </c>
      <c r="O114" s="158" t="n">
        <f aca="false">O11*MAX(0,MIN(O153-O113,Assumption!$E$437-N122))</f>
        <v>0</v>
      </c>
      <c r="P114" s="158" t="n">
        <f aca="false">P11*MAX(0,MIN(P153-P113,Assumption!$E$437-O122))</f>
        <v>0</v>
      </c>
      <c r="Q114" s="158" t="n">
        <f aca="false">Q11*MAX(0,MIN(Q153-Q113,Assumption!$E$437-P122))</f>
        <v>0</v>
      </c>
      <c r="R114" s="158" t="n">
        <f aca="false">R11*MAX(0,MIN(R153-R113,Assumption!$E$437-Q122))</f>
        <v>0</v>
      </c>
      <c r="S114" s="158" t="n">
        <f aca="false">S11*MAX(0,MIN(S153-S113,Assumption!$E$437-R122))</f>
        <v>0</v>
      </c>
      <c r="T114" s="158" t="n">
        <f aca="false">T11*MAX(0,MIN(T153-T113,Assumption!$E$437-S122))</f>
        <v>0</v>
      </c>
      <c r="U114" s="158" t="n">
        <f aca="false">U11*MAX(0,MIN(U153-U113,Assumption!$E$437-T122))</f>
        <v>0</v>
      </c>
      <c r="V114" s="158" t="n">
        <f aca="false">V11*MAX(0,MIN(V153-V113,Assumption!$E$437-U122))</f>
        <v>0</v>
      </c>
      <c r="W114" s="158" t="n">
        <f aca="false">W11*MAX(0,MIN(W153-W113,Assumption!$E$437-V122))</f>
        <v>0</v>
      </c>
      <c r="X114" s="158" t="n">
        <f aca="false">X11*MAX(0,MIN(X153-X113,Assumption!$E$437-W122))</f>
        <v>0</v>
      </c>
      <c r="Y114" s="158" t="n">
        <f aca="false">Y11*MAX(0,MIN(Y153-Y113,Assumption!$E$437-X122))</f>
        <v>0</v>
      </c>
      <c r="Z114" s="158" t="n">
        <f aca="false">Z11*MAX(0,MIN(Z153-Z113,Assumption!$E$437-Y122))</f>
        <v>0</v>
      </c>
      <c r="AA114" s="158" t="n">
        <f aca="false">AA11*MAX(0,MIN(AA153-AA113,Assumption!$E$437-Z122))</f>
        <v>0</v>
      </c>
      <c r="AB114" s="158" t="n">
        <f aca="false">AB11*MAX(0,MIN(AB153-AB113,Assumption!$E$437-AA122))</f>
        <v>0</v>
      </c>
      <c r="AC114" s="158" t="n">
        <f aca="false">AC11*MAX(0,MIN(AC153-AC113,Assumption!$E$437-AB122))</f>
        <v>0</v>
      </c>
      <c r="AD114" s="158" t="n">
        <f aca="false">AD11*MAX(0,MIN(AD153-AD113,Assumption!$E$437-AC122))</f>
        <v>0</v>
      </c>
      <c r="AE114" s="158" t="n">
        <f aca="false">AE11*MAX(0,MIN(AE153-AE113,Assumption!$E$437-AD122))</f>
        <v>0</v>
      </c>
      <c r="AF114" s="158" t="n">
        <f aca="false">AF11*MAX(0,MIN(AF153-AF113,Assumption!$E$437-AE122))</f>
        <v>0</v>
      </c>
      <c r="AG114" s="158" t="n">
        <f aca="false">AG11*MAX(0,MIN(AG153-AG113,Assumption!$E$437-AF122))</f>
        <v>0</v>
      </c>
      <c r="AH114" s="158" t="n">
        <f aca="false">AH11*MAX(0,MIN(AH153-AH113,Assumption!$E$437-AG122))</f>
        <v>0</v>
      </c>
      <c r="AI114" s="158" t="n">
        <f aca="false">AI11*MAX(0,MIN(AI153-AI113,Assumption!$E$437-AH122))</f>
        <v>0</v>
      </c>
      <c r="AJ114" s="158" t="n">
        <f aca="false">AJ11*MAX(0,MIN(AJ153-AJ113,Assumption!$E$437-AI122))</f>
        <v>0</v>
      </c>
      <c r="AK114" s="158" t="n">
        <f aca="false">AK11*MAX(0,MIN(AK153-AK113,Assumption!$E$437-AJ122))</f>
        <v>0</v>
      </c>
      <c r="AL114" s="158" t="n">
        <f aca="false">AL11*MAX(0,MIN(AL153-AL113,Assumption!$E$437-AK122))</f>
        <v>0</v>
      </c>
      <c r="AM114" s="158" t="n">
        <f aca="false">AM11*MAX(0,MIN(AM153-AM113,Assumption!$E$437-AL122))</f>
        <v>0</v>
      </c>
      <c r="AN114" s="158" t="n">
        <f aca="false">AN11*MAX(0,MIN(AN153-AN113,Assumption!$E$437-AM122))</f>
        <v>22186.7464791183</v>
      </c>
      <c r="AO114" s="158" t="n">
        <f aca="false">AO11*MAX(0,MIN(AO153-AO113,Assumption!$E$437-AN122))</f>
        <v>0</v>
      </c>
      <c r="AP114" s="158" t="n">
        <f aca="false">AP11*MAX(0,MIN(AP153-AP113,Assumption!$E$437-AO122))</f>
        <v>0</v>
      </c>
      <c r="AQ114" s="158" t="n">
        <f aca="false">AQ11*MAX(0,MIN(AQ153-AQ113,Assumption!$E$437-AP122))</f>
        <v>0</v>
      </c>
      <c r="AR114" s="158" t="n">
        <f aca="false">AR11*MAX(0,MIN(AR153-AR113,Assumption!$E$437-AQ122))</f>
        <v>27474.1475466604</v>
      </c>
      <c r="AS114" s="158" t="n">
        <f aca="false">AS11*MAX(0,MIN(AS153-AS113,Assumption!$E$437-AR122))</f>
        <v>41156.5301375479</v>
      </c>
      <c r="AT114" s="158" t="n">
        <f aca="false">AT11*MAX(0,MIN(AT153-AT113,Assumption!$E$437-AS122))</f>
        <v>40960.0786373081</v>
      </c>
      <c r="AU114" s="158" t="n">
        <f aca="false">AU11*MAX(0,MIN(AU153-AU113,Assumption!$E$437-AT122))</f>
        <v>32487.9826172884</v>
      </c>
      <c r="AV114" s="158" t="n">
        <f aca="false">AV11*MAX(0,MIN(AV153-AV113,Assumption!$E$437-AU122))</f>
        <v>0</v>
      </c>
      <c r="AW114" s="158" t="n">
        <f aca="false">AW11*MAX(0,MIN(AW153-AW113,Assumption!$E$437-AV122))</f>
        <v>0</v>
      </c>
      <c r="AX114" s="158" t="n">
        <f aca="false">AX11*MAX(0,MIN(AX153-AX113,Assumption!$E$437-AW122))</f>
        <v>0</v>
      </c>
      <c r="AY114" s="158" t="n">
        <f aca="false">AY11*MAX(0,MIN(AY153-AY113,Assumption!$E$437-AX122))</f>
        <v>0</v>
      </c>
      <c r="AZ114" s="158" t="n">
        <f aca="false">AZ11*MAX(0,MIN(AZ153-AZ113,Assumption!$E$437-AY122))</f>
        <v>0</v>
      </c>
      <c r="BA114" s="158" t="n">
        <f aca="false">BA11*MAX(0,MIN(BA153-BA113,Assumption!$E$437-AZ122))</f>
        <v>0</v>
      </c>
      <c r="BB114" s="158" t="n">
        <f aca="false">BB11*MAX(0,MIN(BB153-BB113,Assumption!$E$437-BA122))</f>
        <v>0</v>
      </c>
      <c r="BC114" s="158" t="n">
        <f aca="false">BC11*MAX(0,MIN(BC153-BC113,Assumption!$E$437-BB122))</f>
        <v>0</v>
      </c>
      <c r="BD114" s="158" t="n">
        <f aca="false">BD11*MAX(0,MIN(BD153-BD113,Assumption!$E$437-BC122))</f>
        <v>0</v>
      </c>
      <c r="BE114" s="158" t="n">
        <f aca="false">BE11*MAX(0,MIN(BE153-BE113,Assumption!$E$437-BD122))</f>
        <v>0</v>
      </c>
      <c r="BF114" s="158" t="n">
        <f aca="false">BF11*MAX(0,MIN(BF153-BF113,Assumption!$E$437-BE122))</f>
        <v>0</v>
      </c>
      <c r="BG114" s="158" t="n">
        <f aca="false">BG11*MAX(0,MIN(BG153-BG113,Assumption!$E$437-BF122))</f>
        <v>0</v>
      </c>
      <c r="BH114" s="158" t="n">
        <f aca="false">BH11*MAX(0,MIN(BH153-BH113,Assumption!$E$437-BG122))</f>
        <v>0</v>
      </c>
      <c r="BI114" s="158" t="n">
        <f aca="false">BI11*MAX(0,MIN(BI153-BI113,Assumption!$E$437-BH122))</f>
        <v>0</v>
      </c>
      <c r="BJ114" s="158" t="n">
        <f aca="false">BJ11*MAX(0,MIN(BJ153-BJ113,Assumption!$E$437-BI122))</f>
        <v>0</v>
      </c>
      <c r="BK114" s="158" t="n">
        <f aca="false">BK11*MAX(0,MIN(BK153-BK113,Assumption!$E$437-BJ122))</f>
        <v>0</v>
      </c>
      <c r="BL114" s="158" t="n">
        <f aca="false">BL11*MAX(0,MIN(BL153-BL113,Assumption!$E$437-BK122))</f>
        <v>0</v>
      </c>
      <c r="BM114" s="158" t="n">
        <f aca="false">BM11*MAX(0,MIN(BM153-BM113,Assumption!$E$437-BL122))</f>
        <v>0</v>
      </c>
      <c r="BN114" s="158" t="n">
        <f aca="false">BN11*MAX(0,MIN(BN153-BN113,Assumption!$E$437-BM122))</f>
        <v>0</v>
      </c>
      <c r="BO114" s="158" t="n">
        <f aca="false">BO11*MAX(0,MIN(BO153-BO113,Assumption!$E$437-BN122))</f>
        <v>0</v>
      </c>
      <c r="BP114" s="158" t="n">
        <f aca="false">BP11*MAX(0,MIN(BP153-BP113,Assumption!$E$437-BO122))</f>
        <v>0</v>
      </c>
      <c r="BQ114" s="158" t="n">
        <f aca="false">BQ11*MAX(0,MIN(BQ153-BQ113,Assumption!$E$437-BP122))</f>
        <v>0</v>
      </c>
      <c r="BR114" s="158" t="n">
        <f aca="false">BR11*MAX(0,MIN(BR153-BR113,Assumption!$E$437-BQ122))</f>
        <v>0</v>
      </c>
      <c r="BS114" s="158" t="n">
        <f aca="false">BS11*MAX(0,MIN(BS153-BS113,Assumption!$E$437-BR122))</f>
        <v>0</v>
      </c>
      <c r="BT114" s="158" t="n">
        <f aca="false">BT11*MAX(0,MIN(BT153-BT113,Assumption!$E$437-BS122))</f>
        <v>0</v>
      </c>
      <c r="BU114" s="158" t="n">
        <f aca="false">BU11*MAX(0,MIN(BU153-BU113,Assumption!$E$437-BT122))</f>
        <v>0</v>
      </c>
      <c r="BV114" s="158" t="n">
        <f aca="false">BV11*MAX(0,MIN(BV153-BV113,Assumption!$E$437-BU122))</f>
        <v>0</v>
      </c>
      <c r="BW114" s="158" t="n">
        <f aca="false">BW11*MAX(0,MIN(BW153-BW113,Assumption!$E$437-BV122))</f>
        <v>0</v>
      </c>
      <c r="BX114" s="158" t="n">
        <f aca="false">BX11*MAX(0,MIN(BX153-BX113,Assumption!$E$437-BW122))</f>
        <v>0</v>
      </c>
      <c r="BY114" s="158" t="n">
        <f aca="false">BY11*MAX(0,MIN(BY153-BY113,Assumption!$E$437-BX122))</f>
        <v>0</v>
      </c>
      <c r="BZ114" s="158" t="n">
        <f aca="false">BZ11*MAX(0,MIN(BZ153-BZ113,Assumption!$E$437-BY122))</f>
        <v>0</v>
      </c>
      <c r="CA114" s="158" t="n">
        <f aca="false">CA11*MAX(0,MIN(CA153-CA113,Assumption!$E$437-BZ122))</f>
        <v>0</v>
      </c>
      <c r="CB114" s="158" t="n">
        <f aca="false">CB11*MAX(0,MIN(CB153-CB113,Assumption!$E$437-CA122))</f>
        <v>0</v>
      </c>
      <c r="CC114" s="158" t="n">
        <f aca="false">CC11*MAX(0,MIN(CC153-CC113,Assumption!$E$437-CB122))</f>
        <v>0</v>
      </c>
      <c r="CD114" s="158" t="n">
        <f aca="false">CD11*MAX(0,MIN(CD153-CD113,Assumption!$E$437-CC122))</f>
        <v>0</v>
      </c>
      <c r="CE114" s="158" t="n">
        <f aca="false">CE11*MAX(0,MIN(CE153-CE113,Assumption!$E$437-CD122))</f>
        <v>0</v>
      </c>
      <c r="CF114" s="158" t="n">
        <f aca="false">CF11*MAX(0,MIN(CF153-CF113,Assumption!$E$437-CE122))</f>
        <v>0</v>
      </c>
      <c r="CG114" s="158" t="n">
        <f aca="false">CG11*MAX(0,MIN(CG153-CG113,Assumption!$E$437-CF122))</f>
        <v>0</v>
      </c>
      <c r="CH114" s="158" t="n">
        <f aca="false">CH11*MAX(0,MIN(CH153-CH113,Assumption!$E$437-CG122))</f>
        <v>0</v>
      </c>
      <c r="CI114" s="158" t="n">
        <f aca="false">CI11*MAX(0,MIN(CI153-CI113,Assumption!$E$437-CH122))</f>
        <v>0</v>
      </c>
      <c r="CJ114" s="158" t="n">
        <f aca="false">CJ11*MAX(0,MIN(CJ153-CJ113,Assumption!$E$437-CI122))</f>
        <v>0</v>
      </c>
      <c r="CK114" s="158" t="n">
        <f aca="false">CK11*MAX(0,MIN(CK153-CK113,Assumption!$E$437-CJ122))</f>
        <v>0</v>
      </c>
      <c r="CL114" s="158" t="n">
        <f aca="false">CL11*MAX(0,MIN(CL153-CL113,Assumption!$E$437-CK122))</f>
        <v>0</v>
      </c>
      <c r="CM114" s="158" t="n">
        <f aca="false">CM11*MAX(0,MIN(CM153-CM113,Assumption!$E$437-CL122))</f>
        <v>0</v>
      </c>
      <c r="CN114" s="158" t="n">
        <f aca="false">CN11*MAX(0,MIN(CN153-CN113,Assumption!$E$437-CM122))</f>
        <v>0</v>
      </c>
      <c r="CO114" s="158" t="n">
        <f aca="false">CO11*MAX(0,MIN(CO153-CO113,Assumption!$E$437-CN122))</f>
        <v>0</v>
      </c>
      <c r="CP114" s="158" t="n">
        <f aca="false">CP11*MAX(0,MIN(CP153-CP113,Assumption!$E$437-CO122))</f>
        <v>0</v>
      </c>
      <c r="CQ114" s="158" t="n">
        <f aca="false">CQ11*MAX(0,MIN(CQ153-CQ113,Assumption!$E$437-CP122))</f>
        <v>0</v>
      </c>
      <c r="CR114" s="158" t="n">
        <f aca="false">CR11*MAX(0,MIN(CR153-CR113,Assumption!$E$437-CQ122))</f>
        <v>0</v>
      </c>
      <c r="CS114" s="158" t="n">
        <f aca="false">CS11*MAX(0,MIN(CS153-CS113,Assumption!$E$437-CR122))</f>
        <v>0</v>
      </c>
      <c r="CT114" s="158" t="n">
        <f aca="false">CT11*MAX(0,MIN(CT153-CT113,Assumption!$E$437-CS122))</f>
        <v>0</v>
      </c>
      <c r="CU114" s="158" t="n">
        <f aca="false">CU11*MAX(0,MIN(CU153-CU113,Assumption!$E$437-CT122))</f>
        <v>0</v>
      </c>
      <c r="CV114" s="158" t="n">
        <f aca="false">CV11*MAX(0,MIN(CV153-CV113,Assumption!$E$437-CU122))</f>
        <v>0</v>
      </c>
      <c r="CW114" s="158" t="n">
        <f aca="false">CW11*MAX(0,MIN(CW153-CW113,Assumption!$E$437-CV122))</f>
        <v>0</v>
      </c>
      <c r="CX114" s="158" t="n">
        <f aca="false">CX11*MAX(0,MIN(CX153-CX113,Assumption!$E$437-CW122))</f>
        <v>0</v>
      </c>
      <c r="CY114" s="158" t="n">
        <f aca="false">CY11*MAX(0,MIN(CY153-CY113,Assumption!$E$437-CX122))</f>
        <v>0</v>
      </c>
      <c r="CZ114" s="158" t="n">
        <f aca="false">CZ11*MAX(0,MIN(CZ153-CZ113,Assumption!$E$437-CY122))</f>
        <v>0</v>
      </c>
      <c r="DA114" s="158" t="n">
        <f aca="false">DA11*MAX(0,MIN(DA153-DA113,Assumption!$E$437-CZ122))</f>
        <v>0</v>
      </c>
      <c r="DB114" s="158" t="n">
        <f aca="false">DB11*MAX(0,MIN(DB153-DB113,Assumption!$E$437-DA122))</f>
        <v>0</v>
      </c>
      <c r="DC114" s="158" t="n">
        <f aca="false">DC11*MAX(0,MIN(DC153-DC113,Assumption!$E$437-DB122))</f>
        <v>0</v>
      </c>
      <c r="DD114" s="158" t="n">
        <f aca="false">DD11*MAX(0,MIN(DD153-DD113,Assumption!$E$437-DC122))</f>
        <v>0</v>
      </c>
      <c r="DE114" s="158" t="n">
        <f aca="false">DE11*MAX(0,MIN(DE153-DE113,Assumption!$E$437-DD122))</f>
        <v>0</v>
      </c>
      <c r="DF114" s="158" t="n">
        <f aca="false">DF11*MAX(0,MIN(DF153-DF113,Assumption!$E$437-DE122))</f>
        <v>0</v>
      </c>
      <c r="DG114" s="158" t="n">
        <f aca="false">DG11*MAX(0,MIN(DG153-DG113,Assumption!$E$437-DF122))</f>
        <v>0</v>
      </c>
      <c r="DH114" s="158" t="n">
        <f aca="false">DH11*MAX(0,MIN(DH153-DH113,Assumption!$E$437-DG122))</f>
        <v>0</v>
      </c>
      <c r="DI114" s="158" t="n">
        <f aca="false">DI11*MAX(0,MIN(DI153-DI113,Assumption!$E$437-DH122))</f>
        <v>0</v>
      </c>
      <c r="DJ114" s="158" t="n">
        <f aca="false">DJ11*MAX(0,MIN(DJ153-DJ113,Assumption!$E$437-DI122))</f>
        <v>0</v>
      </c>
      <c r="DK114" s="158" t="n">
        <f aca="false">DK11*MAX(0,MIN(DK153-DK113,Assumption!$E$437-DJ122))</f>
        <v>0</v>
      </c>
      <c r="DL114" s="158" t="n">
        <f aca="false">DL11*MAX(0,MIN(DL153-DL113,Assumption!$E$437-DK122))</f>
        <v>0</v>
      </c>
      <c r="DM114" s="158" t="n">
        <f aca="false">DM11*MAX(0,MIN(DM153-DM113,Assumption!$E$437-DL122))</f>
        <v>0</v>
      </c>
      <c r="DN114" s="158" t="n">
        <f aca="false">DN11*MAX(0,MIN(DN153-DN113,Assumption!$E$437-DM122))</f>
        <v>0</v>
      </c>
      <c r="DO114" s="158" t="n">
        <f aca="false">DO11*MAX(0,MIN(DO153-DO113,Assumption!$E$437-DN122))</f>
        <v>0</v>
      </c>
      <c r="DP114" s="158" t="n">
        <f aca="false">DP11*MAX(0,MIN(DP153-DP113,Assumption!$E$437-DO122))</f>
        <v>0</v>
      </c>
      <c r="DQ114" s="158" t="n">
        <f aca="false">DQ11*MAX(0,MIN(DQ153-DQ113,Assumption!$E$437-DP122))</f>
        <v>0</v>
      </c>
      <c r="DR114" s="158" t="n">
        <f aca="false">DR11*MAX(0,MIN(DR153-DR113,Assumption!$E$437-DQ122))</f>
        <v>0</v>
      </c>
      <c r="DS114" s="158" t="n">
        <f aca="false">DS11*MAX(0,MIN(DS153-DS113,Assumption!$E$437-DR122))</f>
        <v>0</v>
      </c>
      <c r="DT114" s="158" t="n">
        <f aca="false">DT11*MAX(0,MIN(DT153-DT113,Assumption!$E$437-DS122))</f>
        <v>0</v>
      </c>
      <c r="DU114" s="158" t="n">
        <f aca="false">DU11*MAX(0,MIN(DU153-DU113,Assumption!$E$437-DT122))</f>
        <v>0</v>
      </c>
      <c r="DV114" s="158" t="n">
        <f aca="false">DV11*MAX(0,MIN(DV153-DV113,Assumption!$E$437-DU122))</f>
        <v>0</v>
      </c>
      <c r="DW114" s="158" t="n">
        <f aca="false">DW11*MAX(0,MIN(DW153-DW113,Assumption!$E$437-DV122))</f>
        <v>0</v>
      </c>
      <c r="DX114" s="158" t="n">
        <f aca="false">DX11*MAX(0,MIN(DX153-DX113,Assumption!$E$437-DW122))</f>
        <v>0</v>
      </c>
      <c r="DY114" s="158" t="n">
        <f aca="false">DY11*MAX(0,MIN(DY153-DY113,Assumption!$E$437-DX122))</f>
        <v>0</v>
      </c>
      <c r="DZ114" s="158" t="n">
        <f aca="false">DZ11*MAX(0,MIN(DZ153-DZ113,Assumption!$E$437-DY122))</f>
        <v>0</v>
      </c>
      <c r="EA114" s="158" t="n">
        <f aca="false">EA11*MAX(0,MIN(EA153-EA113,Assumption!$E$437-DZ122))</f>
        <v>0</v>
      </c>
      <c r="EB114" s="158" t="n">
        <f aca="false">EB11*MAX(0,MIN(EB153-EB113,Assumption!$E$437-EA122))</f>
        <v>0</v>
      </c>
      <c r="EC114" s="158" t="n">
        <f aca="false">EC11*MAX(0,MIN(EC153-EC113,Assumption!$E$437-EB122))</f>
        <v>0</v>
      </c>
      <c r="ED114" s="158" t="n">
        <f aca="false">ED11*MAX(0,MIN(ED153-ED113,Assumption!$E$437-EC122))</f>
        <v>0</v>
      </c>
      <c r="EE114" s="158" t="n">
        <f aca="false">EE11*MAX(0,MIN(EE153-EE113,Assumption!$E$437-ED122))</f>
        <v>0</v>
      </c>
      <c r="EF114" s="158" t="n">
        <f aca="false">EF11*MAX(0,MIN(EF153-EF113,Assumption!$E$437-EE122))</f>
        <v>0</v>
      </c>
    </row>
    <row r="115" customFormat="false" ht="15" hidden="false" customHeight="false" outlineLevel="0" collapsed="false">
      <c r="A115" s="112" t="s">
        <v>572</v>
      </c>
      <c r="B115" s="241" t="s">
        <v>116</v>
      </c>
      <c r="C115" s="242" t="n">
        <f aca="false">SUM(E115:EF115)</f>
        <v>304203.267746602</v>
      </c>
      <c r="E115" s="158" t="n">
        <f aca="false">E11*MAX(0,MIN(E153-E113-E114,Assumption!$E$436-0))</f>
        <v>0</v>
      </c>
      <c r="F115" s="158" t="n">
        <f aca="false">F11*MAX(0,MIN(F153-F113-F114,Assumption!$E$436-E121))</f>
        <v>0</v>
      </c>
      <c r="G115" s="158" t="n">
        <f aca="false">G11*MAX(0,MIN(G153-G113-G114,Assumption!$E$436-F121))</f>
        <v>0</v>
      </c>
      <c r="H115" s="158" t="n">
        <f aca="false">H11*MAX(0,MIN(H153-H113-H114,Assumption!$E$436-G121))</f>
        <v>0</v>
      </c>
      <c r="I115" s="158" t="n">
        <f aca="false">I11*MAX(0,MIN(I153-I113-I114,Assumption!$E$436-H121))</f>
        <v>0</v>
      </c>
      <c r="J115" s="158" t="n">
        <f aca="false">J11*MAX(0,MIN(J153-J113-J114,Assumption!$E$436-I121))</f>
        <v>0</v>
      </c>
      <c r="K115" s="158" t="n">
        <f aca="false">K11*MAX(0,MIN(K153-K113-K114,Assumption!$E$436-J121))</f>
        <v>0</v>
      </c>
      <c r="L115" s="158" t="n">
        <f aca="false">L11*MAX(0,MIN(L153-L113-L114,Assumption!$E$436-K121))</f>
        <v>0</v>
      </c>
      <c r="M115" s="158" t="n">
        <f aca="false">M11*MAX(0,MIN(M153-M113-M114,Assumption!$E$436-L121))</f>
        <v>0</v>
      </c>
      <c r="N115" s="158" t="n">
        <f aca="false">N11*MAX(0,MIN(N153-N113-N114,Assumption!$E$436-M121))</f>
        <v>0</v>
      </c>
      <c r="O115" s="158" t="n">
        <f aca="false">O11*MAX(0,MIN(O153-O113-O114,Assumption!$E$436-N121))</f>
        <v>0</v>
      </c>
      <c r="P115" s="158" t="n">
        <f aca="false">P11*MAX(0,MIN(P153-P113-P114,Assumption!$E$436-O121))</f>
        <v>0</v>
      </c>
      <c r="Q115" s="158" t="n">
        <f aca="false">Q11*MAX(0,MIN(Q153-Q113-Q114,Assumption!$E$436-P121))</f>
        <v>0</v>
      </c>
      <c r="R115" s="158" t="n">
        <f aca="false">R11*MAX(0,MIN(R153-R113-R114,Assumption!$E$436-Q121))</f>
        <v>0</v>
      </c>
      <c r="S115" s="158" t="n">
        <f aca="false">S11*MAX(0,MIN(S153-S113-S114,Assumption!$E$436-R121))</f>
        <v>0</v>
      </c>
      <c r="T115" s="158" t="n">
        <f aca="false">T11*MAX(0,MIN(T153-T113-T114,Assumption!$E$436-S121))</f>
        <v>0</v>
      </c>
      <c r="U115" s="158" t="n">
        <f aca="false">U11*MAX(0,MIN(U153-U113-U114,Assumption!$E$436-T121))</f>
        <v>0</v>
      </c>
      <c r="V115" s="158" t="n">
        <f aca="false">V11*MAX(0,MIN(V153-V113-V114,Assumption!$E$436-U121))</f>
        <v>0</v>
      </c>
      <c r="W115" s="158" t="n">
        <f aca="false">W11*MAX(0,MIN(W153-W113-W114,Assumption!$E$436-V121))</f>
        <v>0</v>
      </c>
      <c r="X115" s="158" t="n">
        <f aca="false">X11*MAX(0,MIN(X153-X113-X114,Assumption!$E$436-W121))</f>
        <v>0</v>
      </c>
      <c r="Y115" s="158" t="n">
        <f aca="false">Y11*MAX(0,MIN(Y153-Y113-Y114,Assumption!$E$436-X121))</f>
        <v>0</v>
      </c>
      <c r="Z115" s="158" t="n">
        <f aca="false">Z11*MAX(0,MIN(Z153-Z113-Z114,Assumption!$E$436-Y121))</f>
        <v>0</v>
      </c>
      <c r="AA115" s="158" t="n">
        <f aca="false">AA11*MAX(0,MIN(AA153-AA113-AA114,Assumption!$E$436-Z121))</f>
        <v>0</v>
      </c>
      <c r="AB115" s="158" t="n">
        <f aca="false">AB11*MAX(0,MIN(AB153-AB113-AB114,Assumption!$E$436-AA121))</f>
        <v>0</v>
      </c>
      <c r="AC115" s="158" t="n">
        <f aca="false">AC11*MAX(0,MIN(AC153-AC113-AC114,Assumption!$E$436-AB121))</f>
        <v>0</v>
      </c>
      <c r="AD115" s="158" t="n">
        <f aca="false">AD11*MAX(0,MIN(AD153-AD113-AD114,Assumption!$E$436-AC121))</f>
        <v>0</v>
      </c>
      <c r="AE115" s="158" t="n">
        <f aca="false">AE11*MAX(0,MIN(AE153-AE113-AE114,Assumption!$E$436-AD121))</f>
        <v>0</v>
      </c>
      <c r="AF115" s="158" t="n">
        <f aca="false">AF11*MAX(0,MIN(AF153-AF113-AF114,Assumption!$E$436-AE121))</f>
        <v>0</v>
      </c>
      <c r="AG115" s="158" t="n">
        <f aca="false">AG11*MAX(0,MIN(AG153-AG113-AG114,Assumption!$E$436-AF121))</f>
        <v>0</v>
      </c>
      <c r="AH115" s="158" t="n">
        <f aca="false">AH11*MAX(0,MIN(AH153-AH113-AH114,Assumption!$E$436-AG121))</f>
        <v>0</v>
      </c>
      <c r="AI115" s="158" t="n">
        <f aca="false">AI11*MAX(0,MIN(AI153-AI113-AI114,Assumption!$E$436-AH121))</f>
        <v>0</v>
      </c>
      <c r="AJ115" s="158" t="n">
        <f aca="false">AJ11*MAX(0,MIN(AJ153-AJ113-AJ114,Assumption!$E$436-AI121))</f>
        <v>0</v>
      </c>
      <c r="AK115" s="158" t="n">
        <f aca="false">AK11*MAX(0,MIN(AK153-AK113-AK114,Assumption!$E$436-AJ121))</f>
        <v>0</v>
      </c>
      <c r="AL115" s="158" t="n">
        <f aca="false">AL11*MAX(0,MIN(AL153-AL113-AL114,Assumption!$E$436-AK121))</f>
        <v>0</v>
      </c>
      <c r="AM115" s="158" t="n">
        <f aca="false">AM11*MAX(0,MIN(AM153-AM113-AM114,Assumption!$E$436-AL121))</f>
        <v>0</v>
      </c>
      <c r="AN115" s="158" t="n">
        <f aca="false">AN11*MAX(0,MIN(AN153-AN113-AN114,Assumption!$E$436-AM121))</f>
        <v>0</v>
      </c>
      <c r="AO115" s="158" t="n">
        <f aca="false">AO11*MAX(0,MIN(AO153-AO113-AO114,Assumption!$E$436-AN121))</f>
        <v>0</v>
      </c>
      <c r="AP115" s="158" t="n">
        <f aca="false">AP11*MAX(0,MIN(AP153-AP113-AP114,Assumption!$E$436-AO121))</f>
        <v>0</v>
      </c>
      <c r="AQ115" s="158" t="n">
        <f aca="false">AQ11*MAX(0,MIN(AQ153-AQ113-AQ114,Assumption!$E$436-AP121))</f>
        <v>0</v>
      </c>
      <c r="AR115" s="158" t="n">
        <f aca="false">AR11*MAX(0,MIN(AR153-AR113-AR114,Assumption!$E$436-AQ121))</f>
        <v>0</v>
      </c>
      <c r="AS115" s="158" t="n">
        <f aca="false">AS11*MAX(0,MIN(AS153-AS113-AS114,Assumption!$E$436-AR121))</f>
        <v>0</v>
      </c>
      <c r="AT115" s="158" t="n">
        <f aca="false">AT11*MAX(0,MIN(AT153-AT113-AT114,Assumption!$E$436-AS121))</f>
        <v>0</v>
      </c>
      <c r="AU115" s="158" t="n">
        <f aca="false">AU11*MAX(0,MIN(AU153-AU113-AU114,Assumption!$E$436-AT121))</f>
        <v>8062.70068423657</v>
      </c>
      <c r="AV115" s="158" t="n">
        <f aca="false">AV11*MAX(0,MIN(AV153-AV113-AV114,Assumption!$E$436-AU121))</f>
        <v>39925.3498565816</v>
      </c>
      <c r="AW115" s="158" t="n">
        <f aca="false">AW11*MAX(0,MIN(AW153-AW113-AW114,Assumption!$E$436-AV121))</f>
        <v>39071.7401424842</v>
      </c>
      <c r="AX115" s="158" t="n">
        <f aca="false">AX11*MAX(0,MIN(AX153-AX113-AX114,Assumption!$E$436-AW121))</f>
        <v>38016.261558501</v>
      </c>
      <c r="AY115" s="158" t="n">
        <f aca="false">AY11*MAX(0,MIN(AY153-AY113-AY114,Assumption!$E$436-AX121))</f>
        <v>36764.8999497656</v>
      </c>
      <c r="AZ115" s="158" t="n">
        <f aca="false">AZ11*MAX(0,MIN(AZ153-AZ113-AZ114,Assumption!$E$436-AY121))</f>
        <v>35324.7370346461</v>
      </c>
      <c r="BA115" s="158" t="n">
        <f aca="false">BA11*MAX(0,MIN(BA153-BA113-BA114,Assumption!$E$436-AZ121))</f>
        <v>0</v>
      </c>
      <c r="BB115" s="158" t="n">
        <f aca="false">BB11*MAX(0,MIN(BB153-BB113-BB114,Assumption!$E$436-BA121))</f>
        <v>0</v>
      </c>
      <c r="BC115" s="158" t="n">
        <f aca="false">BC11*MAX(0,MIN(BC153-BC113-BC114,Assumption!$E$436-BB121))</f>
        <v>0</v>
      </c>
      <c r="BD115" s="158" t="n">
        <f aca="false">BD11*MAX(0,MIN(BD153-BD113-BD114,Assumption!$E$436-BC121))</f>
        <v>0</v>
      </c>
      <c r="BE115" s="158" t="n">
        <f aca="false">BE11*MAX(0,MIN(BE153-BE113-BE114,Assumption!$E$436-BD121))</f>
        <v>10753.4950757223</v>
      </c>
      <c r="BF115" s="158" t="n">
        <f aca="false">BF11*MAX(0,MIN(BF153-BF113-BF114,Assumption!$E$436-BE121))</f>
        <v>22550.9777429406</v>
      </c>
      <c r="BG115" s="158" t="n">
        <f aca="false">BG11*MAX(0,MIN(BG153-BG113-BG114,Assumption!$E$436-BF121))</f>
        <v>20066.3422463546</v>
      </c>
      <c r="BH115" s="158" t="n">
        <f aca="false">BH11*MAX(0,MIN(BH153-BH113-BH114,Assumption!$E$436-BG121))</f>
        <v>17483.0712152557</v>
      </c>
      <c r="BI115" s="158" t="n">
        <f aca="false">BI11*MAX(0,MIN(BI153-BI113-BI114,Assumption!$E$436-BH121))</f>
        <v>14815.6792670774</v>
      </c>
      <c r="BJ115" s="158" t="n">
        <f aca="false">BJ11*MAX(0,MIN(BJ153-BJ113-BJ114,Assumption!$E$436-BI121))</f>
        <v>12079.1517971325</v>
      </c>
      <c r="BK115" s="158" t="n">
        <f aca="false">BK11*MAX(0,MIN(BK153-BK113-BK114,Assumption!$E$436-BJ121))</f>
        <v>9288.86117590428</v>
      </c>
      <c r="BL115" s="158" t="n">
        <f aca="false">BL11*MAX(0,MIN(BL153-BL113-BL114,Assumption!$E$436-BK121))</f>
        <v>0</v>
      </c>
      <c r="BM115" s="158" t="n">
        <f aca="false">BM11*MAX(0,MIN(BM153-BM113-BM114,Assumption!$E$436-BL121))</f>
        <v>0</v>
      </c>
      <c r="BN115" s="158" t="n">
        <f aca="false">BN11*MAX(0,MIN(BN153-BN113-BN114,Assumption!$E$436-BM121))</f>
        <v>0</v>
      </c>
      <c r="BO115" s="158" t="n">
        <f aca="false">BO11*MAX(0,MIN(BO153-BO113-BO114,Assumption!$E$436-BN121))</f>
        <v>0</v>
      </c>
      <c r="BP115" s="158" t="n">
        <f aca="false">BP11*MAX(0,MIN(BP153-BP113-BP114,Assumption!$E$436-BO121))</f>
        <v>0</v>
      </c>
      <c r="BQ115" s="158" t="n">
        <f aca="false">BQ11*MAX(0,MIN(BQ153-BQ113-BQ114,Assumption!$E$436-BP121))</f>
        <v>0</v>
      </c>
      <c r="BR115" s="158" t="n">
        <f aca="false">BR11*MAX(0,MIN(BR153-BR113-BR114,Assumption!$E$436-BQ121))</f>
        <v>0</v>
      </c>
      <c r="BS115" s="158" t="n">
        <f aca="false">BS11*MAX(0,MIN(BS153-BS113-BS114,Assumption!$E$436-BR121))</f>
        <v>0</v>
      </c>
      <c r="BT115" s="158" t="n">
        <f aca="false">BT11*MAX(0,MIN(BT153-BT113-BT114,Assumption!$E$436-BS121))</f>
        <v>0</v>
      </c>
      <c r="BU115" s="158" t="n">
        <f aca="false">BU11*MAX(0,MIN(BU153-BU113-BU114,Assumption!$E$436-BT121))</f>
        <v>0</v>
      </c>
      <c r="BV115" s="158" t="n">
        <f aca="false">BV11*MAX(0,MIN(BV153-BV113-BV114,Assumption!$E$436-BU121))</f>
        <v>0</v>
      </c>
      <c r="BW115" s="158" t="n">
        <f aca="false">BW11*MAX(0,MIN(BW153-BW113-BW114,Assumption!$E$436-BV121))</f>
        <v>0</v>
      </c>
      <c r="BX115" s="158" t="n">
        <f aca="false">BX11*MAX(0,MIN(BX153-BX113-BX114,Assumption!$E$436-BW121))</f>
        <v>0</v>
      </c>
      <c r="BY115" s="158" t="n">
        <f aca="false">BY11*MAX(0,MIN(BY153-BY113-BY114,Assumption!$E$436-BX121))</f>
        <v>0</v>
      </c>
      <c r="BZ115" s="158" t="n">
        <f aca="false">BZ11*MAX(0,MIN(BZ153-BZ113-BZ114,Assumption!$E$436-BY121))</f>
        <v>0</v>
      </c>
      <c r="CA115" s="158" t="n">
        <f aca="false">CA11*MAX(0,MIN(CA153-CA113-CA114,Assumption!$E$436-BZ121))</f>
        <v>0</v>
      </c>
      <c r="CB115" s="158" t="n">
        <f aca="false">CB11*MAX(0,MIN(CB153-CB113-CB114,Assumption!$E$436-CA121))</f>
        <v>0</v>
      </c>
      <c r="CC115" s="158" t="n">
        <f aca="false">CC11*MAX(0,MIN(CC153-CC113-CC114,Assumption!$E$436-CB121))</f>
        <v>0</v>
      </c>
      <c r="CD115" s="158" t="n">
        <f aca="false">CD11*MAX(0,MIN(CD153-CD113-CD114,Assumption!$E$436-CC121))</f>
        <v>0</v>
      </c>
      <c r="CE115" s="158" t="n">
        <f aca="false">CE11*MAX(0,MIN(CE153-CE113-CE114,Assumption!$E$436-CD121))</f>
        <v>0</v>
      </c>
      <c r="CF115" s="158" t="n">
        <f aca="false">CF11*MAX(0,MIN(CF153-CF113-CF114,Assumption!$E$436-CE121))</f>
        <v>0</v>
      </c>
      <c r="CG115" s="158" t="n">
        <f aca="false">CG11*MAX(0,MIN(CG153-CG113-CG114,Assumption!$E$436-CF121))</f>
        <v>0</v>
      </c>
      <c r="CH115" s="158" t="n">
        <f aca="false">CH11*MAX(0,MIN(CH153-CH113-CH114,Assumption!$E$436-CG121))</f>
        <v>0</v>
      </c>
      <c r="CI115" s="158" t="n">
        <f aca="false">CI11*MAX(0,MIN(CI153-CI113-CI114,Assumption!$E$436-CH121))</f>
        <v>0</v>
      </c>
      <c r="CJ115" s="158" t="n">
        <f aca="false">CJ11*MAX(0,MIN(CJ153-CJ113-CJ114,Assumption!$E$436-CI121))</f>
        <v>0</v>
      </c>
      <c r="CK115" s="158" t="n">
        <f aca="false">CK11*MAX(0,MIN(CK153-CK113-CK114,Assumption!$E$436-CJ121))</f>
        <v>0</v>
      </c>
      <c r="CL115" s="158" t="n">
        <f aca="false">CL11*MAX(0,MIN(CL153-CL113-CL114,Assumption!$E$436-CK121))</f>
        <v>0</v>
      </c>
      <c r="CM115" s="158" t="n">
        <f aca="false">CM11*MAX(0,MIN(CM153-CM113-CM114,Assumption!$E$436-CL121))</f>
        <v>0</v>
      </c>
      <c r="CN115" s="158" t="n">
        <f aca="false">CN11*MAX(0,MIN(CN153-CN113-CN114,Assumption!$E$436-CM121))</f>
        <v>0</v>
      </c>
      <c r="CO115" s="158" t="n">
        <f aca="false">CO11*MAX(0,MIN(CO153-CO113-CO114,Assumption!$E$436-CN121))</f>
        <v>0</v>
      </c>
      <c r="CP115" s="158" t="n">
        <f aca="false">CP11*MAX(0,MIN(CP153-CP113-CP114,Assumption!$E$436-CO121))</f>
        <v>0</v>
      </c>
      <c r="CQ115" s="158" t="n">
        <f aca="false">CQ11*MAX(0,MIN(CQ153-CQ113-CQ114,Assumption!$E$436-CP121))</f>
        <v>0</v>
      </c>
      <c r="CR115" s="158" t="n">
        <f aca="false">CR11*MAX(0,MIN(CR153-CR113-CR114,Assumption!$E$436-CQ121))</f>
        <v>0</v>
      </c>
      <c r="CS115" s="158" t="n">
        <f aca="false">CS11*MAX(0,MIN(CS153-CS113-CS114,Assumption!$E$436-CR121))</f>
        <v>0</v>
      </c>
      <c r="CT115" s="158" t="n">
        <f aca="false">CT11*MAX(0,MIN(CT153-CT113-CT114,Assumption!$E$436-CS121))</f>
        <v>0</v>
      </c>
      <c r="CU115" s="158" t="n">
        <f aca="false">CU11*MAX(0,MIN(CU153-CU113-CU114,Assumption!$E$436-CT121))</f>
        <v>0</v>
      </c>
      <c r="CV115" s="158" t="n">
        <f aca="false">CV11*MAX(0,MIN(CV153-CV113-CV114,Assumption!$E$436-CU121))</f>
        <v>0</v>
      </c>
      <c r="CW115" s="158" t="n">
        <f aca="false">CW11*MAX(0,MIN(CW153-CW113-CW114,Assumption!$E$436-CV121))</f>
        <v>0</v>
      </c>
      <c r="CX115" s="158" t="n">
        <f aca="false">CX11*MAX(0,MIN(CX153-CX113-CX114,Assumption!$E$436-CW121))</f>
        <v>0</v>
      </c>
      <c r="CY115" s="158" t="n">
        <f aca="false">CY11*MAX(0,MIN(CY153-CY113-CY114,Assumption!$E$436-CX121))</f>
        <v>0</v>
      </c>
      <c r="CZ115" s="158" t="n">
        <f aca="false">CZ11*MAX(0,MIN(CZ153-CZ113-CZ114,Assumption!$E$436-CY121))</f>
        <v>0</v>
      </c>
      <c r="DA115" s="158" t="n">
        <f aca="false">DA11*MAX(0,MIN(DA153-DA113-DA114,Assumption!$E$436-CZ121))</f>
        <v>0</v>
      </c>
      <c r="DB115" s="158" t="n">
        <f aca="false">DB11*MAX(0,MIN(DB153-DB113-DB114,Assumption!$E$436-DA121))</f>
        <v>0</v>
      </c>
      <c r="DC115" s="158" t="n">
        <f aca="false">DC11*MAX(0,MIN(DC153-DC113-DC114,Assumption!$E$436-DB121))</f>
        <v>0</v>
      </c>
      <c r="DD115" s="158" t="n">
        <f aca="false">DD11*MAX(0,MIN(DD153-DD113-DD114,Assumption!$E$436-DC121))</f>
        <v>0</v>
      </c>
      <c r="DE115" s="158" t="n">
        <f aca="false">DE11*MAX(0,MIN(DE153-DE113-DE114,Assumption!$E$436-DD121))</f>
        <v>0</v>
      </c>
      <c r="DF115" s="158" t="n">
        <f aca="false">DF11*MAX(0,MIN(DF153-DF113-DF114,Assumption!$E$436-DE121))</f>
        <v>0</v>
      </c>
      <c r="DG115" s="158" t="n">
        <f aca="false">DG11*MAX(0,MIN(DG153-DG113-DG114,Assumption!$E$436-DF121))</f>
        <v>0</v>
      </c>
      <c r="DH115" s="158" t="n">
        <f aca="false">DH11*MAX(0,MIN(DH153-DH113-DH114,Assumption!$E$436-DG121))</f>
        <v>0</v>
      </c>
      <c r="DI115" s="158" t="n">
        <f aca="false">DI11*MAX(0,MIN(DI153-DI113-DI114,Assumption!$E$436-DH121))</f>
        <v>0</v>
      </c>
      <c r="DJ115" s="158" t="n">
        <f aca="false">DJ11*MAX(0,MIN(DJ153-DJ113-DJ114,Assumption!$E$436-DI121))</f>
        <v>0</v>
      </c>
      <c r="DK115" s="158" t="n">
        <f aca="false">DK11*MAX(0,MIN(DK153-DK113-DK114,Assumption!$E$436-DJ121))</f>
        <v>0</v>
      </c>
      <c r="DL115" s="158" t="n">
        <f aca="false">DL11*MAX(0,MIN(DL153-DL113-DL114,Assumption!$E$436-DK121))</f>
        <v>0</v>
      </c>
      <c r="DM115" s="158" t="n">
        <f aca="false">DM11*MAX(0,MIN(DM153-DM113-DM114,Assumption!$E$436-DL121))</f>
        <v>0</v>
      </c>
      <c r="DN115" s="158" t="n">
        <f aca="false">DN11*MAX(0,MIN(DN153-DN113-DN114,Assumption!$E$436-DM121))</f>
        <v>0</v>
      </c>
      <c r="DO115" s="158" t="n">
        <f aca="false">DO11*MAX(0,MIN(DO153-DO113-DO114,Assumption!$E$436-DN121))</f>
        <v>0</v>
      </c>
      <c r="DP115" s="158" t="n">
        <f aca="false">DP11*MAX(0,MIN(DP153-DP113-DP114,Assumption!$E$436-DO121))</f>
        <v>0</v>
      </c>
      <c r="DQ115" s="158" t="n">
        <f aca="false">DQ11*MAX(0,MIN(DQ153-DQ113-DQ114,Assumption!$E$436-DP121))</f>
        <v>0</v>
      </c>
      <c r="DR115" s="158" t="n">
        <f aca="false">DR11*MAX(0,MIN(DR153-DR113-DR114,Assumption!$E$436-DQ121))</f>
        <v>0</v>
      </c>
      <c r="DS115" s="158" t="n">
        <f aca="false">DS11*MAX(0,MIN(DS153-DS113-DS114,Assumption!$E$436-DR121))</f>
        <v>0</v>
      </c>
      <c r="DT115" s="158" t="n">
        <f aca="false">DT11*MAX(0,MIN(DT153-DT113-DT114,Assumption!$E$436-DS121))</f>
        <v>0</v>
      </c>
      <c r="DU115" s="158" t="n">
        <f aca="false">DU11*MAX(0,MIN(DU153-DU113-DU114,Assumption!$E$436-DT121))</f>
        <v>0</v>
      </c>
      <c r="DV115" s="158" t="n">
        <f aca="false">DV11*MAX(0,MIN(DV153-DV113-DV114,Assumption!$E$436-DU121))</f>
        <v>0</v>
      </c>
      <c r="DW115" s="158" t="n">
        <f aca="false">DW11*MAX(0,MIN(DW153-DW113-DW114,Assumption!$E$436-DV121))</f>
        <v>0</v>
      </c>
      <c r="DX115" s="158" t="n">
        <f aca="false">DX11*MAX(0,MIN(DX153-DX113-DX114,Assumption!$E$436-DW121))</f>
        <v>0</v>
      </c>
      <c r="DY115" s="158" t="n">
        <f aca="false">DY11*MAX(0,MIN(DY153-DY113-DY114,Assumption!$E$436-DX121))</f>
        <v>0</v>
      </c>
      <c r="DZ115" s="158" t="n">
        <f aca="false">DZ11*MAX(0,MIN(DZ153-DZ113-DZ114,Assumption!$E$436-DY121))</f>
        <v>0</v>
      </c>
      <c r="EA115" s="158" t="n">
        <f aca="false">EA11*MAX(0,MIN(EA153-EA113-EA114,Assumption!$E$436-DZ121))</f>
        <v>0</v>
      </c>
      <c r="EB115" s="158" t="n">
        <f aca="false">EB11*MAX(0,MIN(EB153-EB113-EB114,Assumption!$E$436-EA121))</f>
        <v>0</v>
      </c>
      <c r="EC115" s="158" t="n">
        <f aca="false">EC11*MAX(0,MIN(EC153-EC113-EC114,Assumption!$E$436-EB121))</f>
        <v>0</v>
      </c>
      <c r="ED115" s="158" t="n">
        <f aca="false">ED11*MAX(0,MIN(ED153-ED113-ED114,Assumption!$E$436-EC121))</f>
        <v>0</v>
      </c>
      <c r="EE115" s="158" t="n">
        <f aca="false">EE11*MAX(0,MIN(EE153-EE113-EE114,Assumption!$E$436-ED121))</f>
        <v>0</v>
      </c>
      <c r="EF115" s="158" t="n">
        <f aca="false">EF11*MAX(0,MIN(EF153-EF113-EF114,Assumption!$E$436-EE121))</f>
        <v>0</v>
      </c>
    </row>
    <row r="116" customFormat="false" ht="15" hidden="false" customHeight="false" outlineLevel="0" collapsed="false">
      <c r="A116" s="247" t="s">
        <v>573</v>
      </c>
      <c r="B116" s="244" t="s">
        <v>116</v>
      </c>
      <c r="C116" s="245" t="n">
        <f aca="false">SUM(E116:EF116)</f>
        <v>632619.287228062</v>
      </c>
      <c r="D116" s="13"/>
      <c r="E116" s="246" t="n">
        <f aca="false">E115+E114+E113</f>
        <v>0</v>
      </c>
      <c r="F116" s="246" t="n">
        <f aca="false">F115+F114+F113</f>
        <v>0</v>
      </c>
      <c r="G116" s="246" t="n">
        <f aca="false">G115+G114+G113</f>
        <v>0</v>
      </c>
      <c r="H116" s="246" t="n">
        <f aca="false">H115+H114+H113</f>
        <v>0</v>
      </c>
      <c r="I116" s="246" t="n">
        <f aca="false">I115+I114+I113</f>
        <v>0</v>
      </c>
      <c r="J116" s="246" t="n">
        <f aca="false">J115+J114+J113</f>
        <v>0</v>
      </c>
      <c r="K116" s="246" t="n">
        <f aca="false">K115+K114+K113</f>
        <v>0</v>
      </c>
      <c r="L116" s="246" t="n">
        <f aca="false">L115+L114+L113</f>
        <v>0</v>
      </c>
      <c r="M116" s="246" t="n">
        <f aca="false">M115+M114+M113</f>
        <v>0</v>
      </c>
      <c r="N116" s="246" t="n">
        <f aca="false">N115+N114+N113</f>
        <v>0</v>
      </c>
      <c r="O116" s="246" t="n">
        <f aca="false">O115+O114+O113</f>
        <v>0</v>
      </c>
      <c r="P116" s="246" t="n">
        <f aca="false">P115+P114+P113</f>
        <v>0</v>
      </c>
      <c r="Q116" s="246" t="n">
        <f aca="false">Q115+Q114+Q113</f>
        <v>0</v>
      </c>
      <c r="R116" s="246" t="n">
        <f aca="false">R115+R114+R113</f>
        <v>0</v>
      </c>
      <c r="S116" s="246" t="n">
        <f aca="false">S115+S114+S113</f>
        <v>0</v>
      </c>
      <c r="T116" s="246" t="n">
        <f aca="false">T115+T114+T113</f>
        <v>0</v>
      </c>
      <c r="U116" s="246" t="n">
        <f aca="false">U115+U114+U113</f>
        <v>0</v>
      </c>
      <c r="V116" s="246" t="n">
        <f aca="false">V115+V114+V113</f>
        <v>0</v>
      </c>
      <c r="W116" s="246" t="n">
        <f aca="false">W115+W114+W113</f>
        <v>0</v>
      </c>
      <c r="X116" s="246" t="n">
        <f aca="false">X115+X114+X113</f>
        <v>0</v>
      </c>
      <c r="Y116" s="246" t="n">
        <f aca="false">Y115+Y114+Y113</f>
        <v>0</v>
      </c>
      <c r="Z116" s="246" t="n">
        <f aca="false">Z115+Z114+Z113</f>
        <v>0</v>
      </c>
      <c r="AA116" s="246" t="n">
        <f aca="false">AA115+AA114+AA113</f>
        <v>0</v>
      </c>
      <c r="AB116" s="246" t="n">
        <f aca="false">AB115+AB114+AB113</f>
        <v>0</v>
      </c>
      <c r="AC116" s="246" t="n">
        <f aca="false">AC115+AC114+AC113</f>
        <v>0</v>
      </c>
      <c r="AD116" s="246" t="n">
        <f aca="false">AD115+AD114+AD113</f>
        <v>0</v>
      </c>
      <c r="AE116" s="246" t="n">
        <f aca="false">AE115+AE114+AE113</f>
        <v>0</v>
      </c>
      <c r="AF116" s="246" t="n">
        <f aca="false">AF115+AF114+AF113</f>
        <v>0</v>
      </c>
      <c r="AG116" s="246" t="n">
        <f aca="false">AG115+AG114+AG113</f>
        <v>0</v>
      </c>
      <c r="AH116" s="246" t="n">
        <f aca="false">AH115+AH114+AH113</f>
        <v>0</v>
      </c>
      <c r="AI116" s="246" t="n">
        <f aca="false">AI115+AI114+AI113</f>
        <v>994.866374604113</v>
      </c>
      <c r="AJ116" s="246" t="n">
        <f aca="false">AJ115+AJ114+AJ113</f>
        <v>34080.188569673</v>
      </c>
      <c r="AK116" s="246" t="n">
        <f aca="false">AK115+AK114+AK113</f>
        <v>35757.3527904749</v>
      </c>
      <c r="AL116" s="246" t="n">
        <f aca="false">AL115+AL114+AL113</f>
        <v>37255.5117653045</v>
      </c>
      <c r="AM116" s="246" t="n">
        <f aca="false">AM115+AM114+AM113</f>
        <v>38566.4321850614</v>
      </c>
      <c r="AN116" s="246" t="n">
        <f aca="false">AN115+AN114+AN113</f>
        <v>39682.9288575372</v>
      </c>
      <c r="AO116" s="246" t="n">
        <f aca="false">AO115+AO114+AO113</f>
        <v>0</v>
      </c>
      <c r="AP116" s="246" t="n">
        <f aca="false">AP115+AP114+AP113</f>
        <v>0</v>
      </c>
      <c r="AQ116" s="246" t="n">
        <f aca="false">AQ115+AQ114+AQ113</f>
        <v>0</v>
      </c>
      <c r="AR116" s="246" t="n">
        <f aca="false">AR115+AR114+AR113</f>
        <v>27474.1475466604</v>
      </c>
      <c r="AS116" s="246" t="n">
        <f aca="false">AS115+AS114+AS113</f>
        <v>41156.5301375479</v>
      </c>
      <c r="AT116" s="246" t="n">
        <f aca="false">AT115+AT114+AT113</f>
        <v>40960.0786373081</v>
      </c>
      <c r="AU116" s="246" t="n">
        <f aca="false">AU115+AU114+AU113</f>
        <v>40550.683301525</v>
      </c>
      <c r="AV116" s="246" t="n">
        <f aca="false">AV115+AV114+AV113</f>
        <v>39925.3498565816</v>
      </c>
      <c r="AW116" s="246" t="n">
        <f aca="false">AW115+AW114+AW113</f>
        <v>39071.7401424842</v>
      </c>
      <c r="AX116" s="246" t="n">
        <f aca="false">AX115+AX114+AX113</f>
        <v>38016.261558501</v>
      </c>
      <c r="AY116" s="246" t="n">
        <f aca="false">AY115+AY114+AY113</f>
        <v>36764.8999497656</v>
      </c>
      <c r="AZ116" s="246" t="n">
        <f aca="false">AZ115+AZ114+AZ113</f>
        <v>35324.7370346461</v>
      </c>
      <c r="BA116" s="246" t="n">
        <f aca="false">BA115+BA114+BA113</f>
        <v>0</v>
      </c>
      <c r="BB116" s="246" t="n">
        <f aca="false">BB115+BB114+BB113</f>
        <v>0</v>
      </c>
      <c r="BC116" s="246" t="n">
        <f aca="false">BC115+BC114+BC113</f>
        <v>0</v>
      </c>
      <c r="BD116" s="246" t="n">
        <f aca="false">BD115+BD114+BD113</f>
        <v>0</v>
      </c>
      <c r="BE116" s="246" t="n">
        <f aca="false">BE115+BE114+BE113</f>
        <v>10753.4950757223</v>
      </c>
      <c r="BF116" s="246" t="n">
        <f aca="false">BF115+BF114+BF113</f>
        <v>22550.9777429406</v>
      </c>
      <c r="BG116" s="246" t="n">
        <f aca="false">BG115+BG114+BG113</f>
        <v>20066.3422463546</v>
      </c>
      <c r="BH116" s="246" t="n">
        <f aca="false">BH115+BH114+BH113</f>
        <v>17483.0712152557</v>
      </c>
      <c r="BI116" s="246" t="n">
        <f aca="false">BI115+BI114+BI113</f>
        <v>14815.6792670774</v>
      </c>
      <c r="BJ116" s="246" t="n">
        <f aca="false">BJ115+BJ114+BJ113</f>
        <v>12079.1517971325</v>
      </c>
      <c r="BK116" s="246" t="n">
        <f aca="false">BK115+BK114+BK113</f>
        <v>9288.86117590428</v>
      </c>
      <c r="BL116" s="246" t="n">
        <f aca="false">BL115+BL114+BL113</f>
        <v>0</v>
      </c>
      <c r="BM116" s="246" t="n">
        <f aca="false">BM115+BM114+BM113</f>
        <v>0</v>
      </c>
      <c r="BN116" s="246" t="n">
        <f aca="false">BN115+BN114+BN113</f>
        <v>0</v>
      </c>
      <c r="BO116" s="246" t="n">
        <f aca="false">BO115+BO114+BO113</f>
        <v>0</v>
      </c>
      <c r="BP116" s="246" t="n">
        <f aca="false">BP115+BP114+BP113</f>
        <v>0</v>
      </c>
      <c r="BQ116" s="246" t="n">
        <f aca="false">BQ115+BQ114+BQ113</f>
        <v>0</v>
      </c>
      <c r="BR116" s="246" t="n">
        <f aca="false">BR115+BR114+BR113</f>
        <v>0</v>
      </c>
      <c r="BS116" s="246" t="n">
        <f aca="false">BS115+BS114+BS113</f>
        <v>0</v>
      </c>
      <c r="BT116" s="246" t="n">
        <f aca="false">BT115+BT114+BT113</f>
        <v>0</v>
      </c>
      <c r="BU116" s="246" t="n">
        <f aca="false">BU115+BU114+BU113</f>
        <v>0</v>
      </c>
      <c r="BV116" s="246" t="n">
        <f aca="false">BV115+BV114+BV113</f>
        <v>0</v>
      </c>
      <c r="BW116" s="246" t="n">
        <f aca="false">BW115+BW114+BW113</f>
        <v>0</v>
      </c>
      <c r="BX116" s="246" t="n">
        <f aca="false">BX115+BX114+BX113</f>
        <v>0</v>
      </c>
      <c r="BY116" s="246" t="n">
        <f aca="false">BY115+BY114+BY113</f>
        <v>0</v>
      </c>
      <c r="BZ116" s="246" t="n">
        <f aca="false">BZ115+BZ114+BZ113</f>
        <v>0</v>
      </c>
      <c r="CA116" s="246" t="n">
        <f aca="false">CA115+CA114+CA113</f>
        <v>0</v>
      </c>
      <c r="CB116" s="246" t="n">
        <f aca="false">CB115+CB114+CB113</f>
        <v>0</v>
      </c>
      <c r="CC116" s="246" t="n">
        <f aca="false">CC115+CC114+CC113</f>
        <v>0</v>
      </c>
      <c r="CD116" s="246" t="n">
        <f aca="false">CD115+CD114+CD113</f>
        <v>0</v>
      </c>
      <c r="CE116" s="246" t="n">
        <f aca="false">CE115+CE114+CE113</f>
        <v>0</v>
      </c>
      <c r="CF116" s="246" t="n">
        <f aca="false">CF115+CF114+CF113</f>
        <v>0</v>
      </c>
      <c r="CG116" s="246" t="n">
        <f aca="false">CG115+CG114+CG113</f>
        <v>0</v>
      </c>
      <c r="CH116" s="246" t="n">
        <f aca="false">CH115+CH114+CH113</f>
        <v>0</v>
      </c>
      <c r="CI116" s="246" t="n">
        <f aca="false">CI115+CI114+CI113</f>
        <v>0</v>
      </c>
      <c r="CJ116" s="246" t="n">
        <f aca="false">CJ115+CJ114+CJ113</f>
        <v>0</v>
      </c>
      <c r="CK116" s="246" t="n">
        <f aca="false">CK115+CK114+CK113</f>
        <v>0</v>
      </c>
      <c r="CL116" s="246" t="n">
        <f aca="false">CL115+CL114+CL113</f>
        <v>0</v>
      </c>
      <c r="CM116" s="246" t="n">
        <f aca="false">CM115+CM114+CM113</f>
        <v>0</v>
      </c>
      <c r="CN116" s="246" t="n">
        <f aca="false">CN115+CN114+CN113</f>
        <v>0</v>
      </c>
      <c r="CO116" s="246" t="n">
        <f aca="false">CO115+CO114+CO113</f>
        <v>0</v>
      </c>
      <c r="CP116" s="246" t="n">
        <f aca="false">CP115+CP114+CP113</f>
        <v>0</v>
      </c>
      <c r="CQ116" s="246" t="n">
        <f aca="false">CQ115+CQ114+CQ113</f>
        <v>0</v>
      </c>
      <c r="CR116" s="246" t="n">
        <f aca="false">CR115+CR114+CR113</f>
        <v>0</v>
      </c>
      <c r="CS116" s="246" t="n">
        <f aca="false">CS115+CS114+CS113</f>
        <v>0</v>
      </c>
      <c r="CT116" s="246" t="n">
        <f aca="false">CT115+CT114+CT113</f>
        <v>0</v>
      </c>
      <c r="CU116" s="246" t="n">
        <f aca="false">CU115+CU114+CU113</f>
        <v>0</v>
      </c>
      <c r="CV116" s="246" t="n">
        <f aca="false">CV115+CV114+CV113</f>
        <v>0</v>
      </c>
      <c r="CW116" s="246" t="n">
        <f aca="false">CW115+CW114+CW113</f>
        <v>0</v>
      </c>
      <c r="CX116" s="246" t="n">
        <f aca="false">CX115+CX114+CX113</f>
        <v>0</v>
      </c>
      <c r="CY116" s="246" t="n">
        <f aca="false">CY115+CY114+CY113</f>
        <v>0</v>
      </c>
      <c r="CZ116" s="246" t="n">
        <f aca="false">CZ115+CZ114+CZ113</f>
        <v>0</v>
      </c>
      <c r="DA116" s="246" t="n">
        <f aca="false">DA115+DA114+DA113</f>
        <v>0</v>
      </c>
      <c r="DB116" s="246" t="n">
        <f aca="false">DB115+DB114+DB113</f>
        <v>0</v>
      </c>
      <c r="DC116" s="246" t="n">
        <f aca="false">DC115+DC114+DC113</f>
        <v>0</v>
      </c>
      <c r="DD116" s="246" t="n">
        <f aca="false">DD115+DD114+DD113</f>
        <v>0</v>
      </c>
      <c r="DE116" s="246" t="n">
        <f aca="false">DE115+DE114+DE113</f>
        <v>0</v>
      </c>
      <c r="DF116" s="246" t="n">
        <f aca="false">DF115+DF114+DF113</f>
        <v>0</v>
      </c>
      <c r="DG116" s="246" t="n">
        <f aca="false">DG115+DG114+DG113</f>
        <v>0</v>
      </c>
      <c r="DH116" s="246" t="n">
        <f aca="false">DH115+DH114+DH113</f>
        <v>0</v>
      </c>
      <c r="DI116" s="246" t="n">
        <f aca="false">DI115+DI114+DI113</f>
        <v>0</v>
      </c>
      <c r="DJ116" s="246" t="n">
        <f aca="false">DJ115+DJ114+DJ113</f>
        <v>0</v>
      </c>
      <c r="DK116" s="246" t="n">
        <f aca="false">DK115+DK114+DK113</f>
        <v>0</v>
      </c>
      <c r="DL116" s="246" t="n">
        <f aca="false">DL115+DL114+DL113</f>
        <v>0</v>
      </c>
      <c r="DM116" s="246" t="n">
        <f aca="false">DM115+DM114+DM113</f>
        <v>0</v>
      </c>
      <c r="DN116" s="246" t="n">
        <f aca="false">DN115+DN114+DN113</f>
        <v>0</v>
      </c>
      <c r="DO116" s="246" t="n">
        <f aca="false">DO115+DO114+DO113</f>
        <v>0</v>
      </c>
      <c r="DP116" s="246" t="n">
        <f aca="false">DP115+DP114+DP113</f>
        <v>0</v>
      </c>
      <c r="DQ116" s="246" t="n">
        <f aca="false">DQ115+DQ114+DQ113</f>
        <v>0</v>
      </c>
      <c r="DR116" s="246" t="n">
        <f aca="false">DR115+DR114+DR113</f>
        <v>0</v>
      </c>
      <c r="DS116" s="246" t="n">
        <f aca="false">DS115+DS114+DS113</f>
        <v>0</v>
      </c>
      <c r="DT116" s="246" t="n">
        <f aca="false">DT115+DT114+DT113</f>
        <v>0</v>
      </c>
      <c r="DU116" s="246" t="n">
        <f aca="false">DU115+DU114+DU113</f>
        <v>0</v>
      </c>
      <c r="DV116" s="246" t="n">
        <f aca="false">DV115+DV114+DV113</f>
        <v>0</v>
      </c>
      <c r="DW116" s="246" t="n">
        <f aca="false">DW115+DW114+DW113</f>
        <v>0</v>
      </c>
      <c r="DX116" s="246" t="n">
        <f aca="false">DX115+DX114+DX113</f>
        <v>0</v>
      </c>
      <c r="DY116" s="246" t="n">
        <f aca="false">DY115+DY114+DY113</f>
        <v>0</v>
      </c>
      <c r="DZ116" s="246" t="n">
        <f aca="false">DZ115+DZ114+DZ113</f>
        <v>0</v>
      </c>
      <c r="EA116" s="246" t="n">
        <f aca="false">EA115+EA114+EA113</f>
        <v>0</v>
      </c>
      <c r="EB116" s="246" t="n">
        <f aca="false">EB115+EB114+EB113</f>
        <v>0</v>
      </c>
      <c r="EC116" s="246" t="n">
        <f aca="false">EC115+EC114+EC113</f>
        <v>0</v>
      </c>
      <c r="ED116" s="246" t="n">
        <f aca="false">ED115+ED114+ED113</f>
        <v>0</v>
      </c>
      <c r="EE116" s="246" t="n">
        <f aca="false">EE115+EE114+EE113</f>
        <v>0</v>
      </c>
      <c r="EF116" s="246" t="n">
        <f aca="false">EF115+EF114+EF113</f>
        <v>0</v>
      </c>
    </row>
    <row r="117" customFormat="false" ht="15" hidden="false" customHeight="false" outlineLevel="0" collapsed="false">
      <c r="A117" s="112" t="s">
        <v>574</v>
      </c>
      <c r="B117" s="241" t="s">
        <v>116</v>
      </c>
      <c r="C117" s="242" t="n">
        <f aca="false">SUM(E117:EF117)</f>
        <v>304203.267746602</v>
      </c>
      <c r="E117" s="158" t="n">
        <f aca="false">IF(E6=Assumption!$E$16,0+E115,0)</f>
        <v>0</v>
      </c>
      <c r="F117" s="158" t="n">
        <f aca="false">IF(F6=Assumption!$E$16,E121+F115,0)</f>
        <v>0</v>
      </c>
      <c r="G117" s="158" t="n">
        <f aca="false">IF(G6=Assumption!$E$16,F121+G115,0)</f>
        <v>0</v>
      </c>
      <c r="H117" s="158" t="n">
        <f aca="false">IF(H6=Assumption!$E$16,G121+H115,0)</f>
        <v>0</v>
      </c>
      <c r="I117" s="158" t="n">
        <f aca="false">IF(I6=Assumption!$E$16,H121+I115,0)</f>
        <v>0</v>
      </c>
      <c r="J117" s="158" t="n">
        <f aca="false">IF(J6=Assumption!$E$16,I121+J115,0)</f>
        <v>0</v>
      </c>
      <c r="K117" s="158" t="n">
        <f aca="false">IF(K6=Assumption!$E$16,J121+K115,0)</f>
        <v>0</v>
      </c>
      <c r="L117" s="158" t="n">
        <f aca="false">IF(L6=Assumption!$E$16,K121+L115,0)</f>
        <v>0</v>
      </c>
      <c r="M117" s="158" t="n">
        <f aca="false">IF(M6=Assumption!$E$16,L121+M115,0)</f>
        <v>0</v>
      </c>
      <c r="N117" s="158" t="n">
        <f aca="false">IF(N6=Assumption!$E$16,M121+N115,0)</f>
        <v>0</v>
      </c>
      <c r="O117" s="158" t="n">
        <f aca="false">IF(O6=Assumption!$E$16,N121+O115,0)</f>
        <v>0</v>
      </c>
      <c r="P117" s="158" t="n">
        <f aca="false">IF(P6=Assumption!$E$16,O121+P115,0)</f>
        <v>0</v>
      </c>
      <c r="Q117" s="158" t="n">
        <f aca="false">IF(Q6=Assumption!$E$16,P121+Q115,0)</f>
        <v>0</v>
      </c>
      <c r="R117" s="158" t="n">
        <f aca="false">IF(R6=Assumption!$E$16,Q121+R115,0)</f>
        <v>0</v>
      </c>
      <c r="S117" s="158" t="n">
        <f aca="false">IF(S6=Assumption!$E$16,R121+S115,0)</f>
        <v>0</v>
      </c>
      <c r="T117" s="158" t="n">
        <f aca="false">IF(T6=Assumption!$E$16,S121+T115,0)</f>
        <v>0</v>
      </c>
      <c r="U117" s="158" t="n">
        <f aca="false">IF(U6=Assumption!$E$16,T121+U115,0)</f>
        <v>0</v>
      </c>
      <c r="V117" s="158" t="n">
        <f aca="false">IF(V6=Assumption!$E$16,U121+V115,0)</f>
        <v>0</v>
      </c>
      <c r="W117" s="158" t="n">
        <f aca="false">IF(W6=Assumption!$E$16,V121+W115,0)</f>
        <v>0</v>
      </c>
      <c r="X117" s="158" t="n">
        <f aca="false">IF(X6=Assumption!$E$16,W121+X115,0)</f>
        <v>0</v>
      </c>
      <c r="Y117" s="158" t="n">
        <f aca="false">IF(Y6=Assumption!$E$16,X121+Y115,0)</f>
        <v>0</v>
      </c>
      <c r="Z117" s="158" t="n">
        <f aca="false">IF(Z6=Assumption!$E$16,Y121+Z115,0)</f>
        <v>0</v>
      </c>
      <c r="AA117" s="158" t="n">
        <f aca="false">IF(AA6=Assumption!$E$16,Z121+AA115,0)</f>
        <v>0</v>
      </c>
      <c r="AB117" s="158" t="n">
        <f aca="false">IF(AB6=Assumption!$E$16,AA121+AB115,0)</f>
        <v>0</v>
      </c>
      <c r="AC117" s="158" t="n">
        <f aca="false">IF(AC6=Assumption!$E$16,AB121+AC115,0)</f>
        <v>0</v>
      </c>
      <c r="AD117" s="158" t="n">
        <f aca="false">IF(AD6=Assumption!$E$16,AC121+AD115,0)</f>
        <v>0</v>
      </c>
      <c r="AE117" s="158" t="n">
        <f aca="false">IF(AE6=Assumption!$E$16,AD121+AE115,0)</f>
        <v>0</v>
      </c>
      <c r="AF117" s="158" t="n">
        <f aca="false">IF(AF6=Assumption!$E$16,AE121+AF115,0)</f>
        <v>0</v>
      </c>
      <c r="AG117" s="158" t="n">
        <f aca="false">IF(AG6=Assumption!$E$16,AF121+AG115,0)</f>
        <v>0</v>
      </c>
      <c r="AH117" s="158" t="n">
        <f aca="false">IF(AH6=Assumption!$E$16,AG121+AH115,0)</f>
        <v>0</v>
      </c>
      <c r="AI117" s="158" t="n">
        <f aca="false">IF(AI6=Assumption!$E$16,AH121+AI115,0)</f>
        <v>0</v>
      </c>
      <c r="AJ117" s="158" t="n">
        <f aca="false">IF(AJ6=Assumption!$E$16,AI121+AJ115,0)</f>
        <v>0</v>
      </c>
      <c r="AK117" s="158" t="n">
        <f aca="false">IF(AK6=Assumption!$E$16,AJ121+AK115,0)</f>
        <v>0</v>
      </c>
      <c r="AL117" s="158" t="n">
        <f aca="false">IF(AL6=Assumption!$E$16,AK121+AL115,0)</f>
        <v>0</v>
      </c>
      <c r="AM117" s="158" t="n">
        <f aca="false">IF(AM6=Assumption!$E$16,AL121+AM115,0)</f>
        <v>0</v>
      </c>
      <c r="AN117" s="158" t="n">
        <f aca="false">IF(AN6=Assumption!$E$16,AM121+AN115,0)</f>
        <v>0</v>
      </c>
      <c r="AO117" s="158" t="n">
        <f aca="false">IF(AO6=Assumption!$E$16,AN121+AO115,0)</f>
        <v>0</v>
      </c>
      <c r="AP117" s="158" t="n">
        <f aca="false">IF(AP6=Assumption!$E$16,AO121+AP115,0)</f>
        <v>0</v>
      </c>
      <c r="AQ117" s="158" t="n">
        <f aca="false">IF(AQ6=Assumption!$E$16,AP121+AQ115,0)</f>
        <v>0</v>
      </c>
      <c r="AR117" s="158" t="n">
        <f aca="false">IF(AR6=Assumption!$E$16,AQ121+AR115,0)</f>
        <v>0</v>
      </c>
      <c r="AS117" s="158" t="n">
        <f aca="false">IF(AS6=Assumption!$E$16,AR121+AS115,0)</f>
        <v>0</v>
      </c>
      <c r="AT117" s="158" t="n">
        <f aca="false">IF(AT6=Assumption!$E$16,AS121+AT115,0)</f>
        <v>0</v>
      </c>
      <c r="AU117" s="158" t="n">
        <f aca="false">IF(AU6=Assumption!$E$16,AT121+AU115,0)</f>
        <v>0</v>
      </c>
      <c r="AV117" s="158" t="n">
        <f aca="false">IF(AV6=Assumption!$E$16,AU121+AV115,0)</f>
        <v>0</v>
      </c>
      <c r="AW117" s="158" t="n">
        <f aca="false">IF(AW6=Assumption!$E$16,AV121+AW115,0)</f>
        <v>0</v>
      </c>
      <c r="AX117" s="158" t="n">
        <f aca="false">IF(AX6=Assumption!$E$16,AW121+AX115,0)</f>
        <v>0</v>
      </c>
      <c r="AY117" s="158" t="n">
        <f aca="false">IF(AY6=Assumption!$E$16,AX121+AY115,0)</f>
        <v>0</v>
      </c>
      <c r="AZ117" s="158" t="n">
        <f aca="false">IF(AZ6=Assumption!$E$16,AY121+AZ115,0)</f>
        <v>0</v>
      </c>
      <c r="BA117" s="158" t="n">
        <f aca="false">IF(BA6=Assumption!$E$16,AZ121+BA115,0)</f>
        <v>0</v>
      </c>
      <c r="BB117" s="158" t="n">
        <f aca="false">IF(BB6=Assumption!$E$16,BA121+BB115,0)</f>
        <v>0</v>
      </c>
      <c r="BC117" s="158" t="n">
        <f aca="false">IF(BC6=Assumption!$E$16,BB121+BC115,0)</f>
        <v>0</v>
      </c>
      <c r="BD117" s="158" t="n">
        <f aca="false">IF(BD6=Assumption!$E$16,BC121+BD115,0)</f>
        <v>0</v>
      </c>
      <c r="BE117" s="158" t="n">
        <f aca="false">IF(BE6=Assumption!$E$16,BD121+BE115,0)</f>
        <v>0</v>
      </c>
      <c r="BF117" s="158" t="n">
        <f aca="false">IF(BF6=Assumption!$E$16,BE121+BF115,0)</f>
        <v>0</v>
      </c>
      <c r="BG117" s="158" t="n">
        <f aca="false">IF(BG6=Assumption!$E$16,BF121+BG115,0)</f>
        <v>0</v>
      </c>
      <c r="BH117" s="158" t="n">
        <f aca="false">IF(BH6=Assumption!$E$16,BG121+BH115,0)</f>
        <v>0</v>
      </c>
      <c r="BI117" s="158" t="n">
        <f aca="false">IF(BI6=Assumption!$E$16,BH121+BI115,0)</f>
        <v>0</v>
      </c>
      <c r="BJ117" s="158" t="n">
        <f aca="false">IF(BJ6=Assumption!$E$16,BI121+BJ115,0)</f>
        <v>0</v>
      </c>
      <c r="BK117" s="158" t="n">
        <f aca="false">IF(BK6=Assumption!$E$16,BJ121+BK115,0)</f>
        <v>0</v>
      </c>
      <c r="BL117" s="158" t="n">
        <f aca="false">IF(BL6=Assumption!$E$16,BK121+BL115,0)</f>
        <v>304203.267746602</v>
      </c>
      <c r="BM117" s="158" t="n">
        <f aca="false">IF(BM6=Assumption!$E$16,BL121+BM115,0)</f>
        <v>0</v>
      </c>
      <c r="BN117" s="158" t="n">
        <f aca="false">IF(BN6=Assumption!$E$16,BM121+BN115,0)</f>
        <v>0</v>
      </c>
      <c r="BO117" s="158" t="n">
        <f aca="false">IF(BO6=Assumption!$E$16,BN121+BO115,0)</f>
        <v>0</v>
      </c>
      <c r="BP117" s="158" t="n">
        <f aca="false">IF(BP6=Assumption!$E$16,BO121+BP115,0)</f>
        <v>0</v>
      </c>
      <c r="BQ117" s="158" t="n">
        <f aca="false">IF(BQ6=Assumption!$E$16,BP121+BQ115,0)</f>
        <v>0</v>
      </c>
      <c r="BR117" s="158" t="n">
        <f aca="false">IF(BR6=Assumption!$E$16,BQ121+BR115,0)</f>
        <v>0</v>
      </c>
      <c r="BS117" s="158" t="n">
        <f aca="false">IF(BS6=Assumption!$E$16,BR121+BS115,0)</f>
        <v>0</v>
      </c>
      <c r="BT117" s="158" t="n">
        <f aca="false">IF(BT6=Assumption!$E$16,BS121+BT115,0)</f>
        <v>0</v>
      </c>
      <c r="BU117" s="158" t="n">
        <f aca="false">IF(BU6=Assumption!$E$16,BT121+BU115,0)</f>
        <v>0</v>
      </c>
      <c r="BV117" s="158" t="n">
        <f aca="false">IF(BV6=Assumption!$E$16,BU121+BV115,0)</f>
        <v>0</v>
      </c>
      <c r="BW117" s="158" t="n">
        <f aca="false">IF(BW6=Assumption!$E$16,BV121+BW115,0)</f>
        <v>0</v>
      </c>
      <c r="BX117" s="158" t="n">
        <f aca="false">IF(BX6=Assumption!$E$16,BW121+BX115,0)</f>
        <v>0</v>
      </c>
      <c r="BY117" s="158" t="n">
        <f aca="false">IF(BY6=Assumption!$E$16,BX121+BY115,0)</f>
        <v>0</v>
      </c>
      <c r="BZ117" s="158" t="n">
        <f aca="false">IF(BZ6=Assumption!$E$16,BY121+BZ115,0)</f>
        <v>0</v>
      </c>
      <c r="CA117" s="158" t="n">
        <f aca="false">IF(CA6=Assumption!$E$16,BZ121+CA115,0)</f>
        <v>0</v>
      </c>
      <c r="CB117" s="158" t="n">
        <f aca="false">IF(CB6=Assumption!$E$16,CA121+CB115,0)</f>
        <v>0</v>
      </c>
      <c r="CC117" s="158" t="n">
        <f aca="false">IF(CC6=Assumption!$E$16,CB121+CC115,0)</f>
        <v>0</v>
      </c>
      <c r="CD117" s="158" t="n">
        <f aca="false">IF(CD6=Assumption!$E$16,CC121+CD115,0)</f>
        <v>0</v>
      </c>
      <c r="CE117" s="158" t="n">
        <f aca="false">IF(CE6=Assumption!$E$16,CD121+CE115,0)</f>
        <v>0</v>
      </c>
      <c r="CF117" s="158" t="n">
        <f aca="false">IF(CF6=Assumption!$E$16,CE121+CF115,0)</f>
        <v>0</v>
      </c>
      <c r="CG117" s="158" t="n">
        <f aca="false">IF(CG6=Assumption!$E$16,CF121+CG115,0)</f>
        <v>0</v>
      </c>
      <c r="CH117" s="158" t="n">
        <f aca="false">IF(CH6=Assumption!$E$16,CG121+CH115,0)</f>
        <v>0</v>
      </c>
      <c r="CI117" s="158" t="n">
        <f aca="false">IF(CI6=Assumption!$E$16,CH121+CI115,0)</f>
        <v>0</v>
      </c>
      <c r="CJ117" s="158" t="n">
        <f aca="false">IF(CJ6=Assumption!$E$16,CI121+CJ115,0)</f>
        <v>0</v>
      </c>
      <c r="CK117" s="158" t="n">
        <f aca="false">IF(CK6=Assumption!$E$16,CJ121+CK115,0)</f>
        <v>0</v>
      </c>
      <c r="CL117" s="158" t="n">
        <f aca="false">IF(CL6=Assumption!$E$16,CK121+CL115,0)</f>
        <v>0</v>
      </c>
      <c r="CM117" s="158" t="n">
        <f aca="false">IF(CM6=Assumption!$E$16,CL121+CM115,0)</f>
        <v>0</v>
      </c>
      <c r="CN117" s="158" t="n">
        <f aca="false">IF(CN6=Assumption!$E$16,CM121+CN115,0)</f>
        <v>0</v>
      </c>
      <c r="CO117" s="158" t="n">
        <f aca="false">IF(CO6=Assumption!$E$16,CN121+CO115,0)</f>
        <v>0</v>
      </c>
      <c r="CP117" s="158" t="n">
        <f aca="false">IF(CP6=Assumption!$E$16,CO121+CP115,0)</f>
        <v>0</v>
      </c>
      <c r="CQ117" s="158" t="n">
        <f aca="false">IF(CQ6=Assumption!$E$16,CP121+CQ115,0)</f>
        <v>0</v>
      </c>
      <c r="CR117" s="158" t="n">
        <f aca="false">IF(CR6=Assumption!$E$16,CQ121+CR115,0)</f>
        <v>0</v>
      </c>
      <c r="CS117" s="158" t="n">
        <f aca="false">IF(CS6=Assumption!$E$16,CR121+CS115,0)</f>
        <v>0</v>
      </c>
      <c r="CT117" s="158" t="n">
        <f aca="false">IF(CT6=Assumption!$E$16,CS121+CT115,0)</f>
        <v>0</v>
      </c>
      <c r="CU117" s="158" t="n">
        <f aca="false">IF(CU6=Assumption!$E$16,CT121+CU115,0)</f>
        <v>0</v>
      </c>
      <c r="CV117" s="158" t="n">
        <f aca="false">IF(CV6=Assumption!$E$16,CU121+CV115,0)</f>
        <v>0</v>
      </c>
      <c r="CW117" s="158" t="n">
        <f aca="false">IF(CW6=Assumption!$E$16,CV121+CW115,0)</f>
        <v>0</v>
      </c>
      <c r="CX117" s="158" t="n">
        <f aca="false">IF(CX6=Assumption!$E$16,CW121+CX115,0)</f>
        <v>0</v>
      </c>
      <c r="CY117" s="158" t="n">
        <f aca="false">IF(CY6=Assumption!$E$16,CX121+CY115,0)</f>
        <v>0</v>
      </c>
      <c r="CZ117" s="158" t="n">
        <f aca="false">IF(CZ6=Assumption!$E$16,CY121+CZ115,0)</f>
        <v>0</v>
      </c>
      <c r="DA117" s="158" t="n">
        <f aca="false">IF(DA6=Assumption!$E$16,CZ121+DA115,0)</f>
        <v>0</v>
      </c>
      <c r="DB117" s="158" t="n">
        <f aca="false">IF(DB6=Assumption!$E$16,DA121+DB115,0)</f>
        <v>0</v>
      </c>
      <c r="DC117" s="158" t="n">
        <f aca="false">IF(DC6=Assumption!$E$16,DB121+DC115,0)</f>
        <v>0</v>
      </c>
      <c r="DD117" s="158" t="n">
        <f aca="false">IF(DD6=Assumption!$E$16,DC121+DD115,0)</f>
        <v>0</v>
      </c>
      <c r="DE117" s="158" t="n">
        <f aca="false">IF(DE6=Assumption!$E$16,DD121+DE115,0)</f>
        <v>0</v>
      </c>
      <c r="DF117" s="158" t="n">
        <f aca="false">IF(DF6=Assumption!$E$16,DE121+DF115,0)</f>
        <v>0</v>
      </c>
      <c r="DG117" s="158" t="n">
        <f aca="false">IF(DG6=Assumption!$E$16,DF121+DG115,0)</f>
        <v>0</v>
      </c>
      <c r="DH117" s="158" t="n">
        <f aca="false">IF(DH6=Assumption!$E$16,DG121+DH115,0)</f>
        <v>0</v>
      </c>
      <c r="DI117" s="158" t="n">
        <f aca="false">IF(DI6=Assumption!$E$16,DH121+DI115,0)</f>
        <v>0</v>
      </c>
      <c r="DJ117" s="158" t="n">
        <f aca="false">IF(DJ6=Assumption!$E$16,DI121+DJ115,0)</f>
        <v>0</v>
      </c>
      <c r="DK117" s="158" t="n">
        <f aca="false">IF(DK6=Assumption!$E$16,DJ121+DK115,0)</f>
        <v>0</v>
      </c>
      <c r="DL117" s="158" t="n">
        <f aca="false">IF(DL6=Assumption!$E$16,DK121+DL115,0)</f>
        <v>0</v>
      </c>
      <c r="DM117" s="158" t="n">
        <f aca="false">IF(DM6=Assumption!$E$16,DL121+DM115,0)</f>
        <v>0</v>
      </c>
      <c r="DN117" s="158" t="n">
        <f aca="false">IF(DN6=Assumption!$E$16,DM121+DN115,0)</f>
        <v>0</v>
      </c>
      <c r="DO117" s="158" t="n">
        <f aca="false">IF(DO6=Assumption!$E$16,DN121+DO115,0)</f>
        <v>0</v>
      </c>
      <c r="DP117" s="158" t="n">
        <f aca="false">IF(DP6=Assumption!$E$16,DO121+DP115,0)</f>
        <v>0</v>
      </c>
      <c r="DQ117" s="158" t="n">
        <f aca="false">IF(DQ6=Assumption!$E$16,DP121+DQ115,0)</f>
        <v>0</v>
      </c>
      <c r="DR117" s="158" t="n">
        <f aca="false">IF(DR6=Assumption!$E$16,DQ121+DR115,0)</f>
        <v>0</v>
      </c>
      <c r="DS117" s="158" t="n">
        <f aca="false">IF(DS6=Assumption!$E$16,DR121+DS115,0)</f>
        <v>0</v>
      </c>
      <c r="DT117" s="158" t="n">
        <f aca="false">IF(DT6=Assumption!$E$16,DS121+DT115,0)</f>
        <v>0</v>
      </c>
      <c r="DU117" s="158" t="n">
        <f aca="false">IF(DU6=Assumption!$E$16,DT121+DU115,0)</f>
        <v>0</v>
      </c>
      <c r="DV117" s="158" t="n">
        <f aca="false">IF(DV6=Assumption!$E$16,DU121+DV115,0)</f>
        <v>0</v>
      </c>
      <c r="DW117" s="158" t="n">
        <f aca="false">IF(DW6=Assumption!$E$16,DV121+DW115,0)</f>
        <v>0</v>
      </c>
      <c r="DX117" s="158" t="n">
        <f aca="false">IF(DX6=Assumption!$E$16,DW121+DX115,0)</f>
        <v>0</v>
      </c>
      <c r="DY117" s="158" t="n">
        <f aca="false">IF(DY6=Assumption!$E$16,DX121+DY115,0)</f>
        <v>0</v>
      </c>
      <c r="DZ117" s="158" t="n">
        <f aca="false">IF(DZ6=Assumption!$E$16,DY121+DZ115,0)</f>
        <v>0</v>
      </c>
      <c r="EA117" s="158" t="n">
        <f aca="false">IF(EA6=Assumption!$E$16,DZ121+EA115,0)</f>
        <v>0</v>
      </c>
      <c r="EB117" s="158" t="n">
        <f aca="false">IF(EB6=Assumption!$E$16,EA121+EB115,0)</f>
        <v>0</v>
      </c>
      <c r="EC117" s="158" t="n">
        <f aca="false">IF(EC6=Assumption!$E$16,EB121+EC115,0)</f>
        <v>0</v>
      </c>
      <c r="ED117" s="158" t="n">
        <f aca="false">IF(ED6=Assumption!$E$16,EC121+ED115,0)</f>
        <v>0</v>
      </c>
      <c r="EE117" s="158" t="n">
        <f aca="false">IF(EE6=Assumption!$E$16,ED121+EE115,0)</f>
        <v>0</v>
      </c>
      <c r="EF117" s="158" t="n">
        <f aca="false">IF(EF6=Assumption!$E$16,EE121+EF115,0)</f>
        <v>0</v>
      </c>
    </row>
    <row r="118" customFormat="false" ht="15" hidden="false" customHeight="false" outlineLevel="0" collapsed="false">
      <c r="A118" s="112" t="s">
        <v>575</v>
      </c>
      <c r="B118" s="241" t="s">
        <v>116</v>
      </c>
      <c r="C118" s="242" t="n">
        <f aca="false">SUM(E118:EF118)</f>
        <v>164265.485417923</v>
      </c>
      <c r="E118" s="158" t="n">
        <f aca="false">IF(E6=Assumption!$E$16,0+E114,0)</f>
        <v>0</v>
      </c>
      <c r="F118" s="158" t="n">
        <f aca="false">IF(F6=Assumption!$E$16,E122+F114,0)</f>
        <v>0</v>
      </c>
      <c r="G118" s="158" t="n">
        <f aca="false">IF(G6=Assumption!$E$16,F122+G114,0)</f>
        <v>0</v>
      </c>
      <c r="H118" s="158" t="n">
        <f aca="false">IF(H6=Assumption!$E$16,G122+H114,0)</f>
        <v>0</v>
      </c>
      <c r="I118" s="158" t="n">
        <f aca="false">IF(I6=Assumption!$E$16,H122+I114,0)</f>
        <v>0</v>
      </c>
      <c r="J118" s="158" t="n">
        <f aca="false">IF(J6=Assumption!$E$16,I122+J114,0)</f>
        <v>0</v>
      </c>
      <c r="K118" s="158" t="n">
        <f aca="false">IF(K6=Assumption!$E$16,J122+K114,0)</f>
        <v>0</v>
      </c>
      <c r="L118" s="158" t="n">
        <f aca="false">IF(L6=Assumption!$E$16,K122+L114,0)</f>
        <v>0</v>
      </c>
      <c r="M118" s="158" t="n">
        <f aca="false">IF(M6=Assumption!$E$16,L122+M114,0)</f>
        <v>0</v>
      </c>
      <c r="N118" s="158" t="n">
        <f aca="false">IF(N6=Assumption!$E$16,M122+N114,0)</f>
        <v>0</v>
      </c>
      <c r="O118" s="158" t="n">
        <f aca="false">IF(O6=Assumption!$E$16,N122+O114,0)</f>
        <v>0</v>
      </c>
      <c r="P118" s="158" t="n">
        <f aca="false">IF(P6=Assumption!$E$16,O122+P114,0)</f>
        <v>0</v>
      </c>
      <c r="Q118" s="158" t="n">
        <f aca="false">IF(Q6=Assumption!$E$16,P122+Q114,0)</f>
        <v>0</v>
      </c>
      <c r="R118" s="158" t="n">
        <f aca="false">IF(R6=Assumption!$E$16,Q122+R114,0)</f>
        <v>0</v>
      </c>
      <c r="S118" s="158" t="n">
        <f aca="false">IF(S6=Assumption!$E$16,R122+S114,0)</f>
        <v>0</v>
      </c>
      <c r="T118" s="158" t="n">
        <f aca="false">IF(T6=Assumption!$E$16,S122+T114,0)</f>
        <v>0</v>
      </c>
      <c r="U118" s="158" t="n">
        <f aca="false">IF(U6=Assumption!$E$16,T122+U114,0)</f>
        <v>0</v>
      </c>
      <c r="V118" s="158" t="n">
        <f aca="false">IF(V6=Assumption!$E$16,U122+V114,0)</f>
        <v>0</v>
      </c>
      <c r="W118" s="158" t="n">
        <f aca="false">IF(W6=Assumption!$E$16,V122+W114,0)</f>
        <v>0</v>
      </c>
      <c r="X118" s="158" t="n">
        <f aca="false">IF(X6=Assumption!$E$16,W122+X114,0)</f>
        <v>0</v>
      </c>
      <c r="Y118" s="158" t="n">
        <f aca="false">IF(Y6=Assumption!$E$16,X122+Y114,0)</f>
        <v>0</v>
      </c>
      <c r="Z118" s="158" t="n">
        <f aca="false">IF(Z6=Assumption!$E$16,Y122+Z114,0)</f>
        <v>0</v>
      </c>
      <c r="AA118" s="158" t="n">
        <f aca="false">IF(AA6=Assumption!$E$16,Z122+AA114,0)</f>
        <v>0</v>
      </c>
      <c r="AB118" s="158" t="n">
        <f aca="false">IF(AB6=Assumption!$E$16,AA122+AB114,0)</f>
        <v>0</v>
      </c>
      <c r="AC118" s="158" t="n">
        <f aca="false">IF(AC6=Assumption!$E$16,AB122+AC114,0)</f>
        <v>0</v>
      </c>
      <c r="AD118" s="158" t="n">
        <f aca="false">IF(AD6=Assumption!$E$16,AC122+AD114,0)</f>
        <v>0</v>
      </c>
      <c r="AE118" s="158" t="n">
        <f aca="false">IF(AE6=Assumption!$E$16,AD122+AE114,0)</f>
        <v>0</v>
      </c>
      <c r="AF118" s="158" t="n">
        <f aca="false">IF(AF6=Assumption!$E$16,AE122+AF114,0)</f>
        <v>0</v>
      </c>
      <c r="AG118" s="158" t="n">
        <f aca="false">IF(AG6=Assumption!$E$16,AF122+AG114,0)</f>
        <v>0</v>
      </c>
      <c r="AH118" s="158" t="n">
        <f aca="false">IF(AH6=Assumption!$E$16,AG122+AH114,0)</f>
        <v>0</v>
      </c>
      <c r="AI118" s="158" t="n">
        <f aca="false">IF(AI6=Assumption!$E$16,AH122+AI114,0)</f>
        <v>0</v>
      </c>
      <c r="AJ118" s="158" t="n">
        <f aca="false">IF(AJ6=Assumption!$E$16,AI122+AJ114,0)</f>
        <v>0</v>
      </c>
      <c r="AK118" s="158" t="n">
        <f aca="false">IF(AK6=Assumption!$E$16,AJ122+AK114,0)</f>
        <v>0</v>
      </c>
      <c r="AL118" s="158" t="n">
        <f aca="false">IF(AL6=Assumption!$E$16,AK122+AL114,0)</f>
        <v>0</v>
      </c>
      <c r="AM118" s="158" t="n">
        <f aca="false">IF(AM6=Assumption!$E$16,AL122+AM114,0)</f>
        <v>0</v>
      </c>
      <c r="AN118" s="158" t="n">
        <f aca="false">IF(AN6=Assumption!$E$16,AM122+AN114,0)</f>
        <v>0</v>
      </c>
      <c r="AO118" s="158" t="n">
        <f aca="false">IF(AO6=Assumption!$E$16,AN122+AO114,0)</f>
        <v>0</v>
      </c>
      <c r="AP118" s="158" t="n">
        <f aca="false">IF(AP6=Assumption!$E$16,AO122+AP114,0)</f>
        <v>0</v>
      </c>
      <c r="AQ118" s="158" t="n">
        <f aca="false">IF(AQ6=Assumption!$E$16,AP122+AQ114,0)</f>
        <v>0</v>
      </c>
      <c r="AR118" s="158" t="n">
        <f aca="false">IF(AR6=Assumption!$E$16,AQ122+AR114,0)</f>
        <v>0</v>
      </c>
      <c r="AS118" s="158" t="n">
        <f aca="false">IF(AS6=Assumption!$E$16,AR122+AS114,0)</f>
        <v>0</v>
      </c>
      <c r="AT118" s="158" t="n">
        <f aca="false">IF(AT6=Assumption!$E$16,AS122+AT114,0)</f>
        <v>0</v>
      </c>
      <c r="AU118" s="158" t="n">
        <f aca="false">IF(AU6=Assumption!$E$16,AT122+AU114,0)</f>
        <v>0</v>
      </c>
      <c r="AV118" s="158" t="n">
        <f aca="false">IF(AV6=Assumption!$E$16,AU122+AV114,0)</f>
        <v>0</v>
      </c>
      <c r="AW118" s="158" t="n">
        <f aca="false">IF(AW6=Assumption!$E$16,AV122+AW114,0)</f>
        <v>0</v>
      </c>
      <c r="AX118" s="158" t="n">
        <f aca="false">IF(AX6=Assumption!$E$16,AW122+AX114,0)</f>
        <v>0</v>
      </c>
      <c r="AY118" s="158" t="n">
        <f aca="false">IF(AY6=Assumption!$E$16,AX122+AY114,0)</f>
        <v>0</v>
      </c>
      <c r="AZ118" s="158" t="n">
        <f aca="false">IF(AZ6=Assumption!$E$16,AY122+AZ114,0)</f>
        <v>0</v>
      </c>
      <c r="BA118" s="158" t="n">
        <f aca="false">IF(BA6=Assumption!$E$16,AZ122+BA114,0)</f>
        <v>0</v>
      </c>
      <c r="BB118" s="158" t="n">
        <f aca="false">IF(BB6=Assumption!$E$16,BA122+BB114,0)</f>
        <v>0</v>
      </c>
      <c r="BC118" s="158" t="n">
        <f aca="false">IF(BC6=Assumption!$E$16,BB122+BC114,0)</f>
        <v>0</v>
      </c>
      <c r="BD118" s="158" t="n">
        <f aca="false">IF(BD6=Assumption!$E$16,BC122+BD114,0)</f>
        <v>0</v>
      </c>
      <c r="BE118" s="158" t="n">
        <f aca="false">IF(BE6=Assumption!$E$16,BD122+BE114,0)</f>
        <v>0</v>
      </c>
      <c r="BF118" s="158" t="n">
        <f aca="false">IF(BF6=Assumption!$E$16,BE122+BF114,0)</f>
        <v>0</v>
      </c>
      <c r="BG118" s="158" t="n">
        <f aca="false">IF(BG6=Assumption!$E$16,BF122+BG114,0)</f>
        <v>0</v>
      </c>
      <c r="BH118" s="158" t="n">
        <f aca="false">IF(BH6=Assumption!$E$16,BG122+BH114,0)</f>
        <v>0</v>
      </c>
      <c r="BI118" s="158" t="n">
        <f aca="false">IF(BI6=Assumption!$E$16,BH122+BI114,0)</f>
        <v>0</v>
      </c>
      <c r="BJ118" s="158" t="n">
        <f aca="false">IF(BJ6=Assumption!$E$16,BI122+BJ114,0)</f>
        <v>0</v>
      </c>
      <c r="BK118" s="158" t="n">
        <f aca="false">IF(BK6=Assumption!$E$16,BJ122+BK114,0)</f>
        <v>0</v>
      </c>
      <c r="BL118" s="158" t="n">
        <f aca="false">IF(BL6=Assumption!$E$16,BK122+BL114,0)</f>
        <v>164265.485417923</v>
      </c>
      <c r="BM118" s="158" t="n">
        <f aca="false">IF(BM6=Assumption!$E$16,BL122+BM114,0)</f>
        <v>0</v>
      </c>
      <c r="BN118" s="158" t="n">
        <f aca="false">IF(BN6=Assumption!$E$16,BM122+BN114,0)</f>
        <v>0</v>
      </c>
      <c r="BO118" s="158" t="n">
        <f aca="false">IF(BO6=Assumption!$E$16,BN122+BO114,0)</f>
        <v>0</v>
      </c>
      <c r="BP118" s="158" t="n">
        <f aca="false">IF(BP6=Assumption!$E$16,BO122+BP114,0)</f>
        <v>0</v>
      </c>
      <c r="BQ118" s="158" t="n">
        <f aca="false">IF(BQ6=Assumption!$E$16,BP122+BQ114,0)</f>
        <v>0</v>
      </c>
      <c r="BR118" s="158" t="n">
        <f aca="false">IF(BR6=Assumption!$E$16,BQ122+BR114,0)</f>
        <v>0</v>
      </c>
      <c r="BS118" s="158" t="n">
        <f aca="false">IF(BS6=Assumption!$E$16,BR122+BS114,0)</f>
        <v>0</v>
      </c>
      <c r="BT118" s="158" t="n">
        <f aca="false">IF(BT6=Assumption!$E$16,BS122+BT114,0)</f>
        <v>0</v>
      </c>
      <c r="BU118" s="158" t="n">
        <f aca="false">IF(BU6=Assumption!$E$16,BT122+BU114,0)</f>
        <v>0</v>
      </c>
      <c r="BV118" s="158" t="n">
        <f aca="false">IF(BV6=Assumption!$E$16,BU122+BV114,0)</f>
        <v>0</v>
      </c>
      <c r="BW118" s="158" t="n">
        <f aca="false">IF(BW6=Assumption!$E$16,BV122+BW114,0)</f>
        <v>0</v>
      </c>
      <c r="BX118" s="158" t="n">
        <f aca="false">IF(BX6=Assumption!$E$16,BW122+BX114,0)</f>
        <v>0</v>
      </c>
      <c r="BY118" s="158" t="n">
        <f aca="false">IF(BY6=Assumption!$E$16,BX122+BY114,0)</f>
        <v>0</v>
      </c>
      <c r="BZ118" s="158" t="n">
        <f aca="false">IF(BZ6=Assumption!$E$16,BY122+BZ114,0)</f>
        <v>0</v>
      </c>
      <c r="CA118" s="158" t="n">
        <f aca="false">IF(CA6=Assumption!$E$16,BZ122+CA114,0)</f>
        <v>0</v>
      </c>
      <c r="CB118" s="158" t="n">
        <f aca="false">IF(CB6=Assumption!$E$16,CA122+CB114,0)</f>
        <v>0</v>
      </c>
      <c r="CC118" s="158" t="n">
        <f aca="false">IF(CC6=Assumption!$E$16,CB122+CC114,0)</f>
        <v>0</v>
      </c>
      <c r="CD118" s="158" t="n">
        <f aca="false">IF(CD6=Assumption!$E$16,CC122+CD114,0)</f>
        <v>0</v>
      </c>
      <c r="CE118" s="158" t="n">
        <f aca="false">IF(CE6=Assumption!$E$16,CD122+CE114,0)</f>
        <v>0</v>
      </c>
      <c r="CF118" s="158" t="n">
        <f aca="false">IF(CF6=Assumption!$E$16,CE122+CF114,0)</f>
        <v>0</v>
      </c>
      <c r="CG118" s="158" t="n">
        <f aca="false">IF(CG6=Assumption!$E$16,CF122+CG114,0)</f>
        <v>0</v>
      </c>
      <c r="CH118" s="158" t="n">
        <f aca="false">IF(CH6=Assumption!$E$16,CG122+CH114,0)</f>
        <v>0</v>
      </c>
      <c r="CI118" s="158" t="n">
        <f aca="false">IF(CI6=Assumption!$E$16,CH122+CI114,0)</f>
        <v>0</v>
      </c>
      <c r="CJ118" s="158" t="n">
        <f aca="false">IF(CJ6=Assumption!$E$16,CI122+CJ114,0)</f>
        <v>0</v>
      </c>
      <c r="CK118" s="158" t="n">
        <f aca="false">IF(CK6=Assumption!$E$16,CJ122+CK114,0)</f>
        <v>0</v>
      </c>
      <c r="CL118" s="158" t="n">
        <f aca="false">IF(CL6=Assumption!$E$16,CK122+CL114,0)</f>
        <v>0</v>
      </c>
      <c r="CM118" s="158" t="n">
        <f aca="false">IF(CM6=Assumption!$E$16,CL122+CM114,0)</f>
        <v>0</v>
      </c>
      <c r="CN118" s="158" t="n">
        <f aca="false">IF(CN6=Assumption!$E$16,CM122+CN114,0)</f>
        <v>0</v>
      </c>
      <c r="CO118" s="158" t="n">
        <f aca="false">IF(CO6=Assumption!$E$16,CN122+CO114,0)</f>
        <v>0</v>
      </c>
      <c r="CP118" s="158" t="n">
        <f aca="false">IF(CP6=Assumption!$E$16,CO122+CP114,0)</f>
        <v>0</v>
      </c>
      <c r="CQ118" s="158" t="n">
        <f aca="false">IF(CQ6=Assumption!$E$16,CP122+CQ114,0)</f>
        <v>0</v>
      </c>
      <c r="CR118" s="158" t="n">
        <f aca="false">IF(CR6=Assumption!$E$16,CQ122+CR114,0)</f>
        <v>0</v>
      </c>
      <c r="CS118" s="158" t="n">
        <f aca="false">IF(CS6=Assumption!$E$16,CR122+CS114,0)</f>
        <v>0</v>
      </c>
      <c r="CT118" s="158" t="n">
        <f aca="false">IF(CT6=Assumption!$E$16,CS122+CT114,0)</f>
        <v>0</v>
      </c>
      <c r="CU118" s="158" t="n">
        <f aca="false">IF(CU6=Assumption!$E$16,CT122+CU114,0)</f>
        <v>0</v>
      </c>
      <c r="CV118" s="158" t="n">
        <f aca="false">IF(CV6=Assumption!$E$16,CU122+CV114,0)</f>
        <v>0</v>
      </c>
      <c r="CW118" s="158" t="n">
        <f aca="false">IF(CW6=Assumption!$E$16,CV122+CW114,0)</f>
        <v>0</v>
      </c>
      <c r="CX118" s="158" t="n">
        <f aca="false">IF(CX6=Assumption!$E$16,CW122+CX114,0)</f>
        <v>0</v>
      </c>
      <c r="CY118" s="158" t="n">
        <f aca="false">IF(CY6=Assumption!$E$16,CX122+CY114,0)</f>
        <v>0</v>
      </c>
      <c r="CZ118" s="158" t="n">
        <f aca="false">IF(CZ6=Assumption!$E$16,CY122+CZ114,0)</f>
        <v>0</v>
      </c>
      <c r="DA118" s="158" t="n">
        <f aca="false">IF(DA6=Assumption!$E$16,CZ122+DA114,0)</f>
        <v>0</v>
      </c>
      <c r="DB118" s="158" t="n">
        <f aca="false">IF(DB6=Assumption!$E$16,DA122+DB114,0)</f>
        <v>0</v>
      </c>
      <c r="DC118" s="158" t="n">
        <f aca="false">IF(DC6=Assumption!$E$16,DB122+DC114,0)</f>
        <v>0</v>
      </c>
      <c r="DD118" s="158" t="n">
        <f aca="false">IF(DD6=Assumption!$E$16,DC122+DD114,0)</f>
        <v>0</v>
      </c>
      <c r="DE118" s="158" t="n">
        <f aca="false">IF(DE6=Assumption!$E$16,DD122+DE114,0)</f>
        <v>0</v>
      </c>
      <c r="DF118" s="158" t="n">
        <f aca="false">IF(DF6=Assumption!$E$16,DE122+DF114,0)</f>
        <v>0</v>
      </c>
      <c r="DG118" s="158" t="n">
        <f aca="false">IF(DG6=Assumption!$E$16,DF122+DG114,0)</f>
        <v>0</v>
      </c>
      <c r="DH118" s="158" t="n">
        <f aca="false">IF(DH6=Assumption!$E$16,DG122+DH114,0)</f>
        <v>0</v>
      </c>
      <c r="DI118" s="158" t="n">
        <f aca="false">IF(DI6=Assumption!$E$16,DH122+DI114,0)</f>
        <v>0</v>
      </c>
      <c r="DJ118" s="158" t="n">
        <f aca="false">IF(DJ6=Assumption!$E$16,DI122+DJ114,0)</f>
        <v>0</v>
      </c>
      <c r="DK118" s="158" t="n">
        <f aca="false">IF(DK6=Assumption!$E$16,DJ122+DK114,0)</f>
        <v>0</v>
      </c>
      <c r="DL118" s="158" t="n">
        <f aca="false">IF(DL6=Assumption!$E$16,DK122+DL114,0)</f>
        <v>0</v>
      </c>
      <c r="DM118" s="158" t="n">
        <f aca="false">IF(DM6=Assumption!$E$16,DL122+DM114,0)</f>
        <v>0</v>
      </c>
      <c r="DN118" s="158" t="n">
        <f aca="false">IF(DN6=Assumption!$E$16,DM122+DN114,0)</f>
        <v>0</v>
      </c>
      <c r="DO118" s="158" t="n">
        <f aca="false">IF(DO6=Assumption!$E$16,DN122+DO114,0)</f>
        <v>0</v>
      </c>
      <c r="DP118" s="158" t="n">
        <f aca="false">IF(DP6=Assumption!$E$16,DO122+DP114,0)</f>
        <v>0</v>
      </c>
      <c r="DQ118" s="158" t="n">
        <f aca="false">IF(DQ6=Assumption!$E$16,DP122+DQ114,0)</f>
        <v>0</v>
      </c>
      <c r="DR118" s="158" t="n">
        <f aca="false">IF(DR6=Assumption!$E$16,DQ122+DR114,0)</f>
        <v>0</v>
      </c>
      <c r="DS118" s="158" t="n">
        <f aca="false">IF(DS6=Assumption!$E$16,DR122+DS114,0)</f>
        <v>0</v>
      </c>
      <c r="DT118" s="158" t="n">
        <f aca="false">IF(DT6=Assumption!$E$16,DS122+DT114,0)</f>
        <v>0</v>
      </c>
      <c r="DU118" s="158" t="n">
        <f aca="false">IF(DU6=Assumption!$E$16,DT122+DU114,0)</f>
        <v>0</v>
      </c>
      <c r="DV118" s="158" t="n">
        <f aca="false">IF(DV6=Assumption!$E$16,DU122+DV114,0)</f>
        <v>0</v>
      </c>
      <c r="DW118" s="158" t="n">
        <f aca="false">IF(DW6=Assumption!$E$16,DV122+DW114,0)</f>
        <v>0</v>
      </c>
      <c r="DX118" s="158" t="n">
        <f aca="false">IF(DX6=Assumption!$E$16,DW122+DX114,0)</f>
        <v>0</v>
      </c>
      <c r="DY118" s="158" t="n">
        <f aca="false">IF(DY6=Assumption!$E$16,DX122+DY114,0)</f>
        <v>0</v>
      </c>
      <c r="DZ118" s="158" t="n">
        <f aca="false">IF(DZ6=Assumption!$E$16,DY122+DZ114,0)</f>
        <v>0</v>
      </c>
      <c r="EA118" s="158" t="n">
        <f aca="false">IF(EA6=Assumption!$E$16,DZ122+EA114,0)</f>
        <v>0</v>
      </c>
      <c r="EB118" s="158" t="n">
        <f aca="false">IF(EB6=Assumption!$E$16,EA122+EB114,0)</f>
        <v>0</v>
      </c>
      <c r="EC118" s="158" t="n">
        <f aca="false">IF(EC6=Assumption!$E$16,EB122+EC114,0)</f>
        <v>0</v>
      </c>
      <c r="ED118" s="158" t="n">
        <f aca="false">IF(ED6=Assumption!$E$16,EC122+ED114,0)</f>
        <v>0</v>
      </c>
      <c r="EE118" s="158" t="n">
        <f aca="false">IF(EE6=Assumption!$E$16,ED122+EE114,0)</f>
        <v>0</v>
      </c>
      <c r="EF118" s="158" t="n">
        <f aca="false">IF(EF6=Assumption!$E$16,EE122+EF114,0)</f>
        <v>0</v>
      </c>
    </row>
    <row r="119" customFormat="false" ht="15" hidden="false" customHeight="false" outlineLevel="0" collapsed="false">
      <c r="A119" s="112" t="s">
        <v>576</v>
      </c>
      <c r="B119" s="241" t="s">
        <v>116</v>
      </c>
      <c r="C119" s="242" t="n">
        <f aca="false">SUM(E119:EF119)</f>
        <v>164150.534063537</v>
      </c>
      <c r="E119" s="158" t="n">
        <f aca="false">IF(E6=Assumption!$E$16,0+E113,0)</f>
        <v>0</v>
      </c>
      <c r="F119" s="158" t="n">
        <f aca="false">IF(F6=Assumption!$E$16,E123+F113,0)</f>
        <v>0</v>
      </c>
      <c r="G119" s="158" t="n">
        <f aca="false">IF(G6=Assumption!$E$16,F123+G113,0)</f>
        <v>0</v>
      </c>
      <c r="H119" s="158" t="n">
        <f aca="false">IF(H6=Assumption!$E$16,G123+H113,0)</f>
        <v>0</v>
      </c>
      <c r="I119" s="158" t="n">
        <f aca="false">IF(I6=Assumption!$E$16,H123+I113,0)</f>
        <v>0</v>
      </c>
      <c r="J119" s="158" t="n">
        <f aca="false">IF(J6=Assumption!$E$16,I123+J113,0)</f>
        <v>0</v>
      </c>
      <c r="K119" s="158" t="n">
        <f aca="false">IF(K6=Assumption!$E$16,J123+K113,0)</f>
        <v>0</v>
      </c>
      <c r="L119" s="158" t="n">
        <f aca="false">IF(L6=Assumption!$E$16,K123+L113,0)</f>
        <v>0</v>
      </c>
      <c r="M119" s="158" t="n">
        <f aca="false">IF(M6=Assumption!$E$16,L123+M113,0)</f>
        <v>0</v>
      </c>
      <c r="N119" s="158" t="n">
        <f aca="false">IF(N6=Assumption!$E$16,M123+N113,0)</f>
        <v>0</v>
      </c>
      <c r="O119" s="158" t="n">
        <f aca="false">IF(O6=Assumption!$E$16,N123+O113,0)</f>
        <v>0</v>
      </c>
      <c r="P119" s="158" t="n">
        <f aca="false">IF(P6=Assumption!$E$16,O123+P113,0)</f>
        <v>0</v>
      </c>
      <c r="Q119" s="158" t="n">
        <f aca="false">IF(Q6=Assumption!$E$16,P123+Q113,0)</f>
        <v>0</v>
      </c>
      <c r="R119" s="158" t="n">
        <f aca="false">IF(R6=Assumption!$E$16,Q123+R113,0)</f>
        <v>0</v>
      </c>
      <c r="S119" s="158" t="n">
        <f aca="false">IF(S6=Assumption!$E$16,R123+S113,0)</f>
        <v>0</v>
      </c>
      <c r="T119" s="158" t="n">
        <f aca="false">IF(T6=Assumption!$E$16,S123+T113,0)</f>
        <v>0</v>
      </c>
      <c r="U119" s="158" t="n">
        <f aca="false">IF(U6=Assumption!$E$16,T123+U113,0)</f>
        <v>0</v>
      </c>
      <c r="V119" s="158" t="n">
        <f aca="false">IF(V6=Assumption!$E$16,U123+V113,0)</f>
        <v>0</v>
      </c>
      <c r="W119" s="158" t="n">
        <f aca="false">IF(W6=Assumption!$E$16,V123+W113,0)</f>
        <v>0</v>
      </c>
      <c r="X119" s="158" t="n">
        <f aca="false">IF(X6=Assumption!$E$16,W123+X113,0)</f>
        <v>0</v>
      </c>
      <c r="Y119" s="158" t="n">
        <f aca="false">IF(Y6=Assumption!$E$16,X123+Y113,0)</f>
        <v>0</v>
      </c>
      <c r="Z119" s="158" t="n">
        <f aca="false">IF(Z6=Assumption!$E$16,Y123+Z113,0)</f>
        <v>0</v>
      </c>
      <c r="AA119" s="158" t="n">
        <f aca="false">IF(AA6=Assumption!$E$16,Z123+AA113,0)</f>
        <v>0</v>
      </c>
      <c r="AB119" s="158" t="n">
        <f aca="false">IF(AB6=Assumption!$E$16,AA123+AB113,0)</f>
        <v>0</v>
      </c>
      <c r="AC119" s="158" t="n">
        <f aca="false">IF(AC6=Assumption!$E$16,AB123+AC113,0)</f>
        <v>0</v>
      </c>
      <c r="AD119" s="158" t="n">
        <f aca="false">IF(AD6=Assumption!$E$16,AC123+AD113,0)</f>
        <v>0</v>
      </c>
      <c r="AE119" s="158" t="n">
        <f aca="false">IF(AE6=Assumption!$E$16,AD123+AE113,0)</f>
        <v>0</v>
      </c>
      <c r="AF119" s="158" t="n">
        <f aca="false">IF(AF6=Assumption!$E$16,AE123+AF113,0)</f>
        <v>0</v>
      </c>
      <c r="AG119" s="158" t="n">
        <f aca="false">IF(AG6=Assumption!$E$16,AF123+AG113,0)</f>
        <v>0</v>
      </c>
      <c r="AH119" s="158" t="n">
        <f aca="false">IF(AH6=Assumption!$E$16,AG123+AH113,0)</f>
        <v>0</v>
      </c>
      <c r="AI119" s="158" t="n">
        <f aca="false">IF(AI6=Assumption!$E$16,AH123+AI113,0)</f>
        <v>0</v>
      </c>
      <c r="AJ119" s="158" t="n">
        <f aca="false">IF(AJ6=Assumption!$E$16,AI123+AJ113,0)</f>
        <v>0</v>
      </c>
      <c r="AK119" s="158" t="n">
        <f aca="false">IF(AK6=Assumption!$E$16,AJ123+AK113,0)</f>
        <v>0</v>
      </c>
      <c r="AL119" s="158" t="n">
        <f aca="false">IF(AL6=Assumption!$E$16,AK123+AL113,0)</f>
        <v>0</v>
      </c>
      <c r="AM119" s="158" t="n">
        <f aca="false">IF(AM6=Assumption!$E$16,AL123+AM113,0)</f>
        <v>0</v>
      </c>
      <c r="AN119" s="158" t="n">
        <f aca="false">IF(AN6=Assumption!$E$16,AM123+AN113,0)</f>
        <v>0</v>
      </c>
      <c r="AO119" s="158" t="n">
        <f aca="false">IF(AO6=Assumption!$E$16,AN123+AO113,0)</f>
        <v>0</v>
      </c>
      <c r="AP119" s="158" t="n">
        <f aca="false">IF(AP6=Assumption!$E$16,AO123+AP113,0)</f>
        <v>0</v>
      </c>
      <c r="AQ119" s="158" t="n">
        <f aca="false">IF(AQ6=Assumption!$E$16,AP123+AQ113,0)</f>
        <v>0</v>
      </c>
      <c r="AR119" s="158" t="n">
        <f aca="false">IF(AR6=Assumption!$E$16,AQ123+AR113,0)</f>
        <v>0</v>
      </c>
      <c r="AS119" s="158" t="n">
        <f aca="false">IF(AS6=Assumption!$E$16,AR123+AS113,0)</f>
        <v>0</v>
      </c>
      <c r="AT119" s="158" t="n">
        <f aca="false">IF(AT6=Assumption!$E$16,AS123+AT113,0)</f>
        <v>0</v>
      </c>
      <c r="AU119" s="158" t="n">
        <f aca="false">IF(AU6=Assumption!$E$16,AT123+AU113,0)</f>
        <v>0</v>
      </c>
      <c r="AV119" s="158" t="n">
        <f aca="false">IF(AV6=Assumption!$E$16,AU123+AV113,0)</f>
        <v>0</v>
      </c>
      <c r="AW119" s="158" t="n">
        <f aca="false">IF(AW6=Assumption!$E$16,AV123+AW113,0)</f>
        <v>0</v>
      </c>
      <c r="AX119" s="158" t="n">
        <f aca="false">IF(AX6=Assumption!$E$16,AW123+AX113,0)</f>
        <v>0</v>
      </c>
      <c r="AY119" s="158" t="n">
        <f aca="false">IF(AY6=Assumption!$E$16,AX123+AY113,0)</f>
        <v>0</v>
      </c>
      <c r="AZ119" s="158" t="n">
        <f aca="false">IF(AZ6=Assumption!$E$16,AY123+AZ113,0)</f>
        <v>0</v>
      </c>
      <c r="BA119" s="158" t="n">
        <f aca="false">IF(BA6=Assumption!$E$16,AZ123+BA113,0)</f>
        <v>0</v>
      </c>
      <c r="BB119" s="158" t="n">
        <f aca="false">IF(BB6=Assumption!$E$16,BA123+BB113,0)</f>
        <v>0</v>
      </c>
      <c r="BC119" s="158" t="n">
        <f aca="false">IF(BC6=Assumption!$E$16,BB123+BC113,0)</f>
        <v>0</v>
      </c>
      <c r="BD119" s="158" t="n">
        <f aca="false">IF(BD6=Assumption!$E$16,BC123+BD113,0)</f>
        <v>0</v>
      </c>
      <c r="BE119" s="158" t="n">
        <f aca="false">IF(BE6=Assumption!$E$16,BD123+BE113,0)</f>
        <v>0</v>
      </c>
      <c r="BF119" s="158" t="n">
        <f aca="false">IF(BF6=Assumption!$E$16,BE123+BF113,0)</f>
        <v>0</v>
      </c>
      <c r="BG119" s="158" t="n">
        <f aca="false">IF(BG6=Assumption!$E$16,BF123+BG113,0)</f>
        <v>0</v>
      </c>
      <c r="BH119" s="158" t="n">
        <f aca="false">IF(BH6=Assumption!$E$16,BG123+BH113,0)</f>
        <v>0</v>
      </c>
      <c r="BI119" s="158" t="n">
        <f aca="false">IF(BI6=Assumption!$E$16,BH123+BI113,0)</f>
        <v>0</v>
      </c>
      <c r="BJ119" s="158" t="n">
        <f aca="false">IF(BJ6=Assumption!$E$16,BI123+BJ113,0)</f>
        <v>0</v>
      </c>
      <c r="BK119" s="158" t="n">
        <f aca="false">IF(BK6=Assumption!$E$16,BJ123+BK113,0)</f>
        <v>0</v>
      </c>
      <c r="BL119" s="158" t="n">
        <f aca="false">IF(BL6=Assumption!$E$16,BK123+BL113,0)</f>
        <v>164150.534063537</v>
      </c>
      <c r="BM119" s="158" t="n">
        <f aca="false">IF(BM6=Assumption!$E$16,BL123+BM113,0)</f>
        <v>0</v>
      </c>
      <c r="BN119" s="158" t="n">
        <f aca="false">IF(BN6=Assumption!$E$16,BM123+BN113,0)</f>
        <v>0</v>
      </c>
      <c r="BO119" s="158" t="n">
        <f aca="false">IF(BO6=Assumption!$E$16,BN123+BO113,0)</f>
        <v>0</v>
      </c>
      <c r="BP119" s="158" t="n">
        <f aca="false">IF(BP6=Assumption!$E$16,BO123+BP113,0)</f>
        <v>0</v>
      </c>
      <c r="BQ119" s="158" t="n">
        <f aca="false">IF(BQ6=Assumption!$E$16,BP123+BQ113,0)</f>
        <v>0</v>
      </c>
      <c r="BR119" s="158" t="n">
        <f aca="false">IF(BR6=Assumption!$E$16,BQ123+BR113,0)</f>
        <v>0</v>
      </c>
      <c r="BS119" s="158" t="n">
        <f aca="false">IF(BS6=Assumption!$E$16,BR123+BS113,0)</f>
        <v>0</v>
      </c>
      <c r="BT119" s="158" t="n">
        <f aca="false">IF(BT6=Assumption!$E$16,BS123+BT113,0)</f>
        <v>0</v>
      </c>
      <c r="BU119" s="158" t="n">
        <f aca="false">IF(BU6=Assumption!$E$16,BT123+BU113,0)</f>
        <v>0</v>
      </c>
      <c r="BV119" s="158" t="n">
        <f aca="false">IF(BV6=Assumption!$E$16,BU123+BV113,0)</f>
        <v>0</v>
      </c>
      <c r="BW119" s="158" t="n">
        <f aca="false">IF(BW6=Assumption!$E$16,BV123+BW113,0)</f>
        <v>0</v>
      </c>
      <c r="BX119" s="158" t="n">
        <f aca="false">IF(BX6=Assumption!$E$16,BW123+BX113,0)</f>
        <v>0</v>
      </c>
      <c r="BY119" s="158" t="n">
        <f aca="false">IF(BY6=Assumption!$E$16,BX123+BY113,0)</f>
        <v>0</v>
      </c>
      <c r="BZ119" s="158" t="n">
        <f aca="false">IF(BZ6=Assumption!$E$16,BY123+BZ113,0)</f>
        <v>0</v>
      </c>
      <c r="CA119" s="158" t="n">
        <f aca="false">IF(CA6=Assumption!$E$16,BZ123+CA113,0)</f>
        <v>0</v>
      </c>
      <c r="CB119" s="158" t="n">
        <f aca="false">IF(CB6=Assumption!$E$16,CA123+CB113,0)</f>
        <v>0</v>
      </c>
      <c r="CC119" s="158" t="n">
        <f aca="false">IF(CC6=Assumption!$E$16,CB123+CC113,0)</f>
        <v>0</v>
      </c>
      <c r="CD119" s="158" t="n">
        <f aca="false">IF(CD6=Assumption!$E$16,CC123+CD113,0)</f>
        <v>0</v>
      </c>
      <c r="CE119" s="158" t="n">
        <f aca="false">IF(CE6=Assumption!$E$16,CD123+CE113,0)</f>
        <v>0</v>
      </c>
      <c r="CF119" s="158" t="n">
        <f aca="false">IF(CF6=Assumption!$E$16,CE123+CF113,0)</f>
        <v>0</v>
      </c>
      <c r="CG119" s="158" t="n">
        <f aca="false">IF(CG6=Assumption!$E$16,CF123+CG113,0)</f>
        <v>0</v>
      </c>
      <c r="CH119" s="158" t="n">
        <f aca="false">IF(CH6=Assumption!$E$16,CG123+CH113,0)</f>
        <v>0</v>
      </c>
      <c r="CI119" s="158" t="n">
        <f aca="false">IF(CI6=Assumption!$E$16,CH123+CI113,0)</f>
        <v>0</v>
      </c>
      <c r="CJ119" s="158" t="n">
        <f aca="false">IF(CJ6=Assumption!$E$16,CI123+CJ113,0)</f>
        <v>0</v>
      </c>
      <c r="CK119" s="158" t="n">
        <f aca="false">IF(CK6=Assumption!$E$16,CJ123+CK113,0)</f>
        <v>0</v>
      </c>
      <c r="CL119" s="158" t="n">
        <f aca="false">IF(CL6=Assumption!$E$16,CK123+CL113,0)</f>
        <v>0</v>
      </c>
      <c r="CM119" s="158" t="n">
        <f aca="false">IF(CM6=Assumption!$E$16,CL123+CM113,0)</f>
        <v>0</v>
      </c>
      <c r="CN119" s="158" t="n">
        <f aca="false">IF(CN6=Assumption!$E$16,CM123+CN113,0)</f>
        <v>0</v>
      </c>
      <c r="CO119" s="158" t="n">
        <f aca="false">IF(CO6=Assumption!$E$16,CN123+CO113,0)</f>
        <v>0</v>
      </c>
      <c r="CP119" s="158" t="n">
        <f aca="false">IF(CP6=Assumption!$E$16,CO123+CP113,0)</f>
        <v>0</v>
      </c>
      <c r="CQ119" s="158" t="n">
        <f aca="false">IF(CQ6=Assumption!$E$16,CP123+CQ113,0)</f>
        <v>0</v>
      </c>
      <c r="CR119" s="158" t="n">
        <f aca="false">IF(CR6=Assumption!$E$16,CQ123+CR113,0)</f>
        <v>0</v>
      </c>
      <c r="CS119" s="158" t="n">
        <f aca="false">IF(CS6=Assumption!$E$16,CR123+CS113,0)</f>
        <v>0</v>
      </c>
      <c r="CT119" s="158" t="n">
        <f aca="false">IF(CT6=Assumption!$E$16,CS123+CT113,0)</f>
        <v>0</v>
      </c>
      <c r="CU119" s="158" t="n">
        <f aca="false">IF(CU6=Assumption!$E$16,CT123+CU113,0)</f>
        <v>0</v>
      </c>
      <c r="CV119" s="158" t="n">
        <f aca="false">IF(CV6=Assumption!$E$16,CU123+CV113,0)</f>
        <v>0</v>
      </c>
      <c r="CW119" s="158" t="n">
        <f aca="false">IF(CW6=Assumption!$E$16,CV123+CW113,0)</f>
        <v>0</v>
      </c>
      <c r="CX119" s="158" t="n">
        <f aca="false">IF(CX6=Assumption!$E$16,CW123+CX113,0)</f>
        <v>0</v>
      </c>
      <c r="CY119" s="158" t="n">
        <f aca="false">IF(CY6=Assumption!$E$16,CX123+CY113,0)</f>
        <v>0</v>
      </c>
      <c r="CZ119" s="158" t="n">
        <f aca="false">IF(CZ6=Assumption!$E$16,CY123+CZ113,0)</f>
        <v>0</v>
      </c>
      <c r="DA119" s="158" t="n">
        <f aca="false">IF(DA6=Assumption!$E$16,CZ123+DA113,0)</f>
        <v>0</v>
      </c>
      <c r="DB119" s="158" t="n">
        <f aca="false">IF(DB6=Assumption!$E$16,DA123+DB113,0)</f>
        <v>0</v>
      </c>
      <c r="DC119" s="158" t="n">
        <f aca="false">IF(DC6=Assumption!$E$16,DB123+DC113,0)</f>
        <v>0</v>
      </c>
      <c r="DD119" s="158" t="n">
        <f aca="false">IF(DD6=Assumption!$E$16,DC123+DD113,0)</f>
        <v>0</v>
      </c>
      <c r="DE119" s="158" t="n">
        <f aca="false">IF(DE6=Assumption!$E$16,DD123+DE113,0)</f>
        <v>0</v>
      </c>
      <c r="DF119" s="158" t="n">
        <f aca="false">IF(DF6=Assumption!$E$16,DE123+DF113,0)</f>
        <v>0</v>
      </c>
      <c r="DG119" s="158" t="n">
        <f aca="false">IF(DG6=Assumption!$E$16,DF123+DG113,0)</f>
        <v>0</v>
      </c>
      <c r="DH119" s="158" t="n">
        <f aca="false">IF(DH6=Assumption!$E$16,DG123+DH113,0)</f>
        <v>0</v>
      </c>
      <c r="DI119" s="158" t="n">
        <f aca="false">IF(DI6=Assumption!$E$16,DH123+DI113,0)</f>
        <v>0</v>
      </c>
      <c r="DJ119" s="158" t="n">
        <f aca="false">IF(DJ6=Assumption!$E$16,DI123+DJ113,0)</f>
        <v>0</v>
      </c>
      <c r="DK119" s="158" t="n">
        <f aca="false">IF(DK6=Assumption!$E$16,DJ123+DK113,0)</f>
        <v>0</v>
      </c>
      <c r="DL119" s="158" t="n">
        <f aca="false">IF(DL6=Assumption!$E$16,DK123+DL113,0)</f>
        <v>0</v>
      </c>
      <c r="DM119" s="158" t="n">
        <f aca="false">IF(DM6=Assumption!$E$16,DL123+DM113,0)</f>
        <v>0</v>
      </c>
      <c r="DN119" s="158" t="n">
        <f aca="false">IF(DN6=Assumption!$E$16,DM123+DN113,0)</f>
        <v>0</v>
      </c>
      <c r="DO119" s="158" t="n">
        <f aca="false">IF(DO6=Assumption!$E$16,DN123+DO113,0)</f>
        <v>0</v>
      </c>
      <c r="DP119" s="158" t="n">
        <f aca="false">IF(DP6=Assumption!$E$16,DO123+DP113,0)</f>
        <v>0</v>
      </c>
      <c r="DQ119" s="158" t="n">
        <f aca="false">IF(DQ6=Assumption!$E$16,DP123+DQ113,0)</f>
        <v>0</v>
      </c>
      <c r="DR119" s="158" t="n">
        <f aca="false">IF(DR6=Assumption!$E$16,DQ123+DR113,0)</f>
        <v>0</v>
      </c>
      <c r="DS119" s="158" t="n">
        <f aca="false">IF(DS6=Assumption!$E$16,DR123+DS113,0)</f>
        <v>0</v>
      </c>
      <c r="DT119" s="158" t="n">
        <f aca="false">IF(DT6=Assumption!$E$16,DS123+DT113,0)</f>
        <v>0</v>
      </c>
      <c r="DU119" s="158" t="n">
        <f aca="false">IF(DU6=Assumption!$E$16,DT123+DU113,0)</f>
        <v>0</v>
      </c>
      <c r="DV119" s="158" t="n">
        <f aca="false">IF(DV6=Assumption!$E$16,DU123+DV113,0)</f>
        <v>0</v>
      </c>
      <c r="DW119" s="158" t="n">
        <f aca="false">IF(DW6=Assumption!$E$16,DV123+DW113,0)</f>
        <v>0</v>
      </c>
      <c r="DX119" s="158" t="n">
        <f aca="false">IF(DX6=Assumption!$E$16,DW123+DX113,0)</f>
        <v>0</v>
      </c>
      <c r="DY119" s="158" t="n">
        <f aca="false">IF(DY6=Assumption!$E$16,DX123+DY113,0)</f>
        <v>0</v>
      </c>
      <c r="DZ119" s="158" t="n">
        <f aca="false">IF(DZ6=Assumption!$E$16,DY123+DZ113,0)</f>
        <v>0</v>
      </c>
      <c r="EA119" s="158" t="n">
        <f aca="false">IF(EA6=Assumption!$E$16,DZ123+EA113,0)</f>
        <v>0</v>
      </c>
      <c r="EB119" s="158" t="n">
        <f aca="false">IF(EB6=Assumption!$E$16,EA123+EB113,0)</f>
        <v>0</v>
      </c>
      <c r="EC119" s="158" t="n">
        <f aca="false">IF(EC6=Assumption!$E$16,EB123+EC113,0)</f>
        <v>0</v>
      </c>
      <c r="ED119" s="158" t="n">
        <f aca="false">IF(ED6=Assumption!$E$16,EC123+ED113,0)</f>
        <v>0</v>
      </c>
      <c r="EE119" s="158" t="n">
        <f aca="false">IF(EE6=Assumption!$E$16,ED123+EE113,0)</f>
        <v>0</v>
      </c>
      <c r="EF119" s="158" t="n">
        <f aca="false">IF(EF6=Assumption!$E$16,EE123+EF113,0)</f>
        <v>0</v>
      </c>
    </row>
    <row r="120" customFormat="false" ht="15" hidden="false" customHeight="false" outlineLevel="0" collapsed="false">
      <c r="A120" s="247" t="s">
        <v>577</v>
      </c>
      <c r="B120" s="244" t="s">
        <v>116</v>
      </c>
      <c r="C120" s="245" t="n">
        <f aca="false">SUM(E120:EF120)</f>
        <v>632619.287228062</v>
      </c>
      <c r="D120" s="13"/>
      <c r="E120" s="246" t="n">
        <f aca="false">E117+E118+E119</f>
        <v>0</v>
      </c>
      <c r="F120" s="246" t="n">
        <f aca="false">F117+F118+F119</f>
        <v>0</v>
      </c>
      <c r="G120" s="246" t="n">
        <f aca="false">G117+G118+G119</f>
        <v>0</v>
      </c>
      <c r="H120" s="246" t="n">
        <f aca="false">H117+H118+H119</f>
        <v>0</v>
      </c>
      <c r="I120" s="246" t="n">
        <f aca="false">I117+I118+I119</f>
        <v>0</v>
      </c>
      <c r="J120" s="246" t="n">
        <f aca="false">J117+J118+J119</f>
        <v>0</v>
      </c>
      <c r="K120" s="246" t="n">
        <f aca="false">K117+K118+K119</f>
        <v>0</v>
      </c>
      <c r="L120" s="246" t="n">
        <f aca="false">L117+L118+L119</f>
        <v>0</v>
      </c>
      <c r="M120" s="246" t="n">
        <f aca="false">M117+M118+M119</f>
        <v>0</v>
      </c>
      <c r="N120" s="246" t="n">
        <f aca="false">N117+N118+N119</f>
        <v>0</v>
      </c>
      <c r="O120" s="246" t="n">
        <f aca="false">O117+O118+O119</f>
        <v>0</v>
      </c>
      <c r="P120" s="246" t="n">
        <f aca="false">P117+P118+P119</f>
        <v>0</v>
      </c>
      <c r="Q120" s="246" t="n">
        <f aca="false">Q117+Q118+Q119</f>
        <v>0</v>
      </c>
      <c r="R120" s="246" t="n">
        <f aca="false">R117+R118+R119</f>
        <v>0</v>
      </c>
      <c r="S120" s="246" t="n">
        <f aca="false">S117+S118+S119</f>
        <v>0</v>
      </c>
      <c r="T120" s="246" t="n">
        <f aca="false">T117+T118+T119</f>
        <v>0</v>
      </c>
      <c r="U120" s="246" t="n">
        <f aca="false">U117+U118+U119</f>
        <v>0</v>
      </c>
      <c r="V120" s="246" t="n">
        <f aca="false">V117+V118+V119</f>
        <v>0</v>
      </c>
      <c r="W120" s="246" t="n">
        <f aca="false">W117+W118+W119</f>
        <v>0</v>
      </c>
      <c r="X120" s="246" t="n">
        <f aca="false">X117+X118+X119</f>
        <v>0</v>
      </c>
      <c r="Y120" s="246" t="n">
        <f aca="false">Y117+Y118+Y119</f>
        <v>0</v>
      </c>
      <c r="Z120" s="246" t="n">
        <f aca="false">Z117+Z118+Z119</f>
        <v>0</v>
      </c>
      <c r="AA120" s="246" t="n">
        <f aca="false">AA117+AA118+AA119</f>
        <v>0</v>
      </c>
      <c r="AB120" s="246" t="n">
        <f aca="false">AB117+AB118+AB119</f>
        <v>0</v>
      </c>
      <c r="AC120" s="246" t="n">
        <f aca="false">AC117+AC118+AC119</f>
        <v>0</v>
      </c>
      <c r="AD120" s="246" t="n">
        <f aca="false">AD117+AD118+AD119</f>
        <v>0</v>
      </c>
      <c r="AE120" s="246" t="n">
        <f aca="false">AE117+AE118+AE119</f>
        <v>0</v>
      </c>
      <c r="AF120" s="246" t="n">
        <f aca="false">AF117+AF118+AF119</f>
        <v>0</v>
      </c>
      <c r="AG120" s="246" t="n">
        <f aca="false">AG117+AG118+AG119</f>
        <v>0</v>
      </c>
      <c r="AH120" s="246" t="n">
        <f aca="false">AH117+AH118+AH119</f>
        <v>0</v>
      </c>
      <c r="AI120" s="246" t="n">
        <f aca="false">AI117+AI118+AI119</f>
        <v>0</v>
      </c>
      <c r="AJ120" s="246" t="n">
        <f aca="false">AJ117+AJ118+AJ119</f>
        <v>0</v>
      </c>
      <c r="AK120" s="246" t="n">
        <f aca="false">AK117+AK118+AK119</f>
        <v>0</v>
      </c>
      <c r="AL120" s="246" t="n">
        <f aca="false">AL117+AL118+AL119</f>
        <v>0</v>
      </c>
      <c r="AM120" s="246" t="n">
        <f aca="false">AM117+AM118+AM119</f>
        <v>0</v>
      </c>
      <c r="AN120" s="246" t="n">
        <f aca="false">AN117+AN118+AN119</f>
        <v>0</v>
      </c>
      <c r="AO120" s="246" t="n">
        <f aca="false">AO117+AO118+AO119</f>
        <v>0</v>
      </c>
      <c r="AP120" s="246" t="n">
        <f aca="false">AP117+AP118+AP119</f>
        <v>0</v>
      </c>
      <c r="AQ120" s="246" t="n">
        <f aca="false">AQ117+AQ118+AQ119</f>
        <v>0</v>
      </c>
      <c r="AR120" s="246" t="n">
        <f aca="false">AR117+AR118+AR119</f>
        <v>0</v>
      </c>
      <c r="AS120" s="246" t="n">
        <f aca="false">AS117+AS118+AS119</f>
        <v>0</v>
      </c>
      <c r="AT120" s="246" t="n">
        <f aca="false">AT117+AT118+AT119</f>
        <v>0</v>
      </c>
      <c r="AU120" s="246" t="n">
        <f aca="false">AU117+AU118+AU119</f>
        <v>0</v>
      </c>
      <c r="AV120" s="246" t="n">
        <f aca="false">AV117+AV118+AV119</f>
        <v>0</v>
      </c>
      <c r="AW120" s="246" t="n">
        <f aca="false">AW117+AW118+AW119</f>
        <v>0</v>
      </c>
      <c r="AX120" s="246" t="n">
        <f aca="false">AX117+AX118+AX119</f>
        <v>0</v>
      </c>
      <c r="AY120" s="246" t="n">
        <f aca="false">AY117+AY118+AY119</f>
        <v>0</v>
      </c>
      <c r="AZ120" s="246" t="n">
        <f aca="false">AZ117+AZ118+AZ119</f>
        <v>0</v>
      </c>
      <c r="BA120" s="246" t="n">
        <f aca="false">BA117+BA118+BA119</f>
        <v>0</v>
      </c>
      <c r="BB120" s="246" t="n">
        <f aca="false">BB117+BB118+BB119</f>
        <v>0</v>
      </c>
      <c r="BC120" s="246" t="n">
        <f aca="false">BC117+BC118+BC119</f>
        <v>0</v>
      </c>
      <c r="BD120" s="246" t="n">
        <f aca="false">BD117+BD118+BD119</f>
        <v>0</v>
      </c>
      <c r="BE120" s="246" t="n">
        <f aca="false">BE117+BE118+BE119</f>
        <v>0</v>
      </c>
      <c r="BF120" s="246" t="n">
        <f aca="false">BF117+BF118+BF119</f>
        <v>0</v>
      </c>
      <c r="BG120" s="246" t="n">
        <f aca="false">BG117+BG118+BG119</f>
        <v>0</v>
      </c>
      <c r="BH120" s="246" t="n">
        <f aca="false">BH117+BH118+BH119</f>
        <v>0</v>
      </c>
      <c r="BI120" s="246" t="n">
        <f aca="false">BI117+BI118+BI119</f>
        <v>0</v>
      </c>
      <c r="BJ120" s="246" t="n">
        <f aca="false">BJ117+BJ118+BJ119</f>
        <v>0</v>
      </c>
      <c r="BK120" s="246" t="n">
        <f aca="false">BK117+BK118+BK119</f>
        <v>0</v>
      </c>
      <c r="BL120" s="246" t="n">
        <f aca="false">BL117+BL118+BL119</f>
        <v>632619.287228062</v>
      </c>
      <c r="BM120" s="246" t="n">
        <f aca="false">BM117+BM118+BM119</f>
        <v>0</v>
      </c>
      <c r="BN120" s="246" t="n">
        <f aca="false">BN117+BN118+BN119</f>
        <v>0</v>
      </c>
      <c r="BO120" s="246" t="n">
        <f aca="false">BO117+BO118+BO119</f>
        <v>0</v>
      </c>
      <c r="BP120" s="246" t="n">
        <f aca="false">BP117+BP118+BP119</f>
        <v>0</v>
      </c>
      <c r="BQ120" s="246" t="n">
        <f aca="false">BQ117+BQ118+BQ119</f>
        <v>0</v>
      </c>
      <c r="BR120" s="246" t="n">
        <f aca="false">BR117+BR118+BR119</f>
        <v>0</v>
      </c>
      <c r="BS120" s="246" t="n">
        <f aca="false">BS117+BS118+BS119</f>
        <v>0</v>
      </c>
      <c r="BT120" s="246" t="n">
        <f aca="false">BT117+BT118+BT119</f>
        <v>0</v>
      </c>
      <c r="BU120" s="246" t="n">
        <f aca="false">BU117+BU118+BU119</f>
        <v>0</v>
      </c>
      <c r="BV120" s="246" t="n">
        <f aca="false">BV117+BV118+BV119</f>
        <v>0</v>
      </c>
      <c r="BW120" s="246" t="n">
        <f aca="false">BW117+BW118+BW119</f>
        <v>0</v>
      </c>
      <c r="BX120" s="246" t="n">
        <f aca="false">BX117+BX118+BX119</f>
        <v>0</v>
      </c>
      <c r="BY120" s="246" t="n">
        <f aca="false">BY117+BY118+BY119</f>
        <v>0</v>
      </c>
      <c r="BZ120" s="246" t="n">
        <f aca="false">BZ117+BZ118+BZ119</f>
        <v>0</v>
      </c>
      <c r="CA120" s="246" t="n">
        <f aca="false">CA117+CA118+CA119</f>
        <v>0</v>
      </c>
      <c r="CB120" s="246" t="n">
        <f aca="false">CB117+CB118+CB119</f>
        <v>0</v>
      </c>
      <c r="CC120" s="246" t="n">
        <f aca="false">CC117+CC118+CC119</f>
        <v>0</v>
      </c>
      <c r="CD120" s="246" t="n">
        <f aca="false">CD117+CD118+CD119</f>
        <v>0</v>
      </c>
      <c r="CE120" s="246" t="n">
        <f aca="false">CE117+CE118+CE119</f>
        <v>0</v>
      </c>
      <c r="CF120" s="246" t="n">
        <f aca="false">CF117+CF118+CF119</f>
        <v>0</v>
      </c>
      <c r="CG120" s="246" t="n">
        <f aca="false">CG117+CG118+CG119</f>
        <v>0</v>
      </c>
      <c r="CH120" s="246" t="n">
        <f aca="false">CH117+CH118+CH119</f>
        <v>0</v>
      </c>
      <c r="CI120" s="246" t="n">
        <f aca="false">CI117+CI118+CI119</f>
        <v>0</v>
      </c>
      <c r="CJ120" s="246" t="n">
        <f aca="false">CJ117+CJ118+CJ119</f>
        <v>0</v>
      </c>
      <c r="CK120" s="246" t="n">
        <f aca="false">CK117+CK118+CK119</f>
        <v>0</v>
      </c>
      <c r="CL120" s="246" t="n">
        <f aca="false">CL117+CL118+CL119</f>
        <v>0</v>
      </c>
      <c r="CM120" s="246" t="n">
        <f aca="false">CM117+CM118+CM119</f>
        <v>0</v>
      </c>
      <c r="CN120" s="246" t="n">
        <f aca="false">CN117+CN118+CN119</f>
        <v>0</v>
      </c>
      <c r="CO120" s="246" t="n">
        <f aca="false">CO117+CO118+CO119</f>
        <v>0</v>
      </c>
      <c r="CP120" s="246" t="n">
        <f aca="false">CP117+CP118+CP119</f>
        <v>0</v>
      </c>
      <c r="CQ120" s="246" t="n">
        <f aca="false">CQ117+CQ118+CQ119</f>
        <v>0</v>
      </c>
      <c r="CR120" s="246" t="n">
        <f aca="false">CR117+CR118+CR119</f>
        <v>0</v>
      </c>
      <c r="CS120" s="246" t="n">
        <f aca="false">CS117+CS118+CS119</f>
        <v>0</v>
      </c>
      <c r="CT120" s="246" t="n">
        <f aca="false">CT117+CT118+CT119</f>
        <v>0</v>
      </c>
      <c r="CU120" s="246" t="n">
        <f aca="false">CU117+CU118+CU119</f>
        <v>0</v>
      </c>
      <c r="CV120" s="246" t="n">
        <f aca="false">CV117+CV118+CV119</f>
        <v>0</v>
      </c>
      <c r="CW120" s="246" t="n">
        <f aca="false">CW117+CW118+CW119</f>
        <v>0</v>
      </c>
      <c r="CX120" s="246" t="n">
        <f aca="false">CX117+CX118+CX119</f>
        <v>0</v>
      </c>
      <c r="CY120" s="246" t="n">
        <f aca="false">CY117+CY118+CY119</f>
        <v>0</v>
      </c>
      <c r="CZ120" s="246" t="n">
        <f aca="false">CZ117+CZ118+CZ119</f>
        <v>0</v>
      </c>
      <c r="DA120" s="246" t="n">
        <f aca="false">DA117+DA118+DA119</f>
        <v>0</v>
      </c>
      <c r="DB120" s="246" t="n">
        <f aca="false">DB117+DB118+DB119</f>
        <v>0</v>
      </c>
      <c r="DC120" s="246" t="n">
        <f aca="false">DC117+DC118+DC119</f>
        <v>0</v>
      </c>
      <c r="DD120" s="246" t="n">
        <f aca="false">DD117+DD118+DD119</f>
        <v>0</v>
      </c>
      <c r="DE120" s="246" t="n">
        <f aca="false">DE117+DE118+DE119</f>
        <v>0</v>
      </c>
      <c r="DF120" s="246" t="n">
        <f aca="false">DF117+DF118+DF119</f>
        <v>0</v>
      </c>
      <c r="DG120" s="246" t="n">
        <f aca="false">DG117+DG118+DG119</f>
        <v>0</v>
      </c>
      <c r="DH120" s="246" t="n">
        <f aca="false">DH117+DH118+DH119</f>
        <v>0</v>
      </c>
      <c r="DI120" s="246" t="n">
        <f aca="false">DI117+DI118+DI119</f>
        <v>0</v>
      </c>
      <c r="DJ120" s="246" t="n">
        <f aca="false">DJ117+DJ118+DJ119</f>
        <v>0</v>
      </c>
      <c r="DK120" s="246" t="n">
        <f aca="false">DK117+DK118+DK119</f>
        <v>0</v>
      </c>
      <c r="DL120" s="246" t="n">
        <f aca="false">DL117+DL118+DL119</f>
        <v>0</v>
      </c>
      <c r="DM120" s="246" t="n">
        <f aca="false">DM117+DM118+DM119</f>
        <v>0</v>
      </c>
      <c r="DN120" s="246" t="n">
        <f aca="false">DN117+DN118+DN119</f>
        <v>0</v>
      </c>
      <c r="DO120" s="246" t="n">
        <f aca="false">DO117+DO118+DO119</f>
        <v>0</v>
      </c>
      <c r="DP120" s="246" t="n">
        <f aca="false">DP117+DP118+DP119</f>
        <v>0</v>
      </c>
      <c r="DQ120" s="246" t="n">
        <f aca="false">DQ117+DQ118+DQ119</f>
        <v>0</v>
      </c>
      <c r="DR120" s="246" t="n">
        <f aca="false">DR117+DR118+DR119</f>
        <v>0</v>
      </c>
      <c r="DS120" s="246" t="n">
        <f aca="false">DS117+DS118+DS119</f>
        <v>0</v>
      </c>
      <c r="DT120" s="246" t="n">
        <f aca="false">DT117+DT118+DT119</f>
        <v>0</v>
      </c>
      <c r="DU120" s="246" t="n">
        <f aca="false">DU117+DU118+DU119</f>
        <v>0</v>
      </c>
      <c r="DV120" s="246" t="n">
        <f aca="false">DV117+DV118+DV119</f>
        <v>0</v>
      </c>
      <c r="DW120" s="246" t="n">
        <f aca="false">DW117+DW118+DW119</f>
        <v>0</v>
      </c>
      <c r="DX120" s="246" t="n">
        <f aca="false">DX117+DX118+DX119</f>
        <v>0</v>
      </c>
      <c r="DY120" s="246" t="n">
        <f aca="false">DY117+DY118+DY119</f>
        <v>0</v>
      </c>
      <c r="DZ120" s="246" t="n">
        <f aca="false">DZ117+DZ118+DZ119</f>
        <v>0</v>
      </c>
      <c r="EA120" s="246" t="n">
        <f aca="false">EA117+EA118+EA119</f>
        <v>0</v>
      </c>
      <c r="EB120" s="246" t="n">
        <f aca="false">EB117+EB118+EB119</f>
        <v>0</v>
      </c>
      <c r="EC120" s="246" t="n">
        <f aca="false">EC117+EC118+EC119</f>
        <v>0</v>
      </c>
      <c r="ED120" s="246" t="n">
        <f aca="false">ED117+ED118+ED119</f>
        <v>0</v>
      </c>
      <c r="EE120" s="246" t="n">
        <f aca="false">EE117+EE118+EE119</f>
        <v>0</v>
      </c>
      <c r="EF120" s="246" t="n">
        <f aca="false">EF117+EF118+EF119</f>
        <v>0</v>
      </c>
    </row>
    <row r="121" customFormat="false" ht="15" hidden="false" customHeight="false" outlineLevel="0" collapsed="false">
      <c r="A121" s="112" t="s">
        <v>578</v>
      </c>
      <c r="B121" s="241" t="s">
        <v>116</v>
      </c>
      <c r="C121" s="242" t="n">
        <f aca="false">MAX(E121:EF121)</f>
        <v>304203.267746602</v>
      </c>
      <c r="E121" s="158" t="n">
        <f aca="false">0+E115-E117</f>
        <v>0</v>
      </c>
      <c r="F121" s="158" t="n">
        <f aca="false">E121+F115-F117</f>
        <v>0</v>
      </c>
      <c r="G121" s="158" t="n">
        <f aca="false">F121+G115-G117</f>
        <v>0</v>
      </c>
      <c r="H121" s="158" t="n">
        <f aca="false">G121+H115-H117</f>
        <v>0</v>
      </c>
      <c r="I121" s="158" t="n">
        <f aca="false">H121+I115-I117</f>
        <v>0</v>
      </c>
      <c r="J121" s="158" t="n">
        <f aca="false">I121+J115-J117</f>
        <v>0</v>
      </c>
      <c r="K121" s="158" t="n">
        <f aca="false">J121+K115-K117</f>
        <v>0</v>
      </c>
      <c r="L121" s="158" t="n">
        <f aca="false">K121+L115-L117</f>
        <v>0</v>
      </c>
      <c r="M121" s="158" t="n">
        <f aca="false">L121+M115-M117</f>
        <v>0</v>
      </c>
      <c r="N121" s="158" t="n">
        <f aca="false">M121+N115-N117</f>
        <v>0</v>
      </c>
      <c r="O121" s="158" t="n">
        <f aca="false">N121+O115-O117</f>
        <v>0</v>
      </c>
      <c r="P121" s="158" t="n">
        <f aca="false">O121+P115-P117</f>
        <v>0</v>
      </c>
      <c r="Q121" s="158" t="n">
        <f aca="false">P121+Q115-Q117</f>
        <v>0</v>
      </c>
      <c r="R121" s="158" t="n">
        <f aca="false">Q121+R115-R117</f>
        <v>0</v>
      </c>
      <c r="S121" s="158" t="n">
        <f aca="false">R121+S115-S117</f>
        <v>0</v>
      </c>
      <c r="T121" s="158" t="n">
        <f aca="false">S121+T115-T117</f>
        <v>0</v>
      </c>
      <c r="U121" s="158" t="n">
        <f aca="false">T121+U115-U117</f>
        <v>0</v>
      </c>
      <c r="V121" s="158" t="n">
        <f aca="false">U121+V115-V117</f>
        <v>0</v>
      </c>
      <c r="W121" s="158" t="n">
        <f aca="false">V121+W115-W117</f>
        <v>0</v>
      </c>
      <c r="X121" s="158" t="n">
        <f aca="false">W121+X115-X117</f>
        <v>0</v>
      </c>
      <c r="Y121" s="158" t="n">
        <f aca="false">X121+Y115-Y117</f>
        <v>0</v>
      </c>
      <c r="Z121" s="158" t="n">
        <f aca="false">Y121+Z115-Z117</f>
        <v>0</v>
      </c>
      <c r="AA121" s="158" t="n">
        <f aca="false">Z121+AA115-AA117</f>
        <v>0</v>
      </c>
      <c r="AB121" s="158" t="n">
        <f aca="false">AA121+AB115-AB117</f>
        <v>0</v>
      </c>
      <c r="AC121" s="158" t="n">
        <f aca="false">AB121+AC115-AC117</f>
        <v>0</v>
      </c>
      <c r="AD121" s="158" t="n">
        <f aca="false">AC121+AD115-AD117</f>
        <v>0</v>
      </c>
      <c r="AE121" s="158" t="n">
        <f aca="false">AD121+AE115-AE117</f>
        <v>0</v>
      </c>
      <c r="AF121" s="158" t="n">
        <f aca="false">AE121+AF115-AF117</f>
        <v>0</v>
      </c>
      <c r="AG121" s="158" t="n">
        <f aca="false">AF121+AG115-AG117</f>
        <v>0</v>
      </c>
      <c r="AH121" s="158" t="n">
        <f aca="false">AG121+AH115-AH117</f>
        <v>0</v>
      </c>
      <c r="AI121" s="158" t="n">
        <f aca="false">AH121+AI115-AI117</f>
        <v>0</v>
      </c>
      <c r="AJ121" s="158" t="n">
        <f aca="false">AI121+AJ115-AJ117</f>
        <v>0</v>
      </c>
      <c r="AK121" s="158" t="n">
        <f aca="false">AJ121+AK115-AK117</f>
        <v>0</v>
      </c>
      <c r="AL121" s="158" t="n">
        <f aca="false">AK121+AL115-AL117</f>
        <v>0</v>
      </c>
      <c r="AM121" s="158" t="n">
        <f aca="false">AL121+AM115-AM117</f>
        <v>0</v>
      </c>
      <c r="AN121" s="158" t="n">
        <f aca="false">AM121+AN115-AN117</f>
        <v>0</v>
      </c>
      <c r="AO121" s="158" t="n">
        <f aca="false">AN121+AO115-AO117</f>
        <v>0</v>
      </c>
      <c r="AP121" s="158" t="n">
        <f aca="false">AO121+AP115-AP117</f>
        <v>0</v>
      </c>
      <c r="AQ121" s="158" t="n">
        <f aca="false">AP121+AQ115-AQ117</f>
        <v>0</v>
      </c>
      <c r="AR121" s="158" t="n">
        <f aca="false">AQ121+AR115-AR117</f>
        <v>0</v>
      </c>
      <c r="AS121" s="158" t="n">
        <f aca="false">AR121+AS115-AS117</f>
        <v>0</v>
      </c>
      <c r="AT121" s="158" t="n">
        <f aca="false">AS121+AT115-AT117</f>
        <v>0</v>
      </c>
      <c r="AU121" s="158" t="n">
        <f aca="false">AT121+AU115-AU117</f>
        <v>8062.70068423657</v>
      </c>
      <c r="AV121" s="158" t="n">
        <f aca="false">AU121+AV115-AV117</f>
        <v>47988.0505408181</v>
      </c>
      <c r="AW121" s="158" t="n">
        <f aca="false">AV121+AW115-AW117</f>
        <v>87059.7906833023</v>
      </c>
      <c r="AX121" s="158" t="n">
        <f aca="false">AW121+AX115-AX117</f>
        <v>125076.052241803</v>
      </c>
      <c r="AY121" s="158" t="n">
        <f aca="false">AX121+AY115-AY117</f>
        <v>161840.952191569</v>
      </c>
      <c r="AZ121" s="158" t="n">
        <f aca="false">AY121+AZ115-AZ117</f>
        <v>197165.689226215</v>
      </c>
      <c r="BA121" s="158" t="n">
        <f aca="false">AZ121+BA115-BA117</f>
        <v>197165.689226215</v>
      </c>
      <c r="BB121" s="158" t="n">
        <f aca="false">BA121+BB115-BB117</f>
        <v>197165.689226215</v>
      </c>
      <c r="BC121" s="158" t="n">
        <f aca="false">BB121+BC115-BC117</f>
        <v>197165.689226215</v>
      </c>
      <c r="BD121" s="158" t="n">
        <f aca="false">BC121+BD115-BD117</f>
        <v>197165.689226215</v>
      </c>
      <c r="BE121" s="158" t="n">
        <f aca="false">BD121+BE115-BE117</f>
        <v>207919.184301937</v>
      </c>
      <c r="BF121" s="158" t="n">
        <f aca="false">BE121+BF115-BF117</f>
        <v>230470.162044878</v>
      </c>
      <c r="BG121" s="158" t="n">
        <f aca="false">BF121+BG115-BG117</f>
        <v>250536.504291233</v>
      </c>
      <c r="BH121" s="158" t="n">
        <f aca="false">BG121+BH115-BH117</f>
        <v>268019.575506488</v>
      </c>
      <c r="BI121" s="158" t="n">
        <f aca="false">BH121+BI115-BI117</f>
        <v>282835.254773566</v>
      </c>
      <c r="BJ121" s="158" t="n">
        <f aca="false">BI121+BJ115-BJ117</f>
        <v>294914.406570698</v>
      </c>
      <c r="BK121" s="158" t="n">
        <f aca="false">BJ121+BK115-BK117</f>
        <v>304203.267746602</v>
      </c>
      <c r="BL121" s="158" t="n">
        <f aca="false">BK121+BL115-BL117</f>
        <v>0</v>
      </c>
      <c r="BM121" s="158" t="n">
        <f aca="false">BL121+BM115-BM117</f>
        <v>0</v>
      </c>
      <c r="BN121" s="158" t="n">
        <f aca="false">BM121+BN115-BN117</f>
        <v>0</v>
      </c>
      <c r="BO121" s="158" t="n">
        <f aca="false">BN121+BO115-BO117</f>
        <v>0</v>
      </c>
      <c r="BP121" s="158" t="n">
        <f aca="false">BO121+BP115-BP117</f>
        <v>0</v>
      </c>
      <c r="BQ121" s="158" t="n">
        <f aca="false">BP121+BQ115-BQ117</f>
        <v>0</v>
      </c>
      <c r="BR121" s="158" t="n">
        <f aca="false">BQ121+BR115-BR117</f>
        <v>0</v>
      </c>
      <c r="BS121" s="158" t="n">
        <f aca="false">BR121+BS115-BS117</f>
        <v>0</v>
      </c>
      <c r="BT121" s="158" t="n">
        <f aca="false">BS121+BT115-BT117</f>
        <v>0</v>
      </c>
      <c r="BU121" s="158" t="n">
        <f aca="false">BT121+BU115-BU117</f>
        <v>0</v>
      </c>
      <c r="BV121" s="158" t="n">
        <f aca="false">BU121+BV115-BV117</f>
        <v>0</v>
      </c>
      <c r="BW121" s="158" t="n">
        <f aca="false">BV121+BW115-BW117</f>
        <v>0</v>
      </c>
      <c r="BX121" s="158" t="n">
        <f aca="false">BW121+BX115-BX117</f>
        <v>0</v>
      </c>
      <c r="BY121" s="158" t="n">
        <f aca="false">BX121+BY115-BY117</f>
        <v>0</v>
      </c>
      <c r="BZ121" s="158" t="n">
        <f aca="false">BY121+BZ115-BZ117</f>
        <v>0</v>
      </c>
      <c r="CA121" s="158" t="n">
        <f aca="false">BZ121+CA115-CA117</f>
        <v>0</v>
      </c>
      <c r="CB121" s="158" t="n">
        <f aca="false">CA121+CB115-CB117</f>
        <v>0</v>
      </c>
      <c r="CC121" s="158" t="n">
        <f aca="false">CB121+CC115-CC117</f>
        <v>0</v>
      </c>
      <c r="CD121" s="158" t="n">
        <f aca="false">CC121+CD115-CD117</f>
        <v>0</v>
      </c>
      <c r="CE121" s="158" t="n">
        <f aca="false">CD121+CE115-CE117</f>
        <v>0</v>
      </c>
      <c r="CF121" s="158" t="n">
        <f aca="false">CE121+CF115-CF117</f>
        <v>0</v>
      </c>
      <c r="CG121" s="158" t="n">
        <f aca="false">CF121+CG115-CG117</f>
        <v>0</v>
      </c>
      <c r="CH121" s="158" t="n">
        <f aca="false">CG121+CH115-CH117</f>
        <v>0</v>
      </c>
      <c r="CI121" s="158" t="n">
        <f aca="false">CH121+CI115-CI117</f>
        <v>0</v>
      </c>
      <c r="CJ121" s="158" t="n">
        <f aca="false">CI121+CJ115-CJ117</f>
        <v>0</v>
      </c>
      <c r="CK121" s="158" t="n">
        <f aca="false">CJ121+CK115-CK117</f>
        <v>0</v>
      </c>
      <c r="CL121" s="158" t="n">
        <f aca="false">CK121+CL115-CL117</f>
        <v>0</v>
      </c>
      <c r="CM121" s="158" t="n">
        <f aca="false">CL121+CM115-CM117</f>
        <v>0</v>
      </c>
      <c r="CN121" s="158" t="n">
        <f aca="false">CM121+CN115-CN117</f>
        <v>0</v>
      </c>
      <c r="CO121" s="158" t="n">
        <f aca="false">CN121+CO115-CO117</f>
        <v>0</v>
      </c>
      <c r="CP121" s="158" t="n">
        <f aca="false">CO121+CP115-CP117</f>
        <v>0</v>
      </c>
      <c r="CQ121" s="158" t="n">
        <f aca="false">CP121+CQ115-CQ117</f>
        <v>0</v>
      </c>
      <c r="CR121" s="158" t="n">
        <f aca="false">CQ121+CR115-CR117</f>
        <v>0</v>
      </c>
      <c r="CS121" s="158" t="n">
        <f aca="false">CR121+CS115-CS117</f>
        <v>0</v>
      </c>
      <c r="CT121" s="158" t="n">
        <f aca="false">CS121+CT115-CT117</f>
        <v>0</v>
      </c>
      <c r="CU121" s="158" t="n">
        <f aca="false">CT121+CU115-CU117</f>
        <v>0</v>
      </c>
      <c r="CV121" s="158" t="n">
        <f aca="false">CU121+CV115-CV117</f>
        <v>0</v>
      </c>
      <c r="CW121" s="158" t="n">
        <f aca="false">CV121+CW115-CW117</f>
        <v>0</v>
      </c>
      <c r="CX121" s="158" t="n">
        <f aca="false">CW121+CX115-CX117</f>
        <v>0</v>
      </c>
      <c r="CY121" s="158" t="n">
        <f aca="false">CX121+CY115-CY117</f>
        <v>0</v>
      </c>
      <c r="CZ121" s="158" t="n">
        <f aca="false">CY121+CZ115-CZ117</f>
        <v>0</v>
      </c>
      <c r="DA121" s="158" t="n">
        <f aca="false">CZ121+DA115-DA117</f>
        <v>0</v>
      </c>
      <c r="DB121" s="158" t="n">
        <f aca="false">DA121+DB115-DB117</f>
        <v>0</v>
      </c>
      <c r="DC121" s="158" t="n">
        <f aca="false">DB121+DC115-DC117</f>
        <v>0</v>
      </c>
      <c r="DD121" s="158" t="n">
        <f aca="false">DC121+DD115-DD117</f>
        <v>0</v>
      </c>
      <c r="DE121" s="158" t="n">
        <f aca="false">DD121+DE115-DE117</f>
        <v>0</v>
      </c>
      <c r="DF121" s="158" t="n">
        <f aca="false">DE121+DF115-DF117</f>
        <v>0</v>
      </c>
      <c r="DG121" s="158" t="n">
        <f aca="false">DF121+DG115-DG117</f>
        <v>0</v>
      </c>
      <c r="DH121" s="158" t="n">
        <f aca="false">DG121+DH115-DH117</f>
        <v>0</v>
      </c>
      <c r="DI121" s="158" t="n">
        <f aca="false">DH121+DI115-DI117</f>
        <v>0</v>
      </c>
      <c r="DJ121" s="158" t="n">
        <f aca="false">DI121+DJ115-DJ117</f>
        <v>0</v>
      </c>
      <c r="DK121" s="158" t="n">
        <f aca="false">DJ121+DK115-DK117</f>
        <v>0</v>
      </c>
      <c r="DL121" s="158" t="n">
        <f aca="false">DK121+DL115-DL117</f>
        <v>0</v>
      </c>
      <c r="DM121" s="158" t="n">
        <f aca="false">DL121+DM115-DM117</f>
        <v>0</v>
      </c>
      <c r="DN121" s="158" t="n">
        <f aca="false">DM121+DN115-DN117</f>
        <v>0</v>
      </c>
      <c r="DO121" s="158" t="n">
        <f aca="false">DN121+DO115-DO117</f>
        <v>0</v>
      </c>
      <c r="DP121" s="158" t="n">
        <f aca="false">DO121+DP115-DP117</f>
        <v>0</v>
      </c>
      <c r="DQ121" s="158" t="n">
        <f aca="false">DP121+DQ115-DQ117</f>
        <v>0</v>
      </c>
      <c r="DR121" s="158" t="n">
        <f aca="false">DQ121+DR115-DR117</f>
        <v>0</v>
      </c>
      <c r="DS121" s="158" t="n">
        <f aca="false">DR121+DS115-DS117</f>
        <v>0</v>
      </c>
      <c r="DT121" s="158" t="n">
        <f aca="false">DS121+DT115-DT117</f>
        <v>0</v>
      </c>
      <c r="DU121" s="158" t="n">
        <f aca="false">DT121+DU115-DU117</f>
        <v>0</v>
      </c>
      <c r="DV121" s="158" t="n">
        <f aca="false">DU121+DV115-DV117</f>
        <v>0</v>
      </c>
      <c r="DW121" s="158" t="n">
        <f aca="false">DV121+DW115-DW117</f>
        <v>0</v>
      </c>
      <c r="DX121" s="158" t="n">
        <f aca="false">DW121+DX115-DX117</f>
        <v>0</v>
      </c>
      <c r="DY121" s="158" t="n">
        <f aca="false">DX121+DY115-DY117</f>
        <v>0</v>
      </c>
      <c r="DZ121" s="158" t="n">
        <f aca="false">DY121+DZ115-DZ117</f>
        <v>0</v>
      </c>
      <c r="EA121" s="158" t="n">
        <f aca="false">DZ121+EA115-EA117</f>
        <v>0</v>
      </c>
      <c r="EB121" s="158" t="n">
        <f aca="false">EA121+EB115-EB117</f>
        <v>0</v>
      </c>
      <c r="EC121" s="158" t="n">
        <f aca="false">EB121+EC115-EC117</f>
        <v>0</v>
      </c>
      <c r="ED121" s="158" t="n">
        <f aca="false">EC121+ED115-ED117</f>
        <v>0</v>
      </c>
      <c r="EE121" s="158" t="n">
        <f aca="false">ED121+EE115-EE117</f>
        <v>0</v>
      </c>
      <c r="EF121" s="158" t="n">
        <f aca="false">EE121+EF115-EF117</f>
        <v>0</v>
      </c>
    </row>
    <row r="122" customFormat="false" ht="15" hidden="false" customHeight="false" outlineLevel="0" collapsed="false">
      <c r="A122" s="112" t="s">
        <v>579</v>
      </c>
      <c r="B122" s="241" t="s">
        <v>116</v>
      </c>
      <c r="C122" s="242" t="n">
        <f aca="false">MAX(E122:EF122)</f>
        <v>164265.485417923</v>
      </c>
      <c r="E122" s="158" t="n">
        <f aca="false">0+E114-E118</f>
        <v>0</v>
      </c>
      <c r="F122" s="158" t="n">
        <f aca="false">E122+F114-F118</f>
        <v>0</v>
      </c>
      <c r="G122" s="158" t="n">
        <f aca="false">F122+G114-G118</f>
        <v>0</v>
      </c>
      <c r="H122" s="158" t="n">
        <f aca="false">G122+H114-H118</f>
        <v>0</v>
      </c>
      <c r="I122" s="158" t="n">
        <f aca="false">H122+I114-I118</f>
        <v>0</v>
      </c>
      <c r="J122" s="158" t="n">
        <f aca="false">I122+J114-J118</f>
        <v>0</v>
      </c>
      <c r="K122" s="158" t="n">
        <f aca="false">J122+K114-K118</f>
        <v>0</v>
      </c>
      <c r="L122" s="158" t="n">
        <f aca="false">K122+L114-L118</f>
        <v>0</v>
      </c>
      <c r="M122" s="158" t="n">
        <f aca="false">L122+M114-M118</f>
        <v>0</v>
      </c>
      <c r="N122" s="158" t="n">
        <f aca="false">M122+N114-N118</f>
        <v>0</v>
      </c>
      <c r="O122" s="158" t="n">
        <f aca="false">N122+O114-O118</f>
        <v>0</v>
      </c>
      <c r="P122" s="158" t="n">
        <f aca="false">O122+P114-P118</f>
        <v>0</v>
      </c>
      <c r="Q122" s="158" t="n">
        <f aca="false">P122+Q114-Q118</f>
        <v>0</v>
      </c>
      <c r="R122" s="158" t="n">
        <f aca="false">Q122+R114-R118</f>
        <v>0</v>
      </c>
      <c r="S122" s="158" t="n">
        <f aca="false">R122+S114-S118</f>
        <v>0</v>
      </c>
      <c r="T122" s="158" t="n">
        <f aca="false">S122+T114-T118</f>
        <v>0</v>
      </c>
      <c r="U122" s="158" t="n">
        <f aca="false">T122+U114-U118</f>
        <v>0</v>
      </c>
      <c r="V122" s="158" t="n">
        <f aca="false">U122+V114-V118</f>
        <v>0</v>
      </c>
      <c r="W122" s="158" t="n">
        <f aca="false">V122+W114-W118</f>
        <v>0</v>
      </c>
      <c r="X122" s="158" t="n">
        <f aca="false">W122+X114-X118</f>
        <v>0</v>
      </c>
      <c r="Y122" s="158" t="n">
        <f aca="false">X122+Y114-Y118</f>
        <v>0</v>
      </c>
      <c r="Z122" s="158" t="n">
        <f aca="false">Y122+Z114-Z118</f>
        <v>0</v>
      </c>
      <c r="AA122" s="158" t="n">
        <f aca="false">Z122+AA114-AA118</f>
        <v>0</v>
      </c>
      <c r="AB122" s="158" t="n">
        <f aca="false">AA122+AB114-AB118</f>
        <v>0</v>
      </c>
      <c r="AC122" s="158" t="n">
        <f aca="false">AB122+AC114-AC118</f>
        <v>0</v>
      </c>
      <c r="AD122" s="158" t="n">
        <f aca="false">AC122+AD114-AD118</f>
        <v>0</v>
      </c>
      <c r="AE122" s="158" t="n">
        <f aca="false">AD122+AE114-AE118</f>
        <v>0</v>
      </c>
      <c r="AF122" s="158" t="n">
        <f aca="false">AE122+AF114-AF118</f>
        <v>0</v>
      </c>
      <c r="AG122" s="158" t="n">
        <f aca="false">AF122+AG114-AG118</f>
        <v>0</v>
      </c>
      <c r="AH122" s="158" t="n">
        <f aca="false">AG122+AH114-AH118</f>
        <v>0</v>
      </c>
      <c r="AI122" s="158" t="n">
        <f aca="false">AH122+AI114-AI118</f>
        <v>0</v>
      </c>
      <c r="AJ122" s="158" t="n">
        <f aca="false">AI122+AJ114-AJ118</f>
        <v>0</v>
      </c>
      <c r="AK122" s="158" t="n">
        <f aca="false">AJ122+AK114-AK118</f>
        <v>0</v>
      </c>
      <c r="AL122" s="158" t="n">
        <f aca="false">AK122+AL114-AL118</f>
        <v>0</v>
      </c>
      <c r="AM122" s="158" t="n">
        <f aca="false">AL122+AM114-AM118</f>
        <v>0</v>
      </c>
      <c r="AN122" s="158" t="n">
        <f aca="false">AM122+AN114-AN118</f>
        <v>22186.7464791183</v>
      </c>
      <c r="AO122" s="158" t="n">
        <f aca="false">AN122+AO114-AO118</f>
        <v>22186.7464791183</v>
      </c>
      <c r="AP122" s="158" t="n">
        <f aca="false">AO122+AP114-AP118</f>
        <v>22186.7464791183</v>
      </c>
      <c r="AQ122" s="158" t="n">
        <f aca="false">AP122+AQ114-AQ118</f>
        <v>22186.7464791183</v>
      </c>
      <c r="AR122" s="158" t="n">
        <f aca="false">AQ122+AR114-AR118</f>
        <v>49660.8940257787</v>
      </c>
      <c r="AS122" s="158" t="n">
        <f aca="false">AR122+AS114-AS118</f>
        <v>90817.4241633266</v>
      </c>
      <c r="AT122" s="158" t="n">
        <f aca="false">AS122+AT114-AT118</f>
        <v>131777.502800635</v>
      </c>
      <c r="AU122" s="158" t="n">
        <f aca="false">AT122+AU114-AU118</f>
        <v>164265.485417923</v>
      </c>
      <c r="AV122" s="158" t="n">
        <f aca="false">AU122+AV114-AV118</f>
        <v>164265.485417923</v>
      </c>
      <c r="AW122" s="158" t="n">
        <f aca="false">AV122+AW114-AW118</f>
        <v>164265.485417923</v>
      </c>
      <c r="AX122" s="158" t="n">
        <f aca="false">AW122+AX114-AX118</f>
        <v>164265.485417923</v>
      </c>
      <c r="AY122" s="158" t="n">
        <f aca="false">AX122+AY114-AY118</f>
        <v>164265.485417923</v>
      </c>
      <c r="AZ122" s="158" t="n">
        <f aca="false">AY122+AZ114-AZ118</f>
        <v>164265.485417923</v>
      </c>
      <c r="BA122" s="158" t="n">
        <f aca="false">AZ122+BA114-BA118</f>
        <v>164265.485417923</v>
      </c>
      <c r="BB122" s="158" t="n">
        <f aca="false">BA122+BB114-BB118</f>
        <v>164265.485417923</v>
      </c>
      <c r="BC122" s="158" t="n">
        <f aca="false">BB122+BC114-BC118</f>
        <v>164265.485417923</v>
      </c>
      <c r="BD122" s="158" t="n">
        <f aca="false">BC122+BD114-BD118</f>
        <v>164265.485417923</v>
      </c>
      <c r="BE122" s="158" t="n">
        <f aca="false">BD122+BE114-BE118</f>
        <v>164265.485417923</v>
      </c>
      <c r="BF122" s="158" t="n">
        <f aca="false">BE122+BF114-BF118</f>
        <v>164265.485417923</v>
      </c>
      <c r="BG122" s="158" t="n">
        <f aca="false">BF122+BG114-BG118</f>
        <v>164265.485417923</v>
      </c>
      <c r="BH122" s="158" t="n">
        <f aca="false">BG122+BH114-BH118</f>
        <v>164265.485417923</v>
      </c>
      <c r="BI122" s="158" t="n">
        <f aca="false">BH122+BI114-BI118</f>
        <v>164265.485417923</v>
      </c>
      <c r="BJ122" s="158" t="n">
        <f aca="false">BI122+BJ114-BJ118</f>
        <v>164265.485417923</v>
      </c>
      <c r="BK122" s="158" t="n">
        <f aca="false">BJ122+BK114-BK118</f>
        <v>164265.485417923</v>
      </c>
      <c r="BL122" s="158" t="n">
        <f aca="false">BK122+BL114-BL118</f>
        <v>0</v>
      </c>
      <c r="BM122" s="158" t="n">
        <f aca="false">BL122+BM114-BM118</f>
        <v>0</v>
      </c>
      <c r="BN122" s="158" t="n">
        <f aca="false">BM122+BN114-BN118</f>
        <v>0</v>
      </c>
      <c r="BO122" s="158" t="n">
        <f aca="false">BN122+BO114-BO118</f>
        <v>0</v>
      </c>
      <c r="BP122" s="158" t="n">
        <f aca="false">BO122+BP114-BP118</f>
        <v>0</v>
      </c>
      <c r="BQ122" s="158" t="n">
        <f aca="false">BP122+BQ114-BQ118</f>
        <v>0</v>
      </c>
      <c r="BR122" s="158" t="n">
        <f aca="false">BQ122+BR114-BR118</f>
        <v>0</v>
      </c>
      <c r="BS122" s="158" t="n">
        <f aca="false">BR122+BS114-BS118</f>
        <v>0</v>
      </c>
      <c r="BT122" s="158" t="n">
        <f aca="false">BS122+BT114-BT118</f>
        <v>0</v>
      </c>
      <c r="BU122" s="158" t="n">
        <f aca="false">BT122+BU114-BU118</f>
        <v>0</v>
      </c>
      <c r="BV122" s="158" t="n">
        <f aca="false">BU122+BV114-BV118</f>
        <v>0</v>
      </c>
      <c r="BW122" s="158" t="n">
        <f aca="false">BV122+BW114-BW118</f>
        <v>0</v>
      </c>
      <c r="BX122" s="158" t="n">
        <f aca="false">BW122+BX114-BX118</f>
        <v>0</v>
      </c>
      <c r="BY122" s="158" t="n">
        <f aca="false">BX122+BY114-BY118</f>
        <v>0</v>
      </c>
      <c r="BZ122" s="158" t="n">
        <f aca="false">BY122+BZ114-BZ118</f>
        <v>0</v>
      </c>
      <c r="CA122" s="158" t="n">
        <f aca="false">BZ122+CA114-CA118</f>
        <v>0</v>
      </c>
      <c r="CB122" s="158" t="n">
        <f aca="false">CA122+CB114-CB118</f>
        <v>0</v>
      </c>
      <c r="CC122" s="158" t="n">
        <f aca="false">CB122+CC114-CC118</f>
        <v>0</v>
      </c>
      <c r="CD122" s="158" t="n">
        <f aca="false">CC122+CD114-CD118</f>
        <v>0</v>
      </c>
      <c r="CE122" s="158" t="n">
        <f aca="false">CD122+CE114-CE118</f>
        <v>0</v>
      </c>
      <c r="CF122" s="158" t="n">
        <f aca="false">CE122+CF114-CF118</f>
        <v>0</v>
      </c>
      <c r="CG122" s="158" t="n">
        <f aca="false">CF122+CG114-CG118</f>
        <v>0</v>
      </c>
      <c r="CH122" s="158" t="n">
        <f aca="false">CG122+CH114-CH118</f>
        <v>0</v>
      </c>
      <c r="CI122" s="158" t="n">
        <f aca="false">CH122+CI114-CI118</f>
        <v>0</v>
      </c>
      <c r="CJ122" s="158" t="n">
        <f aca="false">CI122+CJ114-CJ118</f>
        <v>0</v>
      </c>
      <c r="CK122" s="158" t="n">
        <f aca="false">CJ122+CK114-CK118</f>
        <v>0</v>
      </c>
      <c r="CL122" s="158" t="n">
        <f aca="false">CK122+CL114-CL118</f>
        <v>0</v>
      </c>
      <c r="CM122" s="158" t="n">
        <f aca="false">CL122+CM114-CM118</f>
        <v>0</v>
      </c>
      <c r="CN122" s="158" t="n">
        <f aca="false">CM122+CN114-CN118</f>
        <v>0</v>
      </c>
      <c r="CO122" s="158" t="n">
        <f aca="false">CN122+CO114-CO118</f>
        <v>0</v>
      </c>
      <c r="CP122" s="158" t="n">
        <f aca="false">CO122+CP114-CP118</f>
        <v>0</v>
      </c>
      <c r="CQ122" s="158" t="n">
        <f aca="false">CP122+CQ114-CQ118</f>
        <v>0</v>
      </c>
      <c r="CR122" s="158" t="n">
        <f aca="false">CQ122+CR114-CR118</f>
        <v>0</v>
      </c>
      <c r="CS122" s="158" t="n">
        <f aca="false">CR122+CS114-CS118</f>
        <v>0</v>
      </c>
      <c r="CT122" s="158" t="n">
        <f aca="false">CS122+CT114-CT118</f>
        <v>0</v>
      </c>
      <c r="CU122" s="158" t="n">
        <f aca="false">CT122+CU114-CU118</f>
        <v>0</v>
      </c>
      <c r="CV122" s="158" t="n">
        <f aca="false">CU122+CV114-CV118</f>
        <v>0</v>
      </c>
      <c r="CW122" s="158" t="n">
        <f aca="false">CV122+CW114-CW118</f>
        <v>0</v>
      </c>
      <c r="CX122" s="158" t="n">
        <f aca="false">CW122+CX114-CX118</f>
        <v>0</v>
      </c>
      <c r="CY122" s="158" t="n">
        <f aca="false">CX122+CY114-CY118</f>
        <v>0</v>
      </c>
      <c r="CZ122" s="158" t="n">
        <f aca="false">CY122+CZ114-CZ118</f>
        <v>0</v>
      </c>
      <c r="DA122" s="158" t="n">
        <f aca="false">CZ122+DA114-DA118</f>
        <v>0</v>
      </c>
      <c r="DB122" s="158" t="n">
        <f aca="false">DA122+DB114-DB118</f>
        <v>0</v>
      </c>
      <c r="DC122" s="158" t="n">
        <f aca="false">DB122+DC114-DC118</f>
        <v>0</v>
      </c>
      <c r="DD122" s="158" t="n">
        <f aca="false">DC122+DD114-DD118</f>
        <v>0</v>
      </c>
      <c r="DE122" s="158" t="n">
        <f aca="false">DD122+DE114-DE118</f>
        <v>0</v>
      </c>
      <c r="DF122" s="158" t="n">
        <f aca="false">DE122+DF114-DF118</f>
        <v>0</v>
      </c>
      <c r="DG122" s="158" t="n">
        <f aca="false">DF122+DG114-DG118</f>
        <v>0</v>
      </c>
      <c r="DH122" s="158" t="n">
        <f aca="false">DG122+DH114-DH118</f>
        <v>0</v>
      </c>
      <c r="DI122" s="158" t="n">
        <f aca="false">DH122+DI114-DI118</f>
        <v>0</v>
      </c>
      <c r="DJ122" s="158" t="n">
        <f aca="false">DI122+DJ114-DJ118</f>
        <v>0</v>
      </c>
      <c r="DK122" s="158" t="n">
        <f aca="false">DJ122+DK114-DK118</f>
        <v>0</v>
      </c>
      <c r="DL122" s="158" t="n">
        <f aca="false">DK122+DL114-DL118</f>
        <v>0</v>
      </c>
      <c r="DM122" s="158" t="n">
        <f aca="false">DL122+DM114-DM118</f>
        <v>0</v>
      </c>
      <c r="DN122" s="158" t="n">
        <f aca="false">DM122+DN114-DN118</f>
        <v>0</v>
      </c>
      <c r="DO122" s="158" t="n">
        <f aca="false">DN122+DO114-DO118</f>
        <v>0</v>
      </c>
      <c r="DP122" s="158" t="n">
        <f aca="false">DO122+DP114-DP118</f>
        <v>0</v>
      </c>
      <c r="DQ122" s="158" t="n">
        <f aca="false">DP122+DQ114-DQ118</f>
        <v>0</v>
      </c>
      <c r="DR122" s="158" t="n">
        <f aca="false">DQ122+DR114-DR118</f>
        <v>0</v>
      </c>
      <c r="DS122" s="158" t="n">
        <f aca="false">DR122+DS114-DS118</f>
        <v>0</v>
      </c>
      <c r="DT122" s="158" t="n">
        <f aca="false">DS122+DT114-DT118</f>
        <v>0</v>
      </c>
      <c r="DU122" s="158" t="n">
        <f aca="false">DT122+DU114-DU118</f>
        <v>0</v>
      </c>
      <c r="DV122" s="158" t="n">
        <f aca="false">DU122+DV114-DV118</f>
        <v>0</v>
      </c>
      <c r="DW122" s="158" t="n">
        <f aca="false">DV122+DW114-DW118</f>
        <v>0</v>
      </c>
      <c r="DX122" s="158" t="n">
        <f aca="false">DW122+DX114-DX118</f>
        <v>0</v>
      </c>
      <c r="DY122" s="158" t="n">
        <f aca="false">DX122+DY114-DY118</f>
        <v>0</v>
      </c>
      <c r="DZ122" s="158" t="n">
        <f aca="false">DY122+DZ114-DZ118</f>
        <v>0</v>
      </c>
      <c r="EA122" s="158" t="n">
        <f aca="false">DZ122+EA114-EA118</f>
        <v>0</v>
      </c>
      <c r="EB122" s="158" t="n">
        <f aca="false">EA122+EB114-EB118</f>
        <v>0</v>
      </c>
      <c r="EC122" s="158" t="n">
        <f aca="false">EB122+EC114-EC118</f>
        <v>0</v>
      </c>
      <c r="ED122" s="158" t="n">
        <f aca="false">EC122+ED114-ED118</f>
        <v>0</v>
      </c>
      <c r="EE122" s="158" t="n">
        <f aca="false">ED122+EE114-EE118</f>
        <v>0</v>
      </c>
      <c r="EF122" s="158" t="n">
        <f aca="false">EE122+EF114-EF118</f>
        <v>0</v>
      </c>
    </row>
    <row r="123" customFormat="false" ht="15" hidden="false" customHeight="false" outlineLevel="0" collapsed="false">
      <c r="A123" s="112" t="s">
        <v>580</v>
      </c>
      <c r="B123" s="241" t="s">
        <v>116</v>
      </c>
      <c r="C123" s="242" t="n">
        <f aca="false">MAX(E123:EF123)</f>
        <v>164150.534063537</v>
      </c>
      <c r="E123" s="158" t="n">
        <f aca="false">0+E113-E119</f>
        <v>0</v>
      </c>
      <c r="F123" s="158" t="n">
        <f aca="false">E123+F113-F119</f>
        <v>0</v>
      </c>
      <c r="G123" s="158" t="n">
        <f aca="false">F123+G113-G119</f>
        <v>0</v>
      </c>
      <c r="H123" s="158" t="n">
        <f aca="false">G123+H113-H119</f>
        <v>0</v>
      </c>
      <c r="I123" s="158" t="n">
        <f aca="false">H123+I113-I119</f>
        <v>0</v>
      </c>
      <c r="J123" s="158" t="n">
        <f aca="false">I123+J113-J119</f>
        <v>0</v>
      </c>
      <c r="K123" s="158" t="n">
        <f aca="false">J123+K113-K119</f>
        <v>0</v>
      </c>
      <c r="L123" s="158" t="n">
        <f aca="false">K123+L113-L119</f>
        <v>0</v>
      </c>
      <c r="M123" s="158" t="n">
        <f aca="false">L123+M113-M119</f>
        <v>0</v>
      </c>
      <c r="N123" s="158" t="n">
        <f aca="false">M123+N113-N119</f>
        <v>0</v>
      </c>
      <c r="O123" s="158" t="n">
        <f aca="false">N123+O113-O119</f>
        <v>0</v>
      </c>
      <c r="P123" s="158" t="n">
        <f aca="false">O123+P113-P119</f>
        <v>0</v>
      </c>
      <c r="Q123" s="158" t="n">
        <f aca="false">P123+Q113-Q119</f>
        <v>0</v>
      </c>
      <c r="R123" s="158" t="n">
        <f aca="false">Q123+R113-R119</f>
        <v>0</v>
      </c>
      <c r="S123" s="158" t="n">
        <f aca="false">R123+S113-S119</f>
        <v>0</v>
      </c>
      <c r="T123" s="158" t="n">
        <f aca="false">S123+T113-T119</f>
        <v>0</v>
      </c>
      <c r="U123" s="158" t="n">
        <f aca="false">T123+U113-U119</f>
        <v>0</v>
      </c>
      <c r="V123" s="158" t="n">
        <f aca="false">U123+V113-V119</f>
        <v>0</v>
      </c>
      <c r="W123" s="158" t="n">
        <f aca="false">V123+W113-W119</f>
        <v>0</v>
      </c>
      <c r="X123" s="158" t="n">
        <f aca="false">W123+X113-X119</f>
        <v>0</v>
      </c>
      <c r="Y123" s="158" t="n">
        <f aca="false">X123+Y113-Y119</f>
        <v>0</v>
      </c>
      <c r="Z123" s="158" t="n">
        <f aca="false">Y123+Z113-Z119</f>
        <v>0</v>
      </c>
      <c r="AA123" s="158" t="n">
        <f aca="false">Z123+AA113-AA119</f>
        <v>0</v>
      </c>
      <c r="AB123" s="158" t="n">
        <f aca="false">AA123+AB113-AB119</f>
        <v>0</v>
      </c>
      <c r="AC123" s="158" t="n">
        <f aca="false">AB123+AC113-AC119</f>
        <v>0</v>
      </c>
      <c r="AD123" s="158" t="n">
        <f aca="false">AC123+AD113-AD119</f>
        <v>0</v>
      </c>
      <c r="AE123" s="158" t="n">
        <f aca="false">AD123+AE113-AE119</f>
        <v>0</v>
      </c>
      <c r="AF123" s="158" t="n">
        <f aca="false">AE123+AF113-AF119</f>
        <v>0</v>
      </c>
      <c r="AG123" s="158" t="n">
        <f aca="false">AF123+AG113-AG119</f>
        <v>0</v>
      </c>
      <c r="AH123" s="158" t="n">
        <f aca="false">AG123+AH113-AH119</f>
        <v>0</v>
      </c>
      <c r="AI123" s="158" t="n">
        <f aca="false">AH123+AI113-AI119</f>
        <v>994.866374604113</v>
      </c>
      <c r="AJ123" s="158" t="n">
        <f aca="false">AI123+AJ113-AJ119</f>
        <v>35075.0549442771</v>
      </c>
      <c r="AK123" s="158" t="n">
        <f aca="false">AJ123+AK113-AK119</f>
        <v>70832.407734752</v>
      </c>
      <c r="AL123" s="158" t="n">
        <f aca="false">AK123+AL113-AL119</f>
        <v>108087.919500056</v>
      </c>
      <c r="AM123" s="158" t="n">
        <f aca="false">AL123+AM113-AM119</f>
        <v>146654.351685118</v>
      </c>
      <c r="AN123" s="158" t="n">
        <f aca="false">AM123+AN113-AN119</f>
        <v>164150.534063537</v>
      </c>
      <c r="AO123" s="158" t="n">
        <f aca="false">AN123+AO113-AO119</f>
        <v>164150.534063537</v>
      </c>
      <c r="AP123" s="158" t="n">
        <f aca="false">AO123+AP113-AP119</f>
        <v>164150.534063537</v>
      </c>
      <c r="AQ123" s="158" t="n">
        <f aca="false">AP123+AQ113-AQ119</f>
        <v>164150.534063537</v>
      </c>
      <c r="AR123" s="158" t="n">
        <f aca="false">AQ123+AR113-AR119</f>
        <v>164150.534063537</v>
      </c>
      <c r="AS123" s="158" t="n">
        <f aca="false">AR123+AS113-AS119</f>
        <v>164150.534063537</v>
      </c>
      <c r="AT123" s="158" t="n">
        <f aca="false">AS123+AT113-AT119</f>
        <v>164150.534063537</v>
      </c>
      <c r="AU123" s="158" t="n">
        <f aca="false">AT123+AU113-AU119</f>
        <v>164150.534063537</v>
      </c>
      <c r="AV123" s="158" t="n">
        <f aca="false">AU123+AV113-AV119</f>
        <v>164150.534063537</v>
      </c>
      <c r="AW123" s="158" t="n">
        <f aca="false">AV123+AW113-AW119</f>
        <v>164150.534063537</v>
      </c>
      <c r="AX123" s="158" t="n">
        <f aca="false">AW123+AX113-AX119</f>
        <v>164150.534063537</v>
      </c>
      <c r="AY123" s="158" t="n">
        <f aca="false">AX123+AY113-AY119</f>
        <v>164150.534063537</v>
      </c>
      <c r="AZ123" s="158" t="n">
        <f aca="false">AY123+AZ113-AZ119</f>
        <v>164150.534063537</v>
      </c>
      <c r="BA123" s="158" t="n">
        <f aca="false">AZ123+BA113-BA119</f>
        <v>164150.534063537</v>
      </c>
      <c r="BB123" s="158" t="n">
        <f aca="false">BA123+BB113-BB119</f>
        <v>164150.534063537</v>
      </c>
      <c r="BC123" s="158" t="n">
        <f aca="false">BB123+BC113-BC119</f>
        <v>164150.534063537</v>
      </c>
      <c r="BD123" s="158" t="n">
        <f aca="false">BC123+BD113-BD119</f>
        <v>164150.534063537</v>
      </c>
      <c r="BE123" s="158" t="n">
        <f aca="false">BD123+BE113-BE119</f>
        <v>164150.534063537</v>
      </c>
      <c r="BF123" s="158" t="n">
        <f aca="false">BE123+BF113-BF119</f>
        <v>164150.534063537</v>
      </c>
      <c r="BG123" s="158" t="n">
        <f aca="false">BF123+BG113-BG119</f>
        <v>164150.534063537</v>
      </c>
      <c r="BH123" s="158" t="n">
        <f aca="false">BG123+BH113-BH119</f>
        <v>164150.534063537</v>
      </c>
      <c r="BI123" s="158" t="n">
        <f aca="false">BH123+BI113-BI119</f>
        <v>164150.534063537</v>
      </c>
      <c r="BJ123" s="158" t="n">
        <f aca="false">BI123+BJ113-BJ119</f>
        <v>164150.534063537</v>
      </c>
      <c r="BK123" s="158" t="n">
        <f aca="false">BJ123+BK113-BK119</f>
        <v>164150.534063537</v>
      </c>
      <c r="BL123" s="158" t="n">
        <f aca="false">BK123+BL113-BL119</f>
        <v>0</v>
      </c>
      <c r="BM123" s="158" t="n">
        <f aca="false">BL123+BM113-BM119</f>
        <v>0</v>
      </c>
      <c r="BN123" s="158" t="n">
        <f aca="false">BM123+BN113-BN119</f>
        <v>0</v>
      </c>
      <c r="BO123" s="158" t="n">
        <f aca="false">BN123+BO113-BO119</f>
        <v>0</v>
      </c>
      <c r="BP123" s="158" t="n">
        <f aca="false">BO123+BP113-BP119</f>
        <v>0</v>
      </c>
      <c r="BQ123" s="158" t="n">
        <f aca="false">BP123+BQ113-BQ119</f>
        <v>0</v>
      </c>
      <c r="BR123" s="158" t="n">
        <f aca="false">BQ123+BR113-BR119</f>
        <v>0</v>
      </c>
      <c r="BS123" s="158" t="n">
        <f aca="false">BR123+BS113-BS119</f>
        <v>0</v>
      </c>
      <c r="BT123" s="158" t="n">
        <f aca="false">BS123+BT113-BT119</f>
        <v>0</v>
      </c>
      <c r="BU123" s="158" t="n">
        <f aca="false">BT123+BU113-BU119</f>
        <v>0</v>
      </c>
      <c r="BV123" s="158" t="n">
        <f aca="false">BU123+BV113-BV119</f>
        <v>0</v>
      </c>
      <c r="BW123" s="158" t="n">
        <f aca="false">BV123+BW113-BW119</f>
        <v>0</v>
      </c>
      <c r="BX123" s="158" t="n">
        <f aca="false">BW123+BX113-BX119</f>
        <v>0</v>
      </c>
      <c r="BY123" s="158" t="n">
        <f aca="false">BX123+BY113-BY119</f>
        <v>0</v>
      </c>
      <c r="BZ123" s="158" t="n">
        <f aca="false">BY123+BZ113-BZ119</f>
        <v>0</v>
      </c>
      <c r="CA123" s="158" t="n">
        <f aca="false">BZ123+CA113-CA119</f>
        <v>0</v>
      </c>
      <c r="CB123" s="158" t="n">
        <f aca="false">CA123+CB113-CB119</f>
        <v>0</v>
      </c>
      <c r="CC123" s="158" t="n">
        <f aca="false">CB123+CC113-CC119</f>
        <v>0</v>
      </c>
      <c r="CD123" s="158" t="n">
        <f aca="false">CC123+CD113-CD119</f>
        <v>0</v>
      </c>
      <c r="CE123" s="158" t="n">
        <f aca="false">CD123+CE113-CE119</f>
        <v>0</v>
      </c>
      <c r="CF123" s="158" t="n">
        <f aca="false">CE123+CF113-CF119</f>
        <v>0</v>
      </c>
      <c r="CG123" s="158" t="n">
        <f aca="false">CF123+CG113-CG119</f>
        <v>0</v>
      </c>
      <c r="CH123" s="158" t="n">
        <f aca="false">CG123+CH113-CH119</f>
        <v>0</v>
      </c>
      <c r="CI123" s="158" t="n">
        <f aca="false">CH123+CI113-CI119</f>
        <v>0</v>
      </c>
      <c r="CJ123" s="158" t="n">
        <f aca="false">CI123+CJ113-CJ119</f>
        <v>0</v>
      </c>
      <c r="CK123" s="158" t="n">
        <f aca="false">CJ123+CK113-CK119</f>
        <v>0</v>
      </c>
      <c r="CL123" s="158" t="n">
        <f aca="false">CK123+CL113-CL119</f>
        <v>0</v>
      </c>
      <c r="CM123" s="158" t="n">
        <f aca="false">CL123+CM113-CM119</f>
        <v>0</v>
      </c>
      <c r="CN123" s="158" t="n">
        <f aca="false">CM123+CN113-CN119</f>
        <v>0</v>
      </c>
      <c r="CO123" s="158" t="n">
        <f aca="false">CN123+CO113-CO119</f>
        <v>0</v>
      </c>
      <c r="CP123" s="158" t="n">
        <f aca="false">CO123+CP113-CP119</f>
        <v>0</v>
      </c>
      <c r="CQ123" s="158" t="n">
        <f aca="false">CP123+CQ113-CQ119</f>
        <v>0</v>
      </c>
      <c r="CR123" s="158" t="n">
        <f aca="false">CQ123+CR113-CR119</f>
        <v>0</v>
      </c>
      <c r="CS123" s="158" t="n">
        <f aca="false">CR123+CS113-CS119</f>
        <v>0</v>
      </c>
      <c r="CT123" s="158" t="n">
        <f aca="false">CS123+CT113-CT119</f>
        <v>0</v>
      </c>
      <c r="CU123" s="158" t="n">
        <f aca="false">CT123+CU113-CU119</f>
        <v>0</v>
      </c>
      <c r="CV123" s="158" t="n">
        <f aca="false">CU123+CV113-CV119</f>
        <v>0</v>
      </c>
      <c r="CW123" s="158" t="n">
        <f aca="false">CV123+CW113-CW119</f>
        <v>0</v>
      </c>
      <c r="CX123" s="158" t="n">
        <f aca="false">CW123+CX113-CX119</f>
        <v>0</v>
      </c>
      <c r="CY123" s="158" t="n">
        <f aca="false">CX123+CY113-CY119</f>
        <v>0</v>
      </c>
      <c r="CZ123" s="158" t="n">
        <f aca="false">CY123+CZ113-CZ119</f>
        <v>0</v>
      </c>
      <c r="DA123" s="158" t="n">
        <f aca="false">CZ123+DA113-DA119</f>
        <v>0</v>
      </c>
      <c r="DB123" s="158" t="n">
        <f aca="false">DA123+DB113-DB119</f>
        <v>0</v>
      </c>
      <c r="DC123" s="158" t="n">
        <f aca="false">DB123+DC113-DC119</f>
        <v>0</v>
      </c>
      <c r="DD123" s="158" t="n">
        <f aca="false">DC123+DD113-DD119</f>
        <v>0</v>
      </c>
      <c r="DE123" s="158" t="n">
        <f aca="false">DD123+DE113-DE119</f>
        <v>0</v>
      </c>
      <c r="DF123" s="158" t="n">
        <f aca="false">DE123+DF113-DF119</f>
        <v>0</v>
      </c>
      <c r="DG123" s="158" t="n">
        <f aca="false">DF123+DG113-DG119</f>
        <v>0</v>
      </c>
      <c r="DH123" s="158" t="n">
        <f aca="false">DG123+DH113-DH119</f>
        <v>0</v>
      </c>
      <c r="DI123" s="158" t="n">
        <f aca="false">DH123+DI113-DI119</f>
        <v>0</v>
      </c>
      <c r="DJ123" s="158" t="n">
        <f aca="false">DI123+DJ113-DJ119</f>
        <v>0</v>
      </c>
      <c r="DK123" s="158" t="n">
        <f aca="false">DJ123+DK113-DK119</f>
        <v>0</v>
      </c>
      <c r="DL123" s="158" t="n">
        <f aca="false">DK123+DL113-DL119</f>
        <v>0</v>
      </c>
      <c r="DM123" s="158" t="n">
        <f aca="false">DL123+DM113-DM119</f>
        <v>0</v>
      </c>
      <c r="DN123" s="158" t="n">
        <f aca="false">DM123+DN113-DN119</f>
        <v>0</v>
      </c>
      <c r="DO123" s="158" t="n">
        <f aca="false">DN123+DO113-DO119</f>
        <v>0</v>
      </c>
      <c r="DP123" s="158" t="n">
        <f aca="false">DO123+DP113-DP119</f>
        <v>0</v>
      </c>
      <c r="DQ123" s="158" t="n">
        <f aca="false">DP123+DQ113-DQ119</f>
        <v>0</v>
      </c>
      <c r="DR123" s="158" t="n">
        <f aca="false">DQ123+DR113-DR119</f>
        <v>0</v>
      </c>
      <c r="DS123" s="158" t="n">
        <f aca="false">DR123+DS113-DS119</f>
        <v>0</v>
      </c>
      <c r="DT123" s="158" t="n">
        <f aca="false">DS123+DT113-DT119</f>
        <v>0</v>
      </c>
      <c r="DU123" s="158" t="n">
        <f aca="false">DT123+DU113-DU119</f>
        <v>0</v>
      </c>
      <c r="DV123" s="158" t="n">
        <f aca="false">DU123+DV113-DV119</f>
        <v>0</v>
      </c>
      <c r="DW123" s="158" t="n">
        <f aca="false">DV123+DW113-DW119</f>
        <v>0</v>
      </c>
      <c r="DX123" s="158" t="n">
        <f aca="false">DW123+DX113-DX119</f>
        <v>0</v>
      </c>
      <c r="DY123" s="158" t="n">
        <f aca="false">DX123+DY113-DY119</f>
        <v>0</v>
      </c>
      <c r="DZ123" s="158" t="n">
        <f aca="false">DY123+DZ113-DZ119</f>
        <v>0</v>
      </c>
      <c r="EA123" s="158" t="n">
        <f aca="false">DZ123+EA113-EA119</f>
        <v>0</v>
      </c>
      <c r="EB123" s="158" t="n">
        <f aca="false">EA123+EB113-EB119</f>
        <v>0</v>
      </c>
      <c r="EC123" s="158" t="n">
        <f aca="false">EB123+EC113-EC119</f>
        <v>0</v>
      </c>
      <c r="ED123" s="158" t="n">
        <f aca="false">EC123+ED113-ED119</f>
        <v>0</v>
      </c>
      <c r="EE123" s="158" t="n">
        <f aca="false">ED123+EE113-EE119</f>
        <v>0</v>
      </c>
      <c r="EF123" s="158" t="n">
        <f aca="false">EE123+EF113-EF119</f>
        <v>0</v>
      </c>
    </row>
    <row r="124" customFormat="false" ht="15" hidden="false" customHeight="false" outlineLevel="0" collapsed="false">
      <c r="A124" s="247" t="s">
        <v>581</v>
      </c>
      <c r="B124" s="244" t="s">
        <v>116</v>
      </c>
      <c r="C124" s="249" t="n">
        <f aca="false">MAX(E124:EF124)</f>
        <v>632619.287228062</v>
      </c>
      <c r="D124" s="13"/>
      <c r="E124" s="246" t="n">
        <f aca="false">E121+E122+E123</f>
        <v>0</v>
      </c>
      <c r="F124" s="246" t="n">
        <f aca="false">F121+F122+F123</f>
        <v>0</v>
      </c>
      <c r="G124" s="246" t="n">
        <f aca="false">G121+G122+G123</f>
        <v>0</v>
      </c>
      <c r="H124" s="246" t="n">
        <f aca="false">H121+H122+H123</f>
        <v>0</v>
      </c>
      <c r="I124" s="246" t="n">
        <f aca="false">I121+I122+I123</f>
        <v>0</v>
      </c>
      <c r="J124" s="246" t="n">
        <f aca="false">J121+J122+J123</f>
        <v>0</v>
      </c>
      <c r="K124" s="246" t="n">
        <f aca="false">K121+K122+K123</f>
        <v>0</v>
      </c>
      <c r="L124" s="246" t="n">
        <f aca="false">L121+L122+L123</f>
        <v>0</v>
      </c>
      <c r="M124" s="246" t="n">
        <f aca="false">M121+M122+M123</f>
        <v>0</v>
      </c>
      <c r="N124" s="246" t="n">
        <f aca="false">N121+N122+N123</f>
        <v>0</v>
      </c>
      <c r="O124" s="246" t="n">
        <f aca="false">O121+O122+O123</f>
        <v>0</v>
      </c>
      <c r="P124" s="246" t="n">
        <f aca="false">P121+P122+P123</f>
        <v>0</v>
      </c>
      <c r="Q124" s="246" t="n">
        <f aca="false">Q121+Q122+Q123</f>
        <v>0</v>
      </c>
      <c r="R124" s="246" t="n">
        <f aca="false">R121+R122+R123</f>
        <v>0</v>
      </c>
      <c r="S124" s="246" t="n">
        <f aca="false">S121+S122+S123</f>
        <v>0</v>
      </c>
      <c r="T124" s="246" t="n">
        <f aca="false">T121+T122+T123</f>
        <v>0</v>
      </c>
      <c r="U124" s="246" t="n">
        <f aca="false">U121+U122+U123</f>
        <v>0</v>
      </c>
      <c r="V124" s="246" t="n">
        <f aca="false">V121+V122+V123</f>
        <v>0</v>
      </c>
      <c r="W124" s="246" t="n">
        <f aca="false">W121+W122+W123</f>
        <v>0</v>
      </c>
      <c r="X124" s="246" t="n">
        <f aca="false">X121+X122+X123</f>
        <v>0</v>
      </c>
      <c r="Y124" s="246" t="n">
        <f aca="false">Y121+Y122+Y123</f>
        <v>0</v>
      </c>
      <c r="Z124" s="246" t="n">
        <f aca="false">Z121+Z122+Z123</f>
        <v>0</v>
      </c>
      <c r="AA124" s="246" t="n">
        <f aca="false">AA121+AA122+AA123</f>
        <v>0</v>
      </c>
      <c r="AB124" s="246" t="n">
        <f aca="false">AB121+AB122+AB123</f>
        <v>0</v>
      </c>
      <c r="AC124" s="246" t="n">
        <f aca="false">AC121+AC122+AC123</f>
        <v>0</v>
      </c>
      <c r="AD124" s="246" t="n">
        <f aca="false">AD121+AD122+AD123</f>
        <v>0</v>
      </c>
      <c r="AE124" s="246" t="n">
        <f aca="false">AE121+AE122+AE123</f>
        <v>0</v>
      </c>
      <c r="AF124" s="246" t="n">
        <f aca="false">AF121+AF122+AF123</f>
        <v>0</v>
      </c>
      <c r="AG124" s="246" t="n">
        <f aca="false">AG121+AG122+AG123</f>
        <v>0</v>
      </c>
      <c r="AH124" s="246" t="n">
        <f aca="false">AH121+AH122+AH123</f>
        <v>0</v>
      </c>
      <c r="AI124" s="246" t="n">
        <f aca="false">AI121+AI122+AI123</f>
        <v>994.866374604113</v>
      </c>
      <c r="AJ124" s="246" t="n">
        <f aca="false">AJ121+AJ122+AJ123</f>
        <v>35075.0549442771</v>
      </c>
      <c r="AK124" s="246" t="n">
        <f aca="false">AK121+AK122+AK123</f>
        <v>70832.407734752</v>
      </c>
      <c r="AL124" s="246" t="n">
        <f aca="false">AL121+AL122+AL123</f>
        <v>108087.919500056</v>
      </c>
      <c r="AM124" s="246" t="n">
        <f aca="false">AM121+AM122+AM123</f>
        <v>146654.351685118</v>
      </c>
      <c r="AN124" s="246" t="n">
        <f aca="false">AN121+AN122+AN123</f>
        <v>186337.280542655</v>
      </c>
      <c r="AO124" s="246" t="n">
        <f aca="false">AO121+AO122+AO123</f>
        <v>186337.280542655</v>
      </c>
      <c r="AP124" s="246" t="n">
        <f aca="false">AP121+AP122+AP123</f>
        <v>186337.280542655</v>
      </c>
      <c r="AQ124" s="246" t="n">
        <f aca="false">AQ121+AQ122+AQ123</f>
        <v>186337.280542655</v>
      </c>
      <c r="AR124" s="246" t="n">
        <f aca="false">AR121+AR122+AR123</f>
        <v>213811.428089316</v>
      </c>
      <c r="AS124" s="246" t="n">
        <f aca="false">AS121+AS122+AS123</f>
        <v>254967.958226863</v>
      </c>
      <c r="AT124" s="246" t="n">
        <f aca="false">AT121+AT122+AT123</f>
        <v>295928.036864171</v>
      </c>
      <c r="AU124" s="246" t="n">
        <f aca="false">AU121+AU122+AU123</f>
        <v>336478.720165696</v>
      </c>
      <c r="AV124" s="246" t="n">
        <f aca="false">AV121+AV122+AV123</f>
        <v>376404.070022278</v>
      </c>
      <c r="AW124" s="246" t="n">
        <f aca="false">AW121+AW122+AW123</f>
        <v>415475.810164762</v>
      </c>
      <c r="AX124" s="246" t="n">
        <f aca="false">AX121+AX122+AX123</f>
        <v>453492.071723263</v>
      </c>
      <c r="AY124" s="246" t="n">
        <f aca="false">AY121+AY122+AY123</f>
        <v>490256.971673029</v>
      </c>
      <c r="AZ124" s="246" t="n">
        <f aca="false">AZ121+AZ122+AZ123</f>
        <v>525581.708707675</v>
      </c>
      <c r="BA124" s="246" t="n">
        <f aca="false">BA121+BA122+BA123</f>
        <v>525581.708707675</v>
      </c>
      <c r="BB124" s="246" t="n">
        <f aca="false">BB121+BB122+BB123</f>
        <v>525581.708707675</v>
      </c>
      <c r="BC124" s="246" t="n">
        <f aca="false">BC121+BC122+BC123</f>
        <v>525581.708707675</v>
      </c>
      <c r="BD124" s="246" t="n">
        <f aca="false">BD121+BD122+BD123</f>
        <v>525581.708707675</v>
      </c>
      <c r="BE124" s="246" t="n">
        <f aca="false">BE121+BE122+BE123</f>
        <v>536335.203783397</v>
      </c>
      <c r="BF124" s="246" t="n">
        <f aca="false">BF121+BF122+BF123</f>
        <v>558886.181526338</v>
      </c>
      <c r="BG124" s="246" t="n">
        <f aca="false">BG121+BG122+BG123</f>
        <v>578952.523772692</v>
      </c>
      <c r="BH124" s="246" t="n">
        <f aca="false">BH121+BH122+BH123</f>
        <v>596435.594987948</v>
      </c>
      <c r="BI124" s="246" t="n">
        <f aca="false">BI121+BI122+BI123</f>
        <v>611251.274255026</v>
      </c>
      <c r="BJ124" s="246" t="n">
        <f aca="false">BJ121+BJ122+BJ123</f>
        <v>623330.426052158</v>
      </c>
      <c r="BK124" s="246" t="n">
        <f aca="false">BK121+BK122+BK123</f>
        <v>632619.287228062</v>
      </c>
      <c r="BL124" s="246" t="n">
        <f aca="false">BL121+BL122+BL123</f>
        <v>0</v>
      </c>
      <c r="BM124" s="246" t="n">
        <f aca="false">BM121+BM122+BM123</f>
        <v>0</v>
      </c>
      <c r="BN124" s="246" t="n">
        <f aca="false">BN121+BN122+BN123</f>
        <v>0</v>
      </c>
      <c r="BO124" s="246" t="n">
        <f aca="false">BO121+BO122+BO123</f>
        <v>0</v>
      </c>
      <c r="BP124" s="246" t="n">
        <f aca="false">BP121+BP122+BP123</f>
        <v>0</v>
      </c>
      <c r="BQ124" s="246" t="n">
        <f aca="false">BQ121+BQ122+BQ123</f>
        <v>0</v>
      </c>
      <c r="BR124" s="246" t="n">
        <f aca="false">BR121+BR122+BR123</f>
        <v>0</v>
      </c>
      <c r="BS124" s="246" t="n">
        <f aca="false">BS121+BS122+BS123</f>
        <v>0</v>
      </c>
      <c r="BT124" s="246" t="n">
        <f aca="false">BT121+BT122+BT123</f>
        <v>0</v>
      </c>
      <c r="BU124" s="246" t="n">
        <f aca="false">BU121+BU122+BU123</f>
        <v>0</v>
      </c>
      <c r="BV124" s="246" t="n">
        <f aca="false">BV121+BV122+BV123</f>
        <v>0</v>
      </c>
      <c r="BW124" s="246" t="n">
        <f aca="false">BW121+BW122+BW123</f>
        <v>0</v>
      </c>
      <c r="BX124" s="246" t="n">
        <f aca="false">BX121+BX122+BX123</f>
        <v>0</v>
      </c>
      <c r="BY124" s="246" t="n">
        <f aca="false">BY121+BY122+BY123</f>
        <v>0</v>
      </c>
      <c r="BZ124" s="246" t="n">
        <f aca="false">BZ121+BZ122+BZ123</f>
        <v>0</v>
      </c>
      <c r="CA124" s="246" t="n">
        <f aca="false">CA121+CA122+CA123</f>
        <v>0</v>
      </c>
      <c r="CB124" s="246" t="n">
        <f aca="false">CB121+CB122+CB123</f>
        <v>0</v>
      </c>
      <c r="CC124" s="246" t="n">
        <f aca="false">CC121+CC122+CC123</f>
        <v>0</v>
      </c>
      <c r="CD124" s="246" t="n">
        <f aca="false">CD121+CD122+CD123</f>
        <v>0</v>
      </c>
      <c r="CE124" s="246" t="n">
        <f aca="false">CE121+CE122+CE123</f>
        <v>0</v>
      </c>
      <c r="CF124" s="246" t="n">
        <f aca="false">CF121+CF122+CF123</f>
        <v>0</v>
      </c>
      <c r="CG124" s="246" t="n">
        <f aca="false">CG121+CG122+CG123</f>
        <v>0</v>
      </c>
      <c r="CH124" s="246" t="n">
        <f aca="false">CH121+CH122+CH123</f>
        <v>0</v>
      </c>
      <c r="CI124" s="246" t="n">
        <f aca="false">CI121+CI122+CI123</f>
        <v>0</v>
      </c>
      <c r="CJ124" s="246" t="n">
        <f aca="false">CJ121+CJ122+CJ123</f>
        <v>0</v>
      </c>
      <c r="CK124" s="246" t="n">
        <f aca="false">CK121+CK122+CK123</f>
        <v>0</v>
      </c>
      <c r="CL124" s="246" t="n">
        <f aca="false">CL121+CL122+CL123</f>
        <v>0</v>
      </c>
      <c r="CM124" s="246" t="n">
        <f aca="false">CM121+CM122+CM123</f>
        <v>0</v>
      </c>
      <c r="CN124" s="246" t="n">
        <f aca="false">CN121+CN122+CN123</f>
        <v>0</v>
      </c>
      <c r="CO124" s="246" t="n">
        <f aca="false">CO121+CO122+CO123</f>
        <v>0</v>
      </c>
      <c r="CP124" s="246" t="n">
        <f aca="false">CP121+CP122+CP123</f>
        <v>0</v>
      </c>
      <c r="CQ124" s="246" t="n">
        <f aca="false">CQ121+CQ122+CQ123</f>
        <v>0</v>
      </c>
      <c r="CR124" s="246" t="n">
        <f aca="false">CR121+CR122+CR123</f>
        <v>0</v>
      </c>
      <c r="CS124" s="246" t="n">
        <f aca="false">CS121+CS122+CS123</f>
        <v>0</v>
      </c>
      <c r="CT124" s="246" t="n">
        <f aca="false">CT121+CT122+CT123</f>
        <v>0</v>
      </c>
      <c r="CU124" s="246" t="n">
        <f aca="false">CU121+CU122+CU123</f>
        <v>0</v>
      </c>
      <c r="CV124" s="246" t="n">
        <f aca="false">CV121+CV122+CV123</f>
        <v>0</v>
      </c>
      <c r="CW124" s="246" t="n">
        <f aca="false">CW121+CW122+CW123</f>
        <v>0</v>
      </c>
      <c r="CX124" s="246" t="n">
        <f aca="false">CX121+CX122+CX123</f>
        <v>0</v>
      </c>
      <c r="CY124" s="246" t="n">
        <f aca="false">CY121+CY122+CY123</f>
        <v>0</v>
      </c>
      <c r="CZ124" s="246" t="n">
        <f aca="false">CZ121+CZ122+CZ123</f>
        <v>0</v>
      </c>
      <c r="DA124" s="246" t="n">
        <f aca="false">DA121+DA122+DA123</f>
        <v>0</v>
      </c>
      <c r="DB124" s="246" t="n">
        <f aca="false">DB121+DB122+DB123</f>
        <v>0</v>
      </c>
      <c r="DC124" s="246" t="n">
        <f aca="false">DC121+DC122+DC123</f>
        <v>0</v>
      </c>
      <c r="DD124" s="246" t="n">
        <f aca="false">DD121+DD122+DD123</f>
        <v>0</v>
      </c>
      <c r="DE124" s="246" t="n">
        <f aca="false">DE121+DE122+DE123</f>
        <v>0</v>
      </c>
      <c r="DF124" s="246" t="n">
        <f aca="false">DF121+DF122+DF123</f>
        <v>0</v>
      </c>
      <c r="DG124" s="246" t="n">
        <f aca="false">DG121+DG122+DG123</f>
        <v>0</v>
      </c>
      <c r="DH124" s="246" t="n">
        <f aca="false">DH121+DH122+DH123</f>
        <v>0</v>
      </c>
      <c r="DI124" s="246" t="n">
        <f aca="false">DI121+DI122+DI123</f>
        <v>0</v>
      </c>
      <c r="DJ124" s="246" t="n">
        <f aca="false">DJ121+DJ122+DJ123</f>
        <v>0</v>
      </c>
      <c r="DK124" s="246" t="n">
        <f aca="false">DK121+DK122+DK123</f>
        <v>0</v>
      </c>
      <c r="DL124" s="246" t="n">
        <f aca="false">DL121+DL122+DL123</f>
        <v>0</v>
      </c>
      <c r="DM124" s="246" t="n">
        <f aca="false">DM121+DM122+DM123</f>
        <v>0</v>
      </c>
      <c r="DN124" s="246" t="n">
        <f aca="false">DN121+DN122+DN123</f>
        <v>0</v>
      </c>
      <c r="DO124" s="246" t="n">
        <f aca="false">DO121+DO122+DO123</f>
        <v>0</v>
      </c>
      <c r="DP124" s="246" t="n">
        <f aca="false">DP121+DP122+DP123</f>
        <v>0</v>
      </c>
      <c r="DQ124" s="246" t="n">
        <f aca="false">DQ121+DQ122+DQ123</f>
        <v>0</v>
      </c>
      <c r="DR124" s="246" t="n">
        <f aca="false">DR121+DR122+DR123</f>
        <v>0</v>
      </c>
      <c r="DS124" s="246" t="n">
        <f aca="false">DS121+DS122+DS123</f>
        <v>0</v>
      </c>
      <c r="DT124" s="246" t="n">
        <f aca="false">DT121+DT122+DT123</f>
        <v>0</v>
      </c>
      <c r="DU124" s="246" t="n">
        <f aca="false">DU121+DU122+DU123</f>
        <v>0</v>
      </c>
      <c r="DV124" s="246" t="n">
        <f aca="false">DV121+DV122+DV123</f>
        <v>0</v>
      </c>
      <c r="DW124" s="246" t="n">
        <f aca="false">DW121+DW122+DW123</f>
        <v>0</v>
      </c>
      <c r="DX124" s="246" t="n">
        <f aca="false">DX121+DX122+DX123</f>
        <v>0</v>
      </c>
      <c r="DY124" s="246" t="n">
        <f aca="false">DY121+DY122+DY123</f>
        <v>0</v>
      </c>
      <c r="DZ124" s="246" t="n">
        <f aca="false">DZ121+DZ122+DZ123</f>
        <v>0</v>
      </c>
      <c r="EA124" s="246" t="n">
        <f aca="false">EA121+EA122+EA123</f>
        <v>0</v>
      </c>
      <c r="EB124" s="246" t="n">
        <f aca="false">EB121+EB122+EB123</f>
        <v>0</v>
      </c>
      <c r="EC124" s="246" t="n">
        <f aca="false">EC121+EC122+EC123</f>
        <v>0</v>
      </c>
      <c r="ED124" s="246" t="n">
        <f aca="false">ED121+ED122+ED123</f>
        <v>0</v>
      </c>
      <c r="EE124" s="246" t="n">
        <f aca="false">EE121+EE122+EE123</f>
        <v>0</v>
      </c>
      <c r="EF124" s="246" t="n">
        <f aca="false">EF121+EF122+EF123</f>
        <v>0</v>
      </c>
    </row>
    <row r="126" customFormat="false" ht="15" hidden="false" customHeight="false" outlineLevel="0" collapsed="false">
      <c r="A126" s="176" t="s">
        <v>417</v>
      </c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</row>
    <row r="127" customFormat="false" ht="15" hidden="false" customHeight="false" outlineLevel="0" collapsed="false">
      <c r="A127" s="35" t="s">
        <v>582</v>
      </c>
      <c r="B127" s="241" t="s">
        <v>116</v>
      </c>
      <c r="C127" s="242" t="n">
        <f aca="false">SUM(E127:EF127)</f>
        <v>759668.28</v>
      </c>
      <c r="E127" s="158" t="n">
        <f aca="false">IF(E6=Assumption!$E$16,Assumption!$E$520,0)</f>
        <v>0</v>
      </c>
      <c r="F127" s="158" t="n">
        <f aca="false">IF(F6=Assumption!$E$16,Assumption!$E$520,0)</f>
        <v>0</v>
      </c>
      <c r="G127" s="158" t="n">
        <f aca="false">IF(G6=Assumption!$E$16,Assumption!$E$520,0)</f>
        <v>0</v>
      </c>
      <c r="H127" s="158" t="n">
        <f aca="false">IF(H6=Assumption!$E$16,Assumption!$E$520,0)</f>
        <v>0</v>
      </c>
      <c r="I127" s="158" t="n">
        <f aca="false">IF(I6=Assumption!$E$16,Assumption!$E$520,0)</f>
        <v>0</v>
      </c>
      <c r="J127" s="158" t="n">
        <f aca="false">IF(J6=Assumption!$E$16,Assumption!$E$520,0)</f>
        <v>0</v>
      </c>
      <c r="K127" s="158" t="n">
        <f aca="false">IF(K6=Assumption!$E$16,Assumption!$E$520,0)</f>
        <v>0</v>
      </c>
      <c r="L127" s="158" t="n">
        <f aca="false">IF(L6=Assumption!$E$16,Assumption!$E$520,0)</f>
        <v>0</v>
      </c>
      <c r="M127" s="158" t="n">
        <f aca="false">IF(M6=Assumption!$E$16,Assumption!$E$520,0)</f>
        <v>0</v>
      </c>
      <c r="N127" s="158" t="n">
        <f aca="false">IF(N6=Assumption!$E$16,Assumption!$E$520,0)</f>
        <v>0</v>
      </c>
      <c r="O127" s="158" t="n">
        <f aca="false">IF(O6=Assumption!$E$16,Assumption!$E$520,0)</f>
        <v>0</v>
      </c>
      <c r="P127" s="158" t="n">
        <f aca="false">IF(P6=Assumption!$E$16,Assumption!$E$520,0)</f>
        <v>0</v>
      </c>
      <c r="Q127" s="158" t="n">
        <f aca="false">IF(Q6=Assumption!$E$16,Assumption!$E$520,0)</f>
        <v>0</v>
      </c>
      <c r="R127" s="158" t="n">
        <f aca="false">IF(R6=Assumption!$E$16,Assumption!$E$520,0)</f>
        <v>0</v>
      </c>
      <c r="S127" s="158" t="n">
        <f aca="false">IF(S6=Assumption!$E$16,Assumption!$E$520,0)</f>
        <v>0</v>
      </c>
      <c r="T127" s="158" t="n">
        <f aca="false">IF(T6=Assumption!$E$16,Assumption!$E$520,0)</f>
        <v>0</v>
      </c>
      <c r="U127" s="158" t="n">
        <f aca="false">IF(U6=Assumption!$E$16,Assumption!$E$520,0)</f>
        <v>0</v>
      </c>
      <c r="V127" s="158" t="n">
        <f aca="false">IF(V6=Assumption!$E$16,Assumption!$E$520,0)</f>
        <v>0</v>
      </c>
      <c r="W127" s="158" t="n">
        <f aca="false">IF(W6=Assumption!$E$16,Assumption!$E$520,0)</f>
        <v>0</v>
      </c>
      <c r="X127" s="158" t="n">
        <f aca="false">IF(X6=Assumption!$E$16,Assumption!$E$520,0)</f>
        <v>0</v>
      </c>
      <c r="Y127" s="158" t="n">
        <f aca="false">IF(Y6=Assumption!$E$16,Assumption!$E$520,0)</f>
        <v>0</v>
      </c>
      <c r="Z127" s="158" t="n">
        <f aca="false">IF(Z6=Assumption!$E$16,Assumption!$E$520,0)</f>
        <v>0</v>
      </c>
      <c r="AA127" s="158" t="n">
        <f aca="false">IF(AA6=Assumption!$E$16,Assumption!$E$520,0)</f>
        <v>0</v>
      </c>
      <c r="AB127" s="158" t="n">
        <f aca="false">IF(AB6=Assumption!$E$16,Assumption!$E$520,0)</f>
        <v>0</v>
      </c>
      <c r="AC127" s="158" t="n">
        <f aca="false">IF(AC6=Assumption!$E$16,Assumption!$E$520,0)</f>
        <v>0</v>
      </c>
      <c r="AD127" s="158" t="n">
        <f aca="false">IF(AD6=Assumption!$E$16,Assumption!$E$520,0)</f>
        <v>0</v>
      </c>
      <c r="AE127" s="158" t="n">
        <f aca="false">IF(AE6=Assumption!$E$16,Assumption!$E$520,0)</f>
        <v>0</v>
      </c>
      <c r="AF127" s="158" t="n">
        <f aca="false">IF(AF6=Assumption!$E$16,Assumption!$E$520,0)</f>
        <v>0</v>
      </c>
      <c r="AG127" s="158" t="n">
        <f aca="false">IF(AG6=Assumption!$E$16,Assumption!$E$520,0)</f>
        <v>0</v>
      </c>
      <c r="AH127" s="158" t="n">
        <f aca="false">IF(AH6=Assumption!$E$16,Assumption!$E$520,0)</f>
        <v>0</v>
      </c>
      <c r="AI127" s="158" t="n">
        <f aca="false">IF(AI6=Assumption!$E$16,Assumption!$E$520,0)</f>
        <v>0</v>
      </c>
      <c r="AJ127" s="158" t="n">
        <f aca="false">IF(AJ6=Assumption!$E$16,Assumption!$E$520,0)</f>
        <v>0</v>
      </c>
      <c r="AK127" s="158" t="n">
        <f aca="false">IF(AK6=Assumption!$E$16,Assumption!$E$520,0)</f>
        <v>0</v>
      </c>
      <c r="AL127" s="158" t="n">
        <f aca="false">IF(AL6=Assumption!$E$16,Assumption!$E$520,0)</f>
        <v>0</v>
      </c>
      <c r="AM127" s="158" t="n">
        <f aca="false">IF(AM6=Assumption!$E$16,Assumption!$E$520,0)</f>
        <v>0</v>
      </c>
      <c r="AN127" s="158" t="n">
        <f aca="false">IF(AN6=Assumption!$E$16,Assumption!$E$520,0)</f>
        <v>0</v>
      </c>
      <c r="AO127" s="158" t="n">
        <f aca="false">IF(AO6=Assumption!$E$16,Assumption!$E$520,0)</f>
        <v>0</v>
      </c>
      <c r="AP127" s="158" t="n">
        <f aca="false">IF(AP6=Assumption!$E$16,Assumption!$E$520,0)</f>
        <v>0</v>
      </c>
      <c r="AQ127" s="158" t="n">
        <f aca="false">IF(AQ6=Assumption!$E$16,Assumption!$E$520,0)</f>
        <v>0</v>
      </c>
      <c r="AR127" s="158" t="n">
        <f aca="false">IF(AR6=Assumption!$E$16,Assumption!$E$520,0)</f>
        <v>0</v>
      </c>
      <c r="AS127" s="158" t="n">
        <f aca="false">IF(AS6=Assumption!$E$16,Assumption!$E$520,0)</f>
        <v>0</v>
      </c>
      <c r="AT127" s="158" t="n">
        <f aca="false">IF(AT6=Assumption!$E$16,Assumption!$E$520,0)</f>
        <v>0</v>
      </c>
      <c r="AU127" s="158" t="n">
        <f aca="false">IF(AU6=Assumption!$E$16,Assumption!$E$520,0)</f>
        <v>0</v>
      </c>
      <c r="AV127" s="158" t="n">
        <f aca="false">IF(AV6=Assumption!$E$16,Assumption!$E$520,0)</f>
        <v>0</v>
      </c>
      <c r="AW127" s="158" t="n">
        <f aca="false">IF(AW6=Assumption!$E$16,Assumption!$E$520,0)</f>
        <v>0</v>
      </c>
      <c r="AX127" s="158" t="n">
        <f aca="false">IF(AX6=Assumption!$E$16,Assumption!$E$520,0)</f>
        <v>0</v>
      </c>
      <c r="AY127" s="158" t="n">
        <f aca="false">IF(AY6=Assumption!$E$16,Assumption!$E$520,0)</f>
        <v>0</v>
      </c>
      <c r="AZ127" s="158" t="n">
        <f aca="false">IF(AZ6=Assumption!$E$16,Assumption!$E$520,0)</f>
        <v>0</v>
      </c>
      <c r="BA127" s="158" t="n">
        <f aca="false">IF(BA6=Assumption!$E$16,Assumption!$E$520,0)</f>
        <v>0</v>
      </c>
      <c r="BB127" s="158" t="n">
        <f aca="false">IF(BB6=Assumption!$E$16,Assumption!$E$520,0)</f>
        <v>0</v>
      </c>
      <c r="BC127" s="158" t="n">
        <f aca="false">IF(BC6=Assumption!$E$16,Assumption!$E$520,0)</f>
        <v>0</v>
      </c>
      <c r="BD127" s="158" t="n">
        <f aca="false">IF(BD6=Assumption!$E$16,Assumption!$E$520,0)</f>
        <v>0</v>
      </c>
      <c r="BE127" s="158" t="n">
        <f aca="false">IF(BE6=Assumption!$E$16,Assumption!$E$520,0)</f>
        <v>0</v>
      </c>
      <c r="BF127" s="158" t="n">
        <f aca="false">IF(BF6=Assumption!$E$16,Assumption!$E$520,0)</f>
        <v>0</v>
      </c>
      <c r="BG127" s="158" t="n">
        <f aca="false">IF(BG6=Assumption!$E$16,Assumption!$E$520,0)</f>
        <v>0</v>
      </c>
      <c r="BH127" s="158" t="n">
        <f aca="false">IF(BH6=Assumption!$E$16,Assumption!$E$520,0)</f>
        <v>0</v>
      </c>
      <c r="BI127" s="158" t="n">
        <f aca="false">IF(BI6=Assumption!$E$16,Assumption!$E$520,0)</f>
        <v>0</v>
      </c>
      <c r="BJ127" s="158" t="n">
        <f aca="false">IF(BJ6=Assumption!$E$16,Assumption!$E$520,0)</f>
        <v>0</v>
      </c>
      <c r="BK127" s="158" t="n">
        <f aca="false">IF(BK6=Assumption!$E$16,Assumption!$E$520,0)</f>
        <v>0</v>
      </c>
      <c r="BL127" s="158" t="n">
        <f aca="false">IF(BL6=Assumption!$E$16,Assumption!$E$520,0)</f>
        <v>759668.28</v>
      </c>
      <c r="BM127" s="158" t="n">
        <f aca="false">IF(BM6=Assumption!$E$16,Assumption!$E$520,0)</f>
        <v>0</v>
      </c>
      <c r="BN127" s="158" t="n">
        <f aca="false">IF(BN6=Assumption!$E$16,Assumption!$E$520,0)</f>
        <v>0</v>
      </c>
      <c r="BO127" s="158" t="n">
        <f aca="false">IF(BO6=Assumption!$E$16,Assumption!$E$520,0)</f>
        <v>0</v>
      </c>
      <c r="BP127" s="158" t="n">
        <f aca="false">IF(BP6=Assumption!$E$16,Assumption!$E$520,0)</f>
        <v>0</v>
      </c>
      <c r="BQ127" s="158" t="n">
        <f aca="false">IF(BQ6=Assumption!$E$16,Assumption!$E$520,0)</f>
        <v>0</v>
      </c>
      <c r="BR127" s="158" t="n">
        <f aca="false">IF(BR6=Assumption!$E$16,Assumption!$E$520,0)</f>
        <v>0</v>
      </c>
      <c r="BS127" s="158" t="n">
        <f aca="false">IF(BS6=Assumption!$E$16,Assumption!$E$520,0)</f>
        <v>0</v>
      </c>
      <c r="BT127" s="158" t="n">
        <f aca="false">IF(BT6=Assumption!$E$16,Assumption!$E$520,0)</f>
        <v>0</v>
      </c>
      <c r="BU127" s="158" t="n">
        <f aca="false">IF(BU6=Assumption!$E$16,Assumption!$E$520,0)</f>
        <v>0</v>
      </c>
      <c r="BV127" s="158" t="n">
        <f aca="false">IF(BV6=Assumption!$E$16,Assumption!$E$520,0)</f>
        <v>0</v>
      </c>
      <c r="BW127" s="158" t="n">
        <f aca="false">IF(BW6=Assumption!$E$16,Assumption!$E$520,0)</f>
        <v>0</v>
      </c>
      <c r="BX127" s="158" t="n">
        <f aca="false">IF(BX6=Assumption!$E$16,Assumption!$E$520,0)</f>
        <v>0</v>
      </c>
      <c r="BY127" s="158" t="n">
        <f aca="false">IF(BY6=Assumption!$E$16,Assumption!$E$520,0)</f>
        <v>0</v>
      </c>
      <c r="BZ127" s="158" t="n">
        <f aca="false">IF(BZ6=Assumption!$E$16,Assumption!$E$520,0)</f>
        <v>0</v>
      </c>
      <c r="CA127" s="158" t="n">
        <f aca="false">IF(CA6=Assumption!$E$16,Assumption!$E$520,0)</f>
        <v>0</v>
      </c>
      <c r="CB127" s="158" t="n">
        <f aca="false">IF(CB6=Assumption!$E$16,Assumption!$E$520,0)</f>
        <v>0</v>
      </c>
      <c r="CC127" s="158" t="n">
        <f aca="false">IF(CC6=Assumption!$E$16,Assumption!$E$520,0)</f>
        <v>0</v>
      </c>
      <c r="CD127" s="158" t="n">
        <f aca="false">IF(CD6=Assumption!$E$16,Assumption!$E$520,0)</f>
        <v>0</v>
      </c>
      <c r="CE127" s="158" t="n">
        <f aca="false">IF(CE6=Assumption!$E$16,Assumption!$E$520,0)</f>
        <v>0</v>
      </c>
      <c r="CF127" s="158" t="n">
        <f aca="false">IF(CF6=Assumption!$E$16,Assumption!$E$520,0)</f>
        <v>0</v>
      </c>
      <c r="CG127" s="158" t="n">
        <f aca="false">IF(CG6=Assumption!$E$16,Assumption!$E$520,0)</f>
        <v>0</v>
      </c>
      <c r="CH127" s="158" t="n">
        <f aca="false">IF(CH6=Assumption!$E$16,Assumption!$E$520,0)</f>
        <v>0</v>
      </c>
      <c r="CI127" s="158" t="n">
        <f aca="false">IF(CI6=Assumption!$E$16,Assumption!$E$520,0)</f>
        <v>0</v>
      </c>
      <c r="CJ127" s="158" t="n">
        <f aca="false">IF(CJ6=Assumption!$E$16,Assumption!$E$520,0)</f>
        <v>0</v>
      </c>
      <c r="CK127" s="158" t="n">
        <f aca="false">IF(CK6=Assumption!$E$16,Assumption!$E$520,0)</f>
        <v>0</v>
      </c>
      <c r="CL127" s="158" t="n">
        <f aca="false">IF(CL6=Assumption!$E$16,Assumption!$E$520,0)</f>
        <v>0</v>
      </c>
      <c r="CM127" s="158" t="n">
        <f aca="false">IF(CM6=Assumption!$E$16,Assumption!$E$520,0)</f>
        <v>0</v>
      </c>
      <c r="CN127" s="158" t="n">
        <f aca="false">IF(CN6=Assumption!$E$16,Assumption!$E$520,0)</f>
        <v>0</v>
      </c>
      <c r="CO127" s="158" t="n">
        <f aca="false">IF(CO6=Assumption!$E$16,Assumption!$E$520,0)</f>
        <v>0</v>
      </c>
      <c r="CP127" s="158" t="n">
        <f aca="false">IF(CP6=Assumption!$E$16,Assumption!$E$520,0)</f>
        <v>0</v>
      </c>
      <c r="CQ127" s="158" t="n">
        <f aca="false">IF(CQ6=Assumption!$E$16,Assumption!$E$520,0)</f>
        <v>0</v>
      </c>
      <c r="CR127" s="158" t="n">
        <f aca="false">IF(CR6=Assumption!$E$16,Assumption!$E$520,0)</f>
        <v>0</v>
      </c>
      <c r="CS127" s="158" t="n">
        <f aca="false">IF(CS6=Assumption!$E$16,Assumption!$E$520,0)</f>
        <v>0</v>
      </c>
      <c r="CT127" s="158" t="n">
        <f aca="false">IF(CT6=Assumption!$E$16,Assumption!$E$520,0)</f>
        <v>0</v>
      </c>
      <c r="CU127" s="158" t="n">
        <f aca="false">IF(CU6=Assumption!$E$16,Assumption!$E$520,0)</f>
        <v>0</v>
      </c>
      <c r="CV127" s="158" t="n">
        <f aca="false">IF(CV6=Assumption!$E$16,Assumption!$E$520,0)</f>
        <v>0</v>
      </c>
      <c r="CW127" s="158" t="n">
        <f aca="false">IF(CW6=Assumption!$E$16,Assumption!$E$520,0)</f>
        <v>0</v>
      </c>
      <c r="CX127" s="158" t="n">
        <f aca="false">IF(CX6=Assumption!$E$16,Assumption!$E$520,0)</f>
        <v>0</v>
      </c>
      <c r="CY127" s="158" t="n">
        <f aca="false">IF(CY6=Assumption!$E$16,Assumption!$E$520,0)</f>
        <v>0</v>
      </c>
      <c r="CZ127" s="158" t="n">
        <f aca="false">IF(CZ6=Assumption!$E$16,Assumption!$E$520,0)</f>
        <v>0</v>
      </c>
      <c r="DA127" s="158" t="n">
        <f aca="false">IF(DA6=Assumption!$E$16,Assumption!$E$520,0)</f>
        <v>0</v>
      </c>
      <c r="DB127" s="158" t="n">
        <f aca="false">IF(DB6=Assumption!$E$16,Assumption!$E$520,0)</f>
        <v>0</v>
      </c>
      <c r="DC127" s="158" t="n">
        <f aca="false">IF(DC6=Assumption!$E$16,Assumption!$E$520,0)</f>
        <v>0</v>
      </c>
      <c r="DD127" s="158" t="n">
        <f aca="false">IF(DD6=Assumption!$E$16,Assumption!$E$520,0)</f>
        <v>0</v>
      </c>
      <c r="DE127" s="158" t="n">
        <f aca="false">IF(DE6=Assumption!$E$16,Assumption!$E$520,0)</f>
        <v>0</v>
      </c>
      <c r="DF127" s="158" t="n">
        <f aca="false">IF(DF6=Assumption!$E$16,Assumption!$E$520,0)</f>
        <v>0</v>
      </c>
      <c r="DG127" s="158" t="n">
        <f aca="false">IF(DG6=Assumption!$E$16,Assumption!$E$520,0)</f>
        <v>0</v>
      </c>
      <c r="DH127" s="158" t="n">
        <f aca="false">IF(DH6=Assumption!$E$16,Assumption!$E$520,0)</f>
        <v>0</v>
      </c>
      <c r="DI127" s="158" t="n">
        <f aca="false">IF(DI6=Assumption!$E$16,Assumption!$E$520,0)</f>
        <v>0</v>
      </c>
      <c r="DJ127" s="158" t="n">
        <f aca="false">IF(DJ6=Assumption!$E$16,Assumption!$E$520,0)</f>
        <v>0</v>
      </c>
      <c r="DK127" s="158" t="n">
        <f aca="false">IF(DK6=Assumption!$E$16,Assumption!$E$520,0)</f>
        <v>0</v>
      </c>
      <c r="DL127" s="158" t="n">
        <f aca="false">IF(DL6=Assumption!$E$16,Assumption!$E$520,0)</f>
        <v>0</v>
      </c>
      <c r="DM127" s="158" t="n">
        <f aca="false">IF(DM6=Assumption!$E$16,Assumption!$E$520,0)</f>
        <v>0</v>
      </c>
      <c r="DN127" s="158" t="n">
        <f aca="false">IF(DN6=Assumption!$E$16,Assumption!$E$520,0)</f>
        <v>0</v>
      </c>
      <c r="DO127" s="158" t="n">
        <f aca="false">IF(DO6=Assumption!$E$16,Assumption!$E$520,0)</f>
        <v>0</v>
      </c>
      <c r="DP127" s="158" t="n">
        <f aca="false">IF(DP6=Assumption!$E$16,Assumption!$E$520,0)</f>
        <v>0</v>
      </c>
      <c r="DQ127" s="158" t="n">
        <f aca="false">IF(DQ6=Assumption!$E$16,Assumption!$E$520,0)</f>
        <v>0</v>
      </c>
      <c r="DR127" s="158" t="n">
        <f aca="false">IF(DR6=Assumption!$E$16,Assumption!$E$520,0)</f>
        <v>0</v>
      </c>
      <c r="DS127" s="158" t="n">
        <f aca="false">IF(DS6=Assumption!$E$16,Assumption!$E$520,0)</f>
        <v>0</v>
      </c>
      <c r="DT127" s="158" t="n">
        <f aca="false">IF(DT6=Assumption!$E$16,Assumption!$E$520,0)</f>
        <v>0</v>
      </c>
      <c r="DU127" s="158" t="n">
        <f aca="false">IF(DU6=Assumption!$E$16,Assumption!$E$520,0)</f>
        <v>0</v>
      </c>
      <c r="DV127" s="158" t="n">
        <f aca="false">IF(DV6=Assumption!$E$16,Assumption!$E$520,0)</f>
        <v>0</v>
      </c>
      <c r="DW127" s="158" t="n">
        <f aca="false">IF(DW6=Assumption!$E$16,Assumption!$E$520,0)</f>
        <v>0</v>
      </c>
      <c r="DX127" s="158" t="n">
        <f aca="false">IF(DX6=Assumption!$E$16,Assumption!$E$520,0)</f>
        <v>0</v>
      </c>
      <c r="DY127" s="158" t="n">
        <f aca="false">IF(DY6=Assumption!$E$16,Assumption!$E$520,0)</f>
        <v>0</v>
      </c>
      <c r="DZ127" s="158" t="n">
        <f aca="false">IF(DZ6=Assumption!$E$16,Assumption!$E$520,0)</f>
        <v>0</v>
      </c>
      <c r="EA127" s="158" t="n">
        <f aca="false">IF(EA6=Assumption!$E$16,Assumption!$E$520,0)</f>
        <v>0</v>
      </c>
      <c r="EB127" s="158" t="n">
        <f aca="false">IF(EB6=Assumption!$E$16,Assumption!$E$520,0)</f>
        <v>0</v>
      </c>
      <c r="EC127" s="158" t="n">
        <f aca="false">IF(EC6=Assumption!$E$16,Assumption!$E$520,0)</f>
        <v>0</v>
      </c>
      <c r="ED127" s="158" t="n">
        <f aca="false">IF(ED6=Assumption!$E$16,Assumption!$E$520,0)</f>
        <v>0</v>
      </c>
      <c r="EE127" s="158" t="n">
        <f aca="false">IF(EE6=Assumption!$E$16,Assumption!$E$520,0)</f>
        <v>0</v>
      </c>
      <c r="EF127" s="158" t="n">
        <f aca="false">IF(EF6=Assumption!$E$16,Assumption!$E$520,0)</f>
        <v>0</v>
      </c>
    </row>
    <row r="128" customFormat="false" ht="15" hidden="false" customHeight="false" outlineLevel="0" collapsed="false">
      <c r="A128" s="35" t="s">
        <v>583</v>
      </c>
      <c r="B128" s="241" t="s">
        <v>116</v>
      </c>
      <c r="C128" s="242" t="n">
        <f aca="false">SUM(E128:EF128)</f>
        <v>7596.6828</v>
      </c>
      <c r="E128" s="158" t="n">
        <f aca="false">IF(E6=Assumption!$E$16,Assumption!$E$522,0)</f>
        <v>0</v>
      </c>
      <c r="F128" s="158" t="n">
        <f aca="false">IF(F6=Assumption!$E$16,Assumption!$E$522,0)</f>
        <v>0</v>
      </c>
      <c r="G128" s="158" t="n">
        <f aca="false">IF(G6=Assumption!$E$16,Assumption!$E$522,0)</f>
        <v>0</v>
      </c>
      <c r="H128" s="158" t="n">
        <f aca="false">IF(H6=Assumption!$E$16,Assumption!$E$522,0)</f>
        <v>0</v>
      </c>
      <c r="I128" s="158" t="n">
        <f aca="false">IF(I6=Assumption!$E$16,Assumption!$E$522,0)</f>
        <v>0</v>
      </c>
      <c r="J128" s="158" t="n">
        <f aca="false">IF(J6=Assumption!$E$16,Assumption!$E$522,0)</f>
        <v>0</v>
      </c>
      <c r="K128" s="158" t="n">
        <f aca="false">IF(K6=Assumption!$E$16,Assumption!$E$522,0)</f>
        <v>0</v>
      </c>
      <c r="L128" s="158" t="n">
        <f aca="false">IF(L6=Assumption!$E$16,Assumption!$E$522,0)</f>
        <v>0</v>
      </c>
      <c r="M128" s="158" t="n">
        <f aca="false">IF(M6=Assumption!$E$16,Assumption!$E$522,0)</f>
        <v>0</v>
      </c>
      <c r="N128" s="158" t="n">
        <f aca="false">IF(N6=Assumption!$E$16,Assumption!$E$522,0)</f>
        <v>0</v>
      </c>
      <c r="O128" s="158" t="n">
        <f aca="false">IF(O6=Assumption!$E$16,Assumption!$E$522,0)</f>
        <v>0</v>
      </c>
      <c r="P128" s="158" t="n">
        <f aca="false">IF(P6=Assumption!$E$16,Assumption!$E$522,0)</f>
        <v>0</v>
      </c>
      <c r="Q128" s="158" t="n">
        <f aca="false">IF(Q6=Assumption!$E$16,Assumption!$E$522,0)</f>
        <v>0</v>
      </c>
      <c r="R128" s="158" t="n">
        <f aca="false">IF(R6=Assumption!$E$16,Assumption!$E$522,0)</f>
        <v>0</v>
      </c>
      <c r="S128" s="158" t="n">
        <f aca="false">IF(S6=Assumption!$E$16,Assumption!$E$522,0)</f>
        <v>0</v>
      </c>
      <c r="T128" s="158" t="n">
        <f aca="false">IF(T6=Assumption!$E$16,Assumption!$E$522,0)</f>
        <v>0</v>
      </c>
      <c r="U128" s="158" t="n">
        <f aca="false">IF(U6=Assumption!$E$16,Assumption!$E$522,0)</f>
        <v>0</v>
      </c>
      <c r="V128" s="158" t="n">
        <f aca="false">IF(V6=Assumption!$E$16,Assumption!$E$522,0)</f>
        <v>0</v>
      </c>
      <c r="W128" s="158" t="n">
        <f aca="false">IF(W6=Assumption!$E$16,Assumption!$E$522,0)</f>
        <v>0</v>
      </c>
      <c r="X128" s="158" t="n">
        <f aca="false">IF(X6=Assumption!$E$16,Assumption!$E$522,0)</f>
        <v>0</v>
      </c>
      <c r="Y128" s="158" t="n">
        <f aca="false">IF(Y6=Assumption!$E$16,Assumption!$E$522,0)</f>
        <v>0</v>
      </c>
      <c r="Z128" s="158" t="n">
        <f aca="false">IF(Z6=Assumption!$E$16,Assumption!$E$522,0)</f>
        <v>0</v>
      </c>
      <c r="AA128" s="158" t="n">
        <f aca="false">IF(AA6=Assumption!$E$16,Assumption!$E$522,0)</f>
        <v>0</v>
      </c>
      <c r="AB128" s="158" t="n">
        <f aca="false">IF(AB6=Assumption!$E$16,Assumption!$E$522,0)</f>
        <v>0</v>
      </c>
      <c r="AC128" s="158" t="n">
        <f aca="false">IF(AC6=Assumption!$E$16,Assumption!$E$522,0)</f>
        <v>0</v>
      </c>
      <c r="AD128" s="158" t="n">
        <f aca="false">IF(AD6=Assumption!$E$16,Assumption!$E$522,0)</f>
        <v>0</v>
      </c>
      <c r="AE128" s="158" t="n">
        <f aca="false">IF(AE6=Assumption!$E$16,Assumption!$E$522,0)</f>
        <v>0</v>
      </c>
      <c r="AF128" s="158" t="n">
        <f aca="false">IF(AF6=Assumption!$E$16,Assumption!$E$522,0)</f>
        <v>0</v>
      </c>
      <c r="AG128" s="158" t="n">
        <f aca="false">IF(AG6=Assumption!$E$16,Assumption!$E$522,0)</f>
        <v>0</v>
      </c>
      <c r="AH128" s="158" t="n">
        <f aca="false">IF(AH6=Assumption!$E$16,Assumption!$E$522,0)</f>
        <v>0</v>
      </c>
      <c r="AI128" s="158" t="n">
        <f aca="false">IF(AI6=Assumption!$E$16,Assumption!$E$522,0)</f>
        <v>0</v>
      </c>
      <c r="AJ128" s="158" t="n">
        <f aca="false">IF(AJ6=Assumption!$E$16,Assumption!$E$522,0)</f>
        <v>0</v>
      </c>
      <c r="AK128" s="158" t="n">
        <f aca="false">IF(AK6=Assumption!$E$16,Assumption!$E$522,0)</f>
        <v>0</v>
      </c>
      <c r="AL128" s="158" t="n">
        <f aca="false">IF(AL6=Assumption!$E$16,Assumption!$E$522,0)</f>
        <v>0</v>
      </c>
      <c r="AM128" s="158" t="n">
        <f aca="false">IF(AM6=Assumption!$E$16,Assumption!$E$522,0)</f>
        <v>0</v>
      </c>
      <c r="AN128" s="158" t="n">
        <f aca="false">IF(AN6=Assumption!$E$16,Assumption!$E$522,0)</f>
        <v>0</v>
      </c>
      <c r="AO128" s="158" t="n">
        <f aca="false">IF(AO6=Assumption!$E$16,Assumption!$E$522,0)</f>
        <v>0</v>
      </c>
      <c r="AP128" s="158" t="n">
        <f aca="false">IF(AP6=Assumption!$E$16,Assumption!$E$522,0)</f>
        <v>0</v>
      </c>
      <c r="AQ128" s="158" t="n">
        <f aca="false">IF(AQ6=Assumption!$E$16,Assumption!$E$522,0)</f>
        <v>0</v>
      </c>
      <c r="AR128" s="158" t="n">
        <f aca="false">IF(AR6=Assumption!$E$16,Assumption!$E$522,0)</f>
        <v>0</v>
      </c>
      <c r="AS128" s="158" t="n">
        <f aca="false">IF(AS6=Assumption!$E$16,Assumption!$E$522,0)</f>
        <v>0</v>
      </c>
      <c r="AT128" s="158" t="n">
        <f aca="false">IF(AT6=Assumption!$E$16,Assumption!$E$522,0)</f>
        <v>0</v>
      </c>
      <c r="AU128" s="158" t="n">
        <f aca="false">IF(AU6=Assumption!$E$16,Assumption!$E$522,0)</f>
        <v>0</v>
      </c>
      <c r="AV128" s="158" t="n">
        <f aca="false">IF(AV6=Assumption!$E$16,Assumption!$E$522,0)</f>
        <v>0</v>
      </c>
      <c r="AW128" s="158" t="n">
        <f aca="false">IF(AW6=Assumption!$E$16,Assumption!$E$522,0)</f>
        <v>0</v>
      </c>
      <c r="AX128" s="158" t="n">
        <f aca="false">IF(AX6=Assumption!$E$16,Assumption!$E$522,0)</f>
        <v>0</v>
      </c>
      <c r="AY128" s="158" t="n">
        <f aca="false">IF(AY6=Assumption!$E$16,Assumption!$E$522,0)</f>
        <v>0</v>
      </c>
      <c r="AZ128" s="158" t="n">
        <f aca="false">IF(AZ6=Assumption!$E$16,Assumption!$E$522,0)</f>
        <v>0</v>
      </c>
      <c r="BA128" s="158" t="n">
        <f aca="false">IF(BA6=Assumption!$E$16,Assumption!$E$522,0)</f>
        <v>0</v>
      </c>
      <c r="BB128" s="158" t="n">
        <f aca="false">IF(BB6=Assumption!$E$16,Assumption!$E$522,0)</f>
        <v>0</v>
      </c>
      <c r="BC128" s="158" t="n">
        <f aca="false">IF(BC6=Assumption!$E$16,Assumption!$E$522,0)</f>
        <v>0</v>
      </c>
      <c r="BD128" s="158" t="n">
        <f aca="false">IF(BD6=Assumption!$E$16,Assumption!$E$522,0)</f>
        <v>0</v>
      </c>
      <c r="BE128" s="158" t="n">
        <f aca="false">IF(BE6=Assumption!$E$16,Assumption!$E$522,0)</f>
        <v>0</v>
      </c>
      <c r="BF128" s="158" t="n">
        <f aca="false">IF(BF6=Assumption!$E$16,Assumption!$E$522,0)</f>
        <v>0</v>
      </c>
      <c r="BG128" s="158" t="n">
        <f aca="false">IF(BG6=Assumption!$E$16,Assumption!$E$522,0)</f>
        <v>0</v>
      </c>
      <c r="BH128" s="158" t="n">
        <f aca="false">IF(BH6=Assumption!$E$16,Assumption!$E$522,0)</f>
        <v>0</v>
      </c>
      <c r="BI128" s="158" t="n">
        <f aca="false">IF(BI6=Assumption!$E$16,Assumption!$E$522,0)</f>
        <v>0</v>
      </c>
      <c r="BJ128" s="158" t="n">
        <f aca="false">IF(BJ6=Assumption!$E$16,Assumption!$E$522,0)</f>
        <v>0</v>
      </c>
      <c r="BK128" s="158" t="n">
        <f aca="false">IF(BK6=Assumption!$E$16,Assumption!$E$522,0)</f>
        <v>0</v>
      </c>
      <c r="BL128" s="158" t="n">
        <f aca="false">IF(BL6=Assumption!$E$16,Assumption!$E$522,0)</f>
        <v>7596.6828</v>
      </c>
      <c r="BM128" s="158" t="n">
        <f aca="false">IF(BM6=Assumption!$E$16,Assumption!$E$522,0)</f>
        <v>0</v>
      </c>
      <c r="BN128" s="158" t="n">
        <f aca="false">IF(BN6=Assumption!$E$16,Assumption!$E$522,0)</f>
        <v>0</v>
      </c>
      <c r="BO128" s="158" t="n">
        <f aca="false">IF(BO6=Assumption!$E$16,Assumption!$E$522,0)</f>
        <v>0</v>
      </c>
      <c r="BP128" s="158" t="n">
        <f aca="false">IF(BP6=Assumption!$E$16,Assumption!$E$522,0)</f>
        <v>0</v>
      </c>
      <c r="BQ128" s="158" t="n">
        <f aca="false">IF(BQ6=Assumption!$E$16,Assumption!$E$522,0)</f>
        <v>0</v>
      </c>
      <c r="BR128" s="158" t="n">
        <f aca="false">IF(BR6=Assumption!$E$16,Assumption!$E$522,0)</f>
        <v>0</v>
      </c>
      <c r="BS128" s="158" t="n">
        <f aca="false">IF(BS6=Assumption!$E$16,Assumption!$E$522,0)</f>
        <v>0</v>
      </c>
      <c r="BT128" s="158" t="n">
        <f aca="false">IF(BT6=Assumption!$E$16,Assumption!$E$522,0)</f>
        <v>0</v>
      </c>
      <c r="BU128" s="158" t="n">
        <f aca="false">IF(BU6=Assumption!$E$16,Assumption!$E$522,0)</f>
        <v>0</v>
      </c>
      <c r="BV128" s="158" t="n">
        <f aca="false">IF(BV6=Assumption!$E$16,Assumption!$E$522,0)</f>
        <v>0</v>
      </c>
      <c r="BW128" s="158" t="n">
        <f aca="false">IF(BW6=Assumption!$E$16,Assumption!$E$522,0)</f>
        <v>0</v>
      </c>
      <c r="BX128" s="158" t="n">
        <f aca="false">IF(BX6=Assumption!$E$16,Assumption!$E$522,0)</f>
        <v>0</v>
      </c>
      <c r="BY128" s="158" t="n">
        <f aca="false">IF(BY6=Assumption!$E$16,Assumption!$E$522,0)</f>
        <v>0</v>
      </c>
      <c r="BZ128" s="158" t="n">
        <f aca="false">IF(BZ6=Assumption!$E$16,Assumption!$E$522,0)</f>
        <v>0</v>
      </c>
      <c r="CA128" s="158" t="n">
        <f aca="false">IF(CA6=Assumption!$E$16,Assumption!$E$522,0)</f>
        <v>0</v>
      </c>
      <c r="CB128" s="158" t="n">
        <f aca="false">IF(CB6=Assumption!$E$16,Assumption!$E$522,0)</f>
        <v>0</v>
      </c>
      <c r="CC128" s="158" t="n">
        <f aca="false">IF(CC6=Assumption!$E$16,Assumption!$E$522,0)</f>
        <v>0</v>
      </c>
      <c r="CD128" s="158" t="n">
        <f aca="false">IF(CD6=Assumption!$E$16,Assumption!$E$522,0)</f>
        <v>0</v>
      </c>
      <c r="CE128" s="158" t="n">
        <f aca="false">IF(CE6=Assumption!$E$16,Assumption!$E$522,0)</f>
        <v>0</v>
      </c>
      <c r="CF128" s="158" t="n">
        <f aca="false">IF(CF6=Assumption!$E$16,Assumption!$E$522,0)</f>
        <v>0</v>
      </c>
      <c r="CG128" s="158" t="n">
        <f aca="false">IF(CG6=Assumption!$E$16,Assumption!$E$522,0)</f>
        <v>0</v>
      </c>
      <c r="CH128" s="158" t="n">
        <f aca="false">IF(CH6=Assumption!$E$16,Assumption!$E$522,0)</f>
        <v>0</v>
      </c>
      <c r="CI128" s="158" t="n">
        <f aca="false">IF(CI6=Assumption!$E$16,Assumption!$E$522,0)</f>
        <v>0</v>
      </c>
      <c r="CJ128" s="158" t="n">
        <f aca="false">IF(CJ6=Assumption!$E$16,Assumption!$E$522,0)</f>
        <v>0</v>
      </c>
      <c r="CK128" s="158" t="n">
        <f aca="false">IF(CK6=Assumption!$E$16,Assumption!$E$522,0)</f>
        <v>0</v>
      </c>
      <c r="CL128" s="158" t="n">
        <f aca="false">IF(CL6=Assumption!$E$16,Assumption!$E$522,0)</f>
        <v>0</v>
      </c>
      <c r="CM128" s="158" t="n">
        <f aca="false">IF(CM6=Assumption!$E$16,Assumption!$E$522,0)</f>
        <v>0</v>
      </c>
      <c r="CN128" s="158" t="n">
        <f aca="false">IF(CN6=Assumption!$E$16,Assumption!$E$522,0)</f>
        <v>0</v>
      </c>
      <c r="CO128" s="158" t="n">
        <f aca="false">IF(CO6=Assumption!$E$16,Assumption!$E$522,0)</f>
        <v>0</v>
      </c>
      <c r="CP128" s="158" t="n">
        <f aca="false">IF(CP6=Assumption!$E$16,Assumption!$E$522,0)</f>
        <v>0</v>
      </c>
      <c r="CQ128" s="158" t="n">
        <f aca="false">IF(CQ6=Assumption!$E$16,Assumption!$E$522,0)</f>
        <v>0</v>
      </c>
      <c r="CR128" s="158" t="n">
        <f aca="false">IF(CR6=Assumption!$E$16,Assumption!$E$522,0)</f>
        <v>0</v>
      </c>
      <c r="CS128" s="158" t="n">
        <f aca="false">IF(CS6=Assumption!$E$16,Assumption!$E$522,0)</f>
        <v>0</v>
      </c>
      <c r="CT128" s="158" t="n">
        <f aca="false">IF(CT6=Assumption!$E$16,Assumption!$E$522,0)</f>
        <v>0</v>
      </c>
      <c r="CU128" s="158" t="n">
        <f aca="false">IF(CU6=Assumption!$E$16,Assumption!$E$522,0)</f>
        <v>0</v>
      </c>
      <c r="CV128" s="158" t="n">
        <f aca="false">IF(CV6=Assumption!$E$16,Assumption!$E$522,0)</f>
        <v>0</v>
      </c>
      <c r="CW128" s="158" t="n">
        <f aca="false">IF(CW6=Assumption!$E$16,Assumption!$E$522,0)</f>
        <v>0</v>
      </c>
      <c r="CX128" s="158" t="n">
        <f aca="false">IF(CX6=Assumption!$E$16,Assumption!$E$522,0)</f>
        <v>0</v>
      </c>
      <c r="CY128" s="158" t="n">
        <f aca="false">IF(CY6=Assumption!$E$16,Assumption!$E$522,0)</f>
        <v>0</v>
      </c>
      <c r="CZ128" s="158" t="n">
        <f aca="false">IF(CZ6=Assumption!$E$16,Assumption!$E$522,0)</f>
        <v>0</v>
      </c>
      <c r="DA128" s="158" t="n">
        <f aca="false">IF(DA6=Assumption!$E$16,Assumption!$E$522,0)</f>
        <v>0</v>
      </c>
      <c r="DB128" s="158" t="n">
        <f aca="false">IF(DB6=Assumption!$E$16,Assumption!$E$522,0)</f>
        <v>0</v>
      </c>
      <c r="DC128" s="158" t="n">
        <f aca="false">IF(DC6=Assumption!$E$16,Assumption!$E$522,0)</f>
        <v>0</v>
      </c>
      <c r="DD128" s="158" t="n">
        <f aca="false">IF(DD6=Assumption!$E$16,Assumption!$E$522,0)</f>
        <v>0</v>
      </c>
      <c r="DE128" s="158" t="n">
        <f aca="false">IF(DE6=Assumption!$E$16,Assumption!$E$522,0)</f>
        <v>0</v>
      </c>
      <c r="DF128" s="158" t="n">
        <f aca="false">IF(DF6=Assumption!$E$16,Assumption!$E$522,0)</f>
        <v>0</v>
      </c>
      <c r="DG128" s="158" t="n">
        <f aca="false">IF(DG6=Assumption!$E$16,Assumption!$E$522,0)</f>
        <v>0</v>
      </c>
      <c r="DH128" s="158" t="n">
        <f aca="false">IF(DH6=Assumption!$E$16,Assumption!$E$522,0)</f>
        <v>0</v>
      </c>
      <c r="DI128" s="158" t="n">
        <f aca="false">IF(DI6=Assumption!$E$16,Assumption!$E$522,0)</f>
        <v>0</v>
      </c>
      <c r="DJ128" s="158" t="n">
        <f aca="false">IF(DJ6=Assumption!$E$16,Assumption!$E$522,0)</f>
        <v>0</v>
      </c>
      <c r="DK128" s="158" t="n">
        <f aca="false">IF(DK6=Assumption!$E$16,Assumption!$E$522,0)</f>
        <v>0</v>
      </c>
      <c r="DL128" s="158" t="n">
        <f aca="false">IF(DL6=Assumption!$E$16,Assumption!$E$522,0)</f>
        <v>0</v>
      </c>
      <c r="DM128" s="158" t="n">
        <f aca="false">IF(DM6=Assumption!$E$16,Assumption!$E$522,0)</f>
        <v>0</v>
      </c>
      <c r="DN128" s="158" t="n">
        <f aca="false">IF(DN6=Assumption!$E$16,Assumption!$E$522,0)</f>
        <v>0</v>
      </c>
      <c r="DO128" s="158" t="n">
        <f aca="false">IF(DO6=Assumption!$E$16,Assumption!$E$522,0)</f>
        <v>0</v>
      </c>
      <c r="DP128" s="158" t="n">
        <f aca="false">IF(DP6=Assumption!$E$16,Assumption!$E$522,0)</f>
        <v>0</v>
      </c>
      <c r="DQ128" s="158" t="n">
        <f aca="false">IF(DQ6=Assumption!$E$16,Assumption!$E$522,0)</f>
        <v>0</v>
      </c>
      <c r="DR128" s="158" t="n">
        <f aca="false">IF(DR6=Assumption!$E$16,Assumption!$E$522,0)</f>
        <v>0</v>
      </c>
      <c r="DS128" s="158" t="n">
        <f aca="false">IF(DS6=Assumption!$E$16,Assumption!$E$522,0)</f>
        <v>0</v>
      </c>
      <c r="DT128" s="158" t="n">
        <f aca="false">IF(DT6=Assumption!$E$16,Assumption!$E$522,0)</f>
        <v>0</v>
      </c>
      <c r="DU128" s="158" t="n">
        <f aca="false">IF(DU6=Assumption!$E$16,Assumption!$E$522,0)</f>
        <v>0</v>
      </c>
      <c r="DV128" s="158" t="n">
        <f aca="false">IF(DV6=Assumption!$E$16,Assumption!$E$522,0)</f>
        <v>0</v>
      </c>
      <c r="DW128" s="158" t="n">
        <f aca="false">IF(DW6=Assumption!$E$16,Assumption!$E$522,0)</f>
        <v>0</v>
      </c>
      <c r="DX128" s="158" t="n">
        <f aca="false">IF(DX6=Assumption!$E$16,Assumption!$E$522,0)</f>
        <v>0</v>
      </c>
      <c r="DY128" s="158" t="n">
        <f aca="false">IF(DY6=Assumption!$E$16,Assumption!$E$522,0)</f>
        <v>0</v>
      </c>
      <c r="DZ128" s="158" t="n">
        <f aca="false">IF(DZ6=Assumption!$E$16,Assumption!$E$522,0)</f>
        <v>0</v>
      </c>
      <c r="EA128" s="158" t="n">
        <f aca="false">IF(EA6=Assumption!$E$16,Assumption!$E$522,0)</f>
        <v>0</v>
      </c>
      <c r="EB128" s="158" t="n">
        <f aca="false">IF(EB6=Assumption!$E$16,Assumption!$E$522,0)</f>
        <v>0</v>
      </c>
      <c r="EC128" s="158" t="n">
        <f aca="false">IF(EC6=Assumption!$E$16,Assumption!$E$522,0)</f>
        <v>0</v>
      </c>
      <c r="ED128" s="158" t="n">
        <f aca="false">IF(ED6=Assumption!$E$16,Assumption!$E$522,0)</f>
        <v>0</v>
      </c>
      <c r="EE128" s="158" t="n">
        <f aca="false">IF(EE6=Assumption!$E$16,Assumption!$E$522,0)</f>
        <v>0</v>
      </c>
      <c r="EF128" s="158" t="n">
        <f aca="false">IF(EF6=Assumption!$E$16,Assumption!$E$522,0)</f>
        <v>0</v>
      </c>
    </row>
    <row r="129" customFormat="false" ht="15" hidden="false" customHeight="false" outlineLevel="0" collapsed="false">
      <c r="A129" s="35" t="s">
        <v>584</v>
      </c>
      <c r="B129" s="241" t="s">
        <v>116</v>
      </c>
      <c r="C129" s="242" t="n">
        <f aca="false">SUM(E129:EF129)</f>
        <v>198878.570275</v>
      </c>
      <c r="E129" s="158" t="n">
        <f aca="false">IF(AND(E6&gt;Assumption!$E$16,E6&lt;=Assumption!$E$523),Assumption!$E$521/12,0)</f>
        <v>0</v>
      </c>
      <c r="F129" s="158" t="n">
        <f aca="false">IF(AND(F6&gt;Assumption!$E$16,F6&lt;=Assumption!$E$523),Assumption!$E$521/12,0)</f>
        <v>0</v>
      </c>
      <c r="G129" s="158" t="n">
        <f aca="false">IF(AND(G6&gt;Assumption!$E$16,G6&lt;=Assumption!$E$523),Assumption!$E$521/12,0)</f>
        <v>0</v>
      </c>
      <c r="H129" s="158" t="n">
        <f aca="false">IF(AND(H6&gt;Assumption!$E$16,H6&lt;=Assumption!$E$523),Assumption!$E$521/12,0)</f>
        <v>0</v>
      </c>
      <c r="I129" s="158" t="n">
        <f aca="false">IF(AND(I6&gt;Assumption!$E$16,I6&lt;=Assumption!$E$523),Assumption!$E$521/12,0)</f>
        <v>0</v>
      </c>
      <c r="J129" s="158" t="n">
        <f aca="false">IF(AND(J6&gt;Assumption!$E$16,J6&lt;=Assumption!$E$523),Assumption!$E$521/12,0)</f>
        <v>0</v>
      </c>
      <c r="K129" s="158" t="n">
        <f aca="false">IF(AND(K6&gt;Assumption!$E$16,K6&lt;=Assumption!$E$523),Assumption!$E$521/12,0)</f>
        <v>0</v>
      </c>
      <c r="L129" s="158" t="n">
        <f aca="false">IF(AND(L6&gt;Assumption!$E$16,L6&lt;=Assumption!$E$523),Assumption!$E$521/12,0)</f>
        <v>0</v>
      </c>
      <c r="M129" s="158" t="n">
        <f aca="false">IF(AND(M6&gt;Assumption!$E$16,M6&lt;=Assumption!$E$523),Assumption!$E$521/12,0)</f>
        <v>0</v>
      </c>
      <c r="N129" s="158" t="n">
        <f aca="false">IF(AND(N6&gt;Assumption!$E$16,N6&lt;=Assumption!$E$523),Assumption!$E$521/12,0)</f>
        <v>0</v>
      </c>
      <c r="O129" s="158" t="n">
        <f aca="false">IF(AND(O6&gt;Assumption!$E$16,O6&lt;=Assumption!$E$523),Assumption!$E$521/12,0)</f>
        <v>0</v>
      </c>
      <c r="P129" s="158" t="n">
        <f aca="false">IF(AND(P6&gt;Assumption!$E$16,P6&lt;=Assumption!$E$523),Assumption!$E$521/12,0)</f>
        <v>0</v>
      </c>
      <c r="Q129" s="158" t="n">
        <f aca="false">IF(AND(Q6&gt;Assumption!$E$16,Q6&lt;=Assumption!$E$523),Assumption!$E$521/12,0)</f>
        <v>0</v>
      </c>
      <c r="R129" s="158" t="n">
        <f aca="false">IF(AND(R6&gt;Assumption!$E$16,R6&lt;=Assumption!$E$523),Assumption!$E$521/12,0)</f>
        <v>0</v>
      </c>
      <c r="S129" s="158" t="n">
        <f aca="false">IF(AND(S6&gt;Assumption!$E$16,S6&lt;=Assumption!$E$523),Assumption!$E$521/12,0)</f>
        <v>0</v>
      </c>
      <c r="T129" s="158" t="n">
        <f aca="false">IF(AND(T6&gt;Assumption!$E$16,T6&lt;=Assumption!$E$523),Assumption!$E$521/12,0)</f>
        <v>0</v>
      </c>
      <c r="U129" s="158" t="n">
        <f aca="false">IF(AND(U6&gt;Assumption!$E$16,U6&lt;=Assumption!$E$523),Assumption!$E$521/12,0)</f>
        <v>0</v>
      </c>
      <c r="V129" s="158" t="n">
        <f aca="false">IF(AND(V6&gt;Assumption!$E$16,V6&lt;=Assumption!$E$523),Assumption!$E$521/12,0)</f>
        <v>0</v>
      </c>
      <c r="W129" s="158" t="n">
        <f aca="false">IF(AND(W6&gt;Assumption!$E$16,W6&lt;=Assumption!$E$523),Assumption!$E$521/12,0)</f>
        <v>0</v>
      </c>
      <c r="X129" s="158" t="n">
        <f aca="false">IF(AND(X6&gt;Assumption!$E$16,X6&lt;=Assumption!$E$523),Assumption!$E$521/12,0)</f>
        <v>0</v>
      </c>
      <c r="Y129" s="158" t="n">
        <f aca="false">IF(AND(Y6&gt;Assumption!$E$16,Y6&lt;=Assumption!$E$523),Assumption!$E$521/12,0)</f>
        <v>0</v>
      </c>
      <c r="Z129" s="158" t="n">
        <f aca="false">IF(AND(Z6&gt;Assumption!$E$16,Z6&lt;=Assumption!$E$523),Assumption!$E$521/12,0)</f>
        <v>0</v>
      </c>
      <c r="AA129" s="158" t="n">
        <f aca="false">IF(AND(AA6&gt;Assumption!$E$16,AA6&lt;=Assumption!$E$523),Assumption!$E$521/12,0)</f>
        <v>0</v>
      </c>
      <c r="AB129" s="158" t="n">
        <f aca="false">IF(AND(AB6&gt;Assumption!$E$16,AB6&lt;=Assumption!$E$523),Assumption!$E$521/12,0)</f>
        <v>0</v>
      </c>
      <c r="AC129" s="158" t="n">
        <f aca="false">IF(AND(AC6&gt;Assumption!$E$16,AC6&lt;=Assumption!$E$523),Assumption!$E$521/12,0)</f>
        <v>0</v>
      </c>
      <c r="AD129" s="158" t="n">
        <f aca="false">IF(AND(AD6&gt;Assumption!$E$16,AD6&lt;=Assumption!$E$523),Assumption!$E$521/12,0)</f>
        <v>0</v>
      </c>
      <c r="AE129" s="158" t="n">
        <f aca="false">IF(AND(AE6&gt;Assumption!$E$16,AE6&lt;=Assumption!$E$523),Assumption!$E$521/12,0)</f>
        <v>0</v>
      </c>
      <c r="AF129" s="158" t="n">
        <f aca="false">IF(AND(AF6&gt;Assumption!$E$16,AF6&lt;=Assumption!$E$523),Assumption!$E$521/12,0)</f>
        <v>0</v>
      </c>
      <c r="AG129" s="158" t="n">
        <f aca="false">IF(AND(AG6&gt;Assumption!$E$16,AG6&lt;=Assumption!$E$523),Assumption!$E$521/12,0)</f>
        <v>0</v>
      </c>
      <c r="AH129" s="158" t="n">
        <f aca="false">IF(AND(AH6&gt;Assumption!$E$16,AH6&lt;=Assumption!$E$523),Assumption!$E$521/12,0)</f>
        <v>0</v>
      </c>
      <c r="AI129" s="158" t="n">
        <f aca="false">IF(AND(AI6&gt;Assumption!$E$16,AI6&lt;=Assumption!$E$523),Assumption!$E$521/12,0)</f>
        <v>0</v>
      </c>
      <c r="AJ129" s="158" t="n">
        <f aca="false">IF(AND(AJ6&gt;Assumption!$E$16,AJ6&lt;=Assumption!$E$523),Assumption!$E$521/12,0)</f>
        <v>0</v>
      </c>
      <c r="AK129" s="158" t="n">
        <f aca="false">IF(AND(AK6&gt;Assumption!$E$16,AK6&lt;=Assumption!$E$523),Assumption!$E$521/12,0)</f>
        <v>0</v>
      </c>
      <c r="AL129" s="158" t="n">
        <f aca="false">IF(AND(AL6&gt;Assumption!$E$16,AL6&lt;=Assumption!$E$523),Assumption!$E$521/12,0)</f>
        <v>0</v>
      </c>
      <c r="AM129" s="158" t="n">
        <f aca="false">IF(AND(AM6&gt;Assumption!$E$16,AM6&lt;=Assumption!$E$523),Assumption!$E$521/12,0)</f>
        <v>0</v>
      </c>
      <c r="AN129" s="158" t="n">
        <f aca="false">IF(AND(AN6&gt;Assumption!$E$16,AN6&lt;=Assumption!$E$523),Assumption!$E$521/12,0)</f>
        <v>0</v>
      </c>
      <c r="AO129" s="158" t="n">
        <f aca="false">IF(AND(AO6&gt;Assumption!$E$16,AO6&lt;=Assumption!$E$523),Assumption!$E$521/12,0)</f>
        <v>0</v>
      </c>
      <c r="AP129" s="158" t="n">
        <f aca="false">IF(AND(AP6&gt;Assumption!$E$16,AP6&lt;=Assumption!$E$523),Assumption!$E$521/12,0)</f>
        <v>0</v>
      </c>
      <c r="AQ129" s="158" t="n">
        <f aca="false">IF(AND(AQ6&gt;Assumption!$E$16,AQ6&lt;=Assumption!$E$523),Assumption!$E$521/12,0)</f>
        <v>0</v>
      </c>
      <c r="AR129" s="158" t="n">
        <f aca="false">IF(AND(AR6&gt;Assumption!$E$16,AR6&lt;=Assumption!$E$523),Assumption!$E$521/12,0)</f>
        <v>0</v>
      </c>
      <c r="AS129" s="158" t="n">
        <f aca="false">IF(AND(AS6&gt;Assumption!$E$16,AS6&lt;=Assumption!$E$523),Assumption!$E$521/12,0)</f>
        <v>0</v>
      </c>
      <c r="AT129" s="158" t="n">
        <f aca="false">IF(AND(AT6&gt;Assumption!$E$16,AT6&lt;=Assumption!$E$523),Assumption!$E$521/12,0)</f>
        <v>0</v>
      </c>
      <c r="AU129" s="158" t="n">
        <f aca="false">IF(AND(AU6&gt;Assumption!$E$16,AU6&lt;=Assumption!$E$523),Assumption!$E$521/12,0)</f>
        <v>0</v>
      </c>
      <c r="AV129" s="158" t="n">
        <f aca="false">IF(AND(AV6&gt;Assumption!$E$16,AV6&lt;=Assumption!$E$523),Assumption!$E$521/12,0)</f>
        <v>0</v>
      </c>
      <c r="AW129" s="158" t="n">
        <f aca="false">IF(AND(AW6&gt;Assumption!$E$16,AW6&lt;=Assumption!$E$523),Assumption!$E$521/12,0)</f>
        <v>0</v>
      </c>
      <c r="AX129" s="158" t="n">
        <f aca="false">IF(AND(AX6&gt;Assumption!$E$16,AX6&lt;=Assumption!$E$523),Assumption!$E$521/12,0)</f>
        <v>0</v>
      </c>
      <c r="AY129" s="158" t="n">
        <f aca="false">IF(AND(AY6&gt;Assumption!$E$16,AY6&lt;=Assumption!$E$523),Assumption!$E$521/12,0)</f>
        <v>0</v>
      </c>
      <c r="AZ129" s="158" t="n">
        <f aca="false">IF(AND(AZ6&gt;Assumption!$E$16,AZ6&lt;=Assumption!$E$523),Assumption!$E$521/12,0)</f>
        <v>0</v>
      </c>
      <c r="BA129" s="158" t="n">
        <f aca="false">IF(AND(BA6&gt;Assumption!$E$16,BA6&lt;=Assumption!$E$523),Assumption!$E$521/12,0)</f>
        <v>0</v>
      </c>
      <c r="BB129" s="158" t="n">
        <f aca="false">IF(AND(BB6&gt;Assumption!$E$16,BB6&lt;=Assumption!$E$523),Assumption!$E$521/12,0)</f>
        <v>0</v>
      </c>
      <c r="BC129" s="158" t="n">
        <f aca="false">IF(AND(BC6&gt;Assumption!$E$16,BC6&lt;=Assumption!$E$523),Assumption!$E$521/12,0)</f>
        <v>0</v>
      </c>
      <c r="BD129" s="158" t="n">
        <f aca="false">IF(AND(BD6&gt;Assumption!$E$16,BD6&lt;=Assumption!$E$523),Assumption!$E$521/12,0)</f>
        <v>0</v>
      </c>
      <c r="BE129" s="158" t="n">
        <f aca="false">IF(AND(BE6&gt;Assumption!$E$16,BE6&lt;=Assumption!$E$523),Assumption!$E$521/12,0)</f>
        <v>0</v>
      </c>
      <c r="BF129" s="158" t="n">
        <f aca="false">IF(AND(BF6&gt;Assumption!$E$16,BF6&lt;=Assumption!$E$523),Assumption!$E$521/12,0)</f>
        <v>0</v>
      </c>
      <c r="BG129" s="158" t="n">
        <f aca="false">IF(AND(BG6&gt;Assumption!$E$16,BG6&lt;=Assumption!$E$523),Assumption!$E$521/12,0)</f>
        <v>0</v>
      </c>
      <c r="BH129" s="158" t="n">
        <f aca="false">IF(AND(BH6&gt;Assumption!$E$16,BH6&lt;=Assumption!$E$523),Assumption!$E$521/12,0)</f>
        <v>0</v>
      </c>
      <c r="BI129" s="158" t="n">
        <f aca="false">IF(AND(BI6&gt;Assumption!$E$16,BI6&lt;=Assumption!$E$523),Assumption!$E$521/12,0)</f>
        <v>0</v>
      </c>
      <c r="BJ129" s="158" t="n">
        <f aca="false">IF(AND(BJ6&gt;Assumption!$E$16,BJ6&lt;=Assumption!$E$523),Assumption!$E$521/12,0)</f>
        <v>0</v>
      </c>
      <c r="BK129" s="158" t="n">
        <f aca="false">IF(AND(BK6&gt;Assumption!$E$16,BK6&lt;=Assumption!$E$523),Assumption!$E$521/12,0)</f>
        <v>0</v>
      </c>
      <c r="BL129" s="158" t="n">
        <f aca="false">IF(AND(BL6&gt;Assumption!$E$16,BL6&lt;=Assumption!$E$523),Assumption!$E$521/12,0)</f>
        <v>0</v>
      </c>
      <c r="BM129" s="158" t="n">
        <f aca="false">IF(AND(BM6&gt;Assumption!$E$16,BM6&lt;=Assumption!$E$523),Assumption!$E$521/12,0)</f>
        <v>3314.64283791667</v>
      </c>
      <c r="BN129" s="158" t="n">
        <f aca="false">IF(AND(BN6&gt;Assumption!$E$16,BN6&lt;=Assumption!$E$523),Assumption!$E$521/12,0)</f>
        <v>3314.64283791667</v>
      </c>
      <c r="BO129" s="158" t="n">
        <f aca="false">IF(AND(BO6&gt;Assumption!$E$16,BO6&lt;=Assumption!$E$523),Assumption!$E$521/12,0)</f>
        <v>3314.64283791667</v>
      </c>
      <c r="BP129" s="158" t="n">
        <f aca="false">IF(AND(BP6&gt;Assumption!$E$16,BP6&lt;=Assumption!$E$523),Assumption!$E$521/12,0)</f>
        <v>3314.64283791667</v>
      </c>
      <c r="BQ129" s="158" t="n">
        <f aca="false">IF(AND(BQ6&gt;Assumption!$E$16,BQ6&lt;=Assumption!$E$523),Assumption!$E$521/12,0)</f>
        <v>3314.64283791667</v>
      </c>
      <c r="BR129" s="158" t="n">
        <f aca="false">IF(AND(BR6&gt;Assumption!$E$16,BR6&lt;=Assumption!$E$523),Assumption!$E$521/12,0)</f>
        <v>3314.64283791667</v>
      </c>
      <c r="BS129" s="158" t="n">
        <f aca="false">IF(AND(BS6&gt;Assumption!$E$16,BS6&lt;=Assumption!$E$523),Assumption!$E$521/12,0)</f>
        <v>3314.64283791667</v>
      </c>
      <c r="BT129" s="158" t="n">
        <f aca="false">IF(AND(BT6&gt;Assumption!$E$16,BT6&lt;=Assumption!$E$523),Assumption!$E$521/12,0)</f>
        <v>3314.64283791667</v>
      </c>
      <c r="BU129" s="158" t="n">
        <f aca="false">IF(AND(BU6&gt;Assumption!$E$16,BU6&lt;=Assumption!$E$523),Assumption!$E$521/12,0)</f>
        <v>3314.64283791667</v>
      </c>
      <c r="BV129" s="158" t="n">
        <f aca="false">IF(AND(BV6&gt;Assumption!$E$16,BV6&lt;=Assumption!$E$523),Assumption!$E$521/12,0)</f>
        <v>3314.64283791667</v>
      </c>
      <c r="BW129" s="158" t="n">
        <f aca="false">IF(AND(BW6&gt;Assumption!$E$16,BW6&lt;=Assumption!$E$523),Assumption!$E$521/12,0)</f>
        <v>3314.64283791667</v>
      </c>
      <c r="BX129" s="158" t="n">
        <f aca="false">IF(AND(BX6&gt;Assumption!$E$16,BX6&lt;=Assumption!$E$523),Assumption!$E$521/12,0)</f>
        <v>3314.64283791667</v>
      </c>
      <c r="BY129" s="158" t="n">
        <f aca="false">IF(AND(BY6&gt;Assumption!$E$16,BY6&lt;=Assumption!$E$523),Assumption!$E$521/12,0)</f>
        <v>3314.64283791667</v>
      </c>
      <c r="BZ129" s="158" t="n">
        <f aca="false">IF(AND(BZ6&gt;Assumption!$E$16,BZ6&lt;=Assumption!$E$523),Assumption!$E$521/12,0)</f>
        <v>3314.64283791667</v>
      </c>
      <c r="CA129" s="158" t="n">
        <f aca="false">IF(AND(CA6&gt;Assumption!$E$16,CA6&lt;=Assumption!$E$523),Assumption!$E$521/12,0)</f>
        <v>3314.64283791667</v>
      </c>
      <c r="CB129" s="158" t="n">
        <f aca="false">IF(AND(CB6&gt;Assumption!$E$16,CB6&lt;=Assumption!$E$523),Assumption!$E$521/12,0)</f>
        <v>3314.64283791667</v>
      </c>
      <c r="CC129" s="158" t="n">
        <f aca="false">IF(AND(CC6&gt;Assumption!$E$16,CC6&lt;=Assumption!$E$523),Assumption!$E$521/12,0)</f>
        <v>3314.64283791667</v>
      </c>
      <c r="CD129" s="158" t="n">
        <f aca="false">IF(AND(CD6&gt;Assumption!$E$16,CD6&lt;=Assumption!$E$523),Assumption!$E$521/12,0)</f>
        <v>3314.64283791667</v>
      </c>
      <c r="CE129" s="158" t="n">
        <f aca="false">IF(AND(CE6&gt;Assumption!$E$16,CE6&lt;=Assumption!$E$523),Assumption!$E$521/12,0)</f>
        <v>3314.64283791667</v>
      </c>
      <c r="CF129" s="158" t="n">
        <f aca="false">IF(AND(CF6&gt;Assumption!$E$16,CF6&lt;=Assumption!$E$523),Assumption!$E$521/12,0)</f>
        <v>3314.64283791667</v>
      </c>
      <c r="CG129" s="158" t="n">
        <f aca="false">IF(AND(CG6&gt;Assumption!$E$16,CG6&lt;=Assumption!$E$523),Assumption!$E$521/12,0)</f>
        <v>3314.64283791667</v>
      </c>
      <c r="CH129" s="158" t="n">
        <f aca="false">IF(AND(CH6&gt;Assumption!$E$16,CH6&lt;=Assumption!$E$523),Assumption!$E$521/12,0)</f>
        <v>3314.64283791667</v>
      </c>
      <c r="CI129" s="158" t="n">
        <f aca="false">IF(AND(CI6&gt;Assumption!$E$16,CI6&lt;=Assumption!$E$523),Assumption!$E$521/12,0)</f>
        <v>3314.64283791667</v>
      </c>
      <c r="CJ129" s="158" t="n">
        <f aca="false">IF(AND(CJ6&gt;Assumption!$E$16,CJ6&lt;=Assumption!$E$523),Assumption!$E$521/12,0)</f>
        <v>3314.64283791667</v>
      </c>
      <c r="CK129" s="158" t="n">
        <f aca="false">IF(AND(CK6&gt;Assumption!$E$16,CK6&lt;=Assumption!$E$523),Assumption!$E$521/12,0)</f>
        <v>3314.64283791667</v>
      </c>
      <c r="CL129" s="158" t="n">
        <f aca="false">IF(AND(CL6&gt;Assumption!$E$16,CL6&lt;=Assumption!$E$523),Assumption!$E$521/12,0)</f>
        <v>3314.64283791667</v>
      </c>
      <c r="CM129" s="158" t="n">
        <f aca="false">IF(AND(CM6&gt;Assumption!$E$16,CM6&lt;=Assumption!$E$523),Assumption!$E$521/12,0)</f>
        <v>3314.64283791667</v>
      </c>
      <c r="CN129" s="158" t="n">
        <f aca="false">IF(AND(CN6&gt;Assumption!$E$16,CN6&lt;=Assumption!$E$523),Assumption!$E$521/12,0)</f>
        <v>3314.64283791667</v>
      </c>
      <c r="CO129" s="158" t="n">
        <f aca="false">IF(AND(CO6&gt;Assumption!$E$16,CO6&lt;=Assumption!$E$523),Assumption!$E$521/12,0)</f>
        <v>3314.64283791667</v>
      </c>
      <c r="CP129" s="158" t="n">
        <f aca="false">IF(AND(CP6&gt;Assumption!$E$16,CP6&lt;=Assumption!$E$523),Assumption!$E$521/12,0)</f>
        <v>3314.64283791667</v>
      </c>
      <c r="CQ129" s="158" t="n">
        <f aca="false">IF(AND(CQ6&gt;Assumption!$E$16,CQ6&lt;=Assumption!$E$523),Assumption!$E$521/12,0)</f>
        <v>3314.64283791667</v>
      </c>
      <c r="CR129" s="158" t="n">
        <f aca="false">IF(AND(CR6&gt;Assumption!$E$16,CR6&lt;=Assumption!$E$523),Assumption!$E$521/12,0)</f>
        <v>3314.64283791667</v>
      </c>
      <c r="CS129" s="158" t="n">
        <f aca="false">IF(AND(CS6&gt;Assumption!$E$16,CS6&lt;=Assumption!$E$523),Assumption!$E$521/12,0)</f>
        <v>3314.64283791667</v>
      </c>
      <c r="CT129" s="158" t="n">
        <f aca="false">IF(AND(CT6&gt;Assumption!$E$16,CT6&lt;=Assumption!$E$523),Assumption!$E$521/12,0)</f>
        <v>3314.64283791667</v>
      </c>
      <c r="CU129" s="158" t="n">
        <f aca="false">IF(AND(CU6&gt;Assumption!$E$16,CU6&lt;=Assumption!$E$523),Assumption!$E$521/12,0)</f>
        <v>3314.64283791667</v>
      </c>
      <c r="CV129" s="158" t="n">
        <f aca="false">IF(AND(CV6&gt;Assumption!$E$16,CV6&lt;=Assumption!$E$523),Assumption!$E$521/12,0)</f>
        <v>3314.64283791667</v>
      </c>
      <c r="CW129" s="158" t="n">
        <f aca="false">IF(AND(CW6&gt;Assumption!$E$16,CW6&lt;=Assumption!$E$523),Assumption!$E$521/12,0)</f>
        <v>3314.64283791667</v>
      </c>
      <c r="CX129" s="158" t="n">
        <f aca="false">IF(AND(CX6&gt;Assumption!$E$16,CX6&lt;=Assumption!$E$523),Assumption!$E$521/12,0)</f>
        <v>3314.64283791667</v>
      </c>
      <c r="CY129" s="158" t="n">
        <f aca="false">IF(AND(CY6&gt;Assumption!$E$16,CY6&lt;=Assumption!$E$523),Assumption!$E$521/12,0)</f>
        <v>3314.64283791667</v>
      </c>
      <c r="CZ129" s="158" t="n">
        <f aca="false">IF(AND(CZ6&gt;Assumption!$E$16,CZ6&lt;=Assumption!$E$523),Assumption!$E$521/12,0)</f>
        <v>3314.64283791667</v>
      </c>
      <c r="DA129" s="158" t="n">
        <f aca="false">IF(AND(DA6&gt;Assumption!$E$16,DA6&lt;=Assumption!$E$523),Assumption!$E$521/12,0)</f>
        <v>3314.64283791667</v>
      </c>
      <c r="DB129" s="158" t="n">
        <f aca="false">IF(AND(DB6&gt;Assumption!$E$16,DB6&lt;=Assumption!$E$523),Assumption!$E$521/12,0)</f>
        <v>3314.64283791667</v>
      </c>
      <c r="DC129" s="158" t="n">
        <f aca="false">IF(AND(DC6&gt;Assumption!$E$16,DC6&lt;=Assumption!$E$523),Assumption!$E$521/12,0)</f>
        <v>3314.64283791667</v>
      </c>
      <c r="DD129" s="158" t="n">
        <f aca="false">IF(AND(DD6&gt;Assumption!$E$16,DD6&lt;=Assumption!$E$523),Assumption!$E$521/12,0)</f>
        <v>3314.64283791667</v>
      </c>
      <c r="DE129" s="158" t="n">
        <f aca="false">IF(AND(DE6&gt;Assumption!$E$16,DE6&lt;=Assumption!$E$523),Assumption!$E$521/12,0)</f>
        <v>3314.64283791667</v>
      </c>
      <c r="DF129" s="158" t="n">
        <f aca="false">IF(AND(DF6&gt;Assumption!$E$16,DF6&lt;=Assumption!$E$523),Assumption!$E$521/12,0)</f>
        <v>3314.64283791667</v>
      </c>
      <c r="DG129" s="158" t="n">
        <f aca="false">IF(AND(DG6&gt;Assumption!$E$16,DG6&lt;=Assumption!$E$523),Assumption!$E$521/12,0)</f>
        <v>3314.64283791667</v>
      </c>
      <c r="DH129" s="158" t="n">
        <f aca="false">IF(AND(DH6&gt;Assumption!$E$16,DH6&lt;=Assumption!$E$523),Assumption!$E$521/12,0)</f>
        <v>3314.64283791667</v>
      </c>
      <c r="DI129" s="158" t="n">
        <f aca="false">IF(AND(DI6&gt;Assumption!$E$16,DI6&lt;=Assumption!$E$523),Assumption!$E$521/12,0)</f>
        <v>3314.64283791667</v>
      </c>
      <c r="DJ129" s="158" t="n">
        <f aca="false">IF(AND(DJ6&gt;Assumption!$E$16,DJ6&lt;=Assumption!$E$523),Assumption!$E$521/12,0)</f>
        <v>3314.64283791667</v>
      </c>
      <c r="DK129" s="158" t="n">
        <f aca="false">IF(AND(DK6&gt;Assumption!$E$16,DK6&lt;=Assumption!$E$523),Assumption!$E$521/12,0)</f>
        <v>3314.64283791667</v>
      </c>
      <c r="DL129" s="158" t="n">
        <f aca="false">IF(AND(DL6&gt;Assumption!$E$16,DL6&lt;=Assumption!$E$523),Assumption!$E$521/12,0)</f>
        <v>3314.64283791667</v>
      </c>
      <c r="DM129" s="158" t="n">
        <f aca="false">IF(AND(DM6&gt;Assumption!$E$16,DM6&lt;=Assumption!$E$523),Assumption!$E$521/12,0)</f>
        <v>3314.64283791667</v>
      </c>
      <c r="DN129" s="158" t="n">
        <f aca="false">IF(AND(DN6&gt;Assumption!$E$16,DN6&lt;=Assumption!$E$523),Assumption!$E$521/12,0)</f>
        <v>3314.64283791667</v>
      </c>
      <c r="DO129" s="158" t="n">
        <f aca="false">IF(AND(DO6&gt;Assumption!$E$16,DO6&lt;=Assumption!$E$523),Assumption!$E$521/12,0)</f>
        <v>3314.64283791667</v>
      </c>
      <c r="DP129" s="158" t="n">
        <f aca="false">IF(AND(DP6&gt;Assumption!$E$16,DP6&lt;=Assumption!$E$523),Assumption!$E$521/12,0)</f>
        <v>3314.64283791667</v>
      </c>
      <c r="DQ129" s="158" t="n">
        <f aca="false">IF(AND(DQ6&gt;Assumption!$E$16,DQ6&lt;=Assumption!$E$523),Assumption!$E$521/12,0)</f>
        <v>3314.64283791667</v>
      </c>
      <c r="DR129" s="158" t="n">
        <f aca="false">IF(AND(DR6&gt;Assumption!$E$16,DR6&lt;=Assumption!$E$523),Assumption!$E$521/12,0)</f>
        <v>3314.64283791667</v>
      </c>
      <c r="DS129" s="158" t="n">
        <f aca="false">IF(AND(DS6&gt;Assumption!$E$16,DS6&lt;=Assumption!$E$523),Assumption!$E$521/12,0)</f>
        <v>3314.64283791667</v>
      </c>
      <c r="DT129" s="158" t="n">
        <f aca="false">IF(AND(DT6&gt;Assumption!$E$16,DT6&lt;=Assumption!$E$523),Assumption!$E$521/12,0)</f>
        <v>3314.64283791667</v>
      </c>
      <c r="DU129" s="158" t="n">
        <f aca="false">IF(AND(DU6&gt;Assumption!$E$16,DU6&lt;=Assumption!$E$523),Assumption!$E$521/12,0)</f>
        <v>0</v>
      </c>
      <c r="DV129" s="158" t="n">
        <f aca="false">IF(AND(DV6&gt;Assumption!$E$16,DV6&lt;=Assumption!$E$523),Assumption!$E$521/12,0)</f>
        <v>0</v>
      </c>
      <c r="DW129" s="158" t="n">
        <f aca="false">IF(AND(DW6&gt;Assumption!$E$16,DW6&lt;=Assumption!$E$523),Assumption!$E$521/12,0)</f>
        <v>0</v>
      </c>
      <c r="DX129" s="158" t="n">
        <f aca="false">IF(AND(DX6&gt;Assumption!$E$16,DX6&lt;=Assumption!$E$523),Assumption!$E$521/12,0)</f>
        <v>0</v>
      </c>
      <c r="DY129" s="158" t="n">
        <f aca="false">IF(AND(DY6&gt;Assumption!$E$16,DY6&lt;=Assumption!$E$523),Assumption!$E$521/12,0)</f>
        <v>0</v>
      </c>
      <c r="DZ129" s="158" t="n">
        <f aca="false">IF(AND(DZ6&gt;Assumption!$E$16,DZ6&lt;=Assumption!$E$523),Assumption!$E$521/12,0)</f>
        <v>0</v>
      </c>
      <c r="EA129" s="158" t="n">
        <f aca="false">IF(AND(EA6&gt;Assumption!$E$16,EA6&lt;=Assumption!$E$523),Assumption!$E$521/12,0)</f>
        <v>0</v>
      </c>
      <c r="EB129" s="158" t="n">
        <f aca="false">IF(AND(EB6&gt;Assumption!$E$16,EB6&lt;=Assumption!$E$523),Assumption!$E$521/12,0)</f>
        <v>0</v>
      </c>
      <c r="EC129" s="158" t="n">
        <f aca="false">IF(AND(EC6&gt;Assumption!$E$16,EC6&lt;=Assumption!$E$523),Assumption!$E$521/12,0)</f>
        <v>0</v>
      </c>
      <c r="ED129" s="158" t="n">
        <f aca="false">IF(AND(ED6&gt;Assumption!$E$16,ED6&lt;=Assumption!$E$523),Assumption!$E$521/12,0)</f>
        <v>0</v>
      </c>
      <c r="EE129" s="158" t="n">
        <f aca="false">IF(AND(EE6&gt;Assumption!$E$16,EE6&lt;=Assumption!$E$523),Assumption!$E$521/12,0)</f>
        <v>0</v>
      </c>
      <c r="EF129" s="158" t="n">
        <f aca="false">IF(AND(EF6&gt;Assumption!$E$16,EF6&lt;=Assumption!$E$523),Assumption!$E$521/12,0)</f>
        <v>0</v>
      </c>
    </row>
    <row r="130" customFormat="false" ht="15" hidden="false" customHeight="false" outlineLevel="0" collapsed="false">
      <c r="A130" s="35" t="s">
        <v>585</v>
      </c>
      <c r="B130" s="241" t="s">
        <v>116</v>
      </c>
      <c r="C130" s="242" t="n">
        <f aca="false">SUM(E130:EF130)</f>
        <v>759668.28</v>
      </c>
      <c r="E130" s="158" t="n">
        <f aca="false">IF(E6=Assumption!$E$523,Assumption!$E$520,0)</f>
        <v>0</v>
      </c>
      <c r="F130" s="158" t="n">
        <f aca="false">IF(F6=Assumption!$E$523,Assumption!$E$520,0)</f>
        <v>0</v>
      </c>
      <c r="G130" s="158" t="n">
        <f aca="false">IF(G6=Assumption!$E$523,Assumption!$E$520,0)</f>
        <v>0</v>
      </c>
      <c r="H130" s="158" t="n">
        <f aca="false">IF(H6=Assumption!$E$523,Assumption!$E$520,0)</f>
        <v>0</v>
      </c>
      <c r="I130" s="158" t="n">
        <f aca="false">IF(I6=Assumption!$E$523,Assumption!$E$520,0)</f>
        <v>0</v>
      </c>
      <c r="J130" s="158" t="n">
        <f aca="false">IF(J6=Assumption!$E$523,Assumption!$E$520,0)</f>
        <v>0</v>
      </c>
      <c r="K130" s="158" t="n">
        <f aca="false">IF(K6=Assumption!$E$523,Assumption!$E$520,0)</f>
        <v>0</v>
      </c>
      <c r="L130" s="158" t="n">
        <f aca="false">IF(L6=Assumption!$E$523,Assumption!$E$520,0)</f>
        <v>0</v>
      </c>
      <c r="M130" s="158" t="n">
        <f aca="false">IF(M6=Assumption!$E$523,Assumption!$E$520,0)</f>
        <v>0</v>
      </c>
      <c r="N130" s="158" t="n">
        <f aca="false">IF(N6=Assumption!$E$523,Assumption!$E$520,0)</f>
        <v>0</v>
      </c>
      <c r="O130" s="158" t="n">
        <f aca="false">IF(O6=Assumption!$E$523,Assumption!$E$520,0)</f>
        <v>0</v>
      </c>
      <c r="P130" s="158" t="n">
        <f aca="false">IF(P6=Assumption!$E$523,Assumption!$E$520,0)</f>
        <v>0</v>
      </c>
      <c r="Q130" s="158" t="n">
        <f aca="false">IF(Q6=Assumption!$E$523,Assumption!$E$520,0)</f>
        <v>0</v>
      </c>
      <c r="R130" s="158" t="n">
        <f aca="false">IF(R6=Assumption!$E$523,Assumption!$E$520,0)</f>
        <v>0</v>
      </c>
      <c r="S130" s="158" t="n">
        <f aca="false">IF(S6=Assumption!$E$523,Assumption!$E$520,0)</f>
        <v>0</v>
      </c>
      <c r="T130" s="158" t="n">
        <f aca="false">IF(T6=Assumption!$E$523,Assumption!$E$520,0)</f>
        <v>0</v>
      </c>
      <c r="U130" s="158" t="n">
        <f aca="false">IF(U6=Assumption!$E$523,Assumption!$E$520,0)</f>
        <v>0</v>
      </c>
      <c r="V130" s="158" t="n">
        <f aca="false">IF(V6=Assumption!$E$523,Assumption!$E$520,0)</f>
        <v>0</v>
      </c>
      <c r="W130" s="158" t="n">
        <f aca="false">IF(W6=Assumption!$E$523,Assumption!$E$520,0)</f>
        <v>0</v>
      </c>
      <c r="X130" s="158" t="n">
        <f aca="false">IF(X6=Assumption!$E$523,Assumption!$E$520,0)</f>
        <v>0</v>
      </c>
      <c r="Y130" s="158" t="n">
        <f aca="false">IF(Y6=Assumption!$E$523,Assumption!$E$520,0)</f>
        <v>0</v>
      </c>
      <c r="Z130" s="158" t="n">
        <f aca="false">IF(Z6=Assumption!$E$523,Assumption!$E$520,0)</f>
        <v>0</v>
      </c>
      <c r="AA130" s="158" t="n">
        <f aca="false">IF(AA6=Assumption!$E$523,Assumption!$E$520,0)</f>
        <v>0</v>
      </c>
      <c r="AB130" s="158" t="n">
        <f aca="false">IF(AB6=Assumption!$E$523,Assumption!$E$520,0)</f>
        <v>0</v>
      </c>
      <c r="AC130" s="158" t="n">
        <f aca="false">IF(AC6=Assumption!$E$523,Assumption!$E$520,0)</f>
        <v>0</v>
      </c>
      <c r="AD130" s="158" t="n">
        <f aca="false">IF(AD6=Assumption!$E$523,Assumption!$E$520,0)</f>
        <v>0</v>
      </c>
      <c r="AE130" s="158" t="n">
        <f aca="false">IF(AE6=Assumption!$E$523,Assumption!$E$520,0)</f>
        <v>0</v>
      </c>
      <c r="AF130" s="158" t="n">
        <f aca="false">IF(AF6=Assumption!$E$523,Assumption!$E$520,0)</f>
        <v>0</v>
      </c>
      <c r="AG130" s="158" t="n">
        <f aca="false">IF(AG6=Assumption!$E$523,Assumption!$E$520,0)</f>
        <v>0</v>
      </c>
      <c r="AH130" s="158" t="n">
        <f aca="false">IF(AH6=Assumption!$E$523,Assumption!$E$520,0)</f>
        <v>0</v>
      </c>
      <c r="AI130" s="158" t="n">
        <f aca="false">IF(AI6=Assumption!$E$523,Assumption!$E$520,0)</f>
        <v>0</v>
      </c>
      <c r="AJ130" s="158" t="n">
        <f aca="false">IF(AJ6=Assumption!$E$523,Assumption!$E$520,0)</f>
        <v>0</v>
      </c>
      <c r="AK130" s="158" t="n">
        <f aca="false">IF(AK6=Assumption!$E$523,Assumption!$E$520,0)</f>
        <v>0</v>
      </c>
      <c r="AL130" s="158" t="n">
        <f aca="false">IF(AL6=Assumption!$E$523,Assumption!$E$520,0)</f>
        <v>0</v>
      </c>
      <c r="AM130" s="158" t="n">
        <f aca="false">IF(AM6=Assumption!$E$523,Assumption!$E$520,0)</f>
        <v>0</v>
      </c>
      <c r="AN130" s="158" t="n">
        <f aca="false">IF(AN6=Assumption!$E$523,Assumption!$E$520,0)</f>
        <v>0</v>
      </c>
      <c r="AO130" s="158" t="n">
        <f aca="false">IF(AO6=Assumption!$E$523,Assumption!$E$520,0)</f>
        <v>0</v>
      </c>
      <c r="AP130" s="158" t="n">
        <f aca="false">IF(AP6=Assumption!$E$523,Assumption!$E$520,0)</f>
        <v>0</v>
      </c>
      <c r="AQ130" s="158" t="n">
        <f aca="false">IF(AQ6=Assumption!$E$523,Assumption!$E$520,0)</f>
        <v>0</v>
      </c>
      <c r="AR130" s="158" t="n">
        <f aca="false">IF(AR6=Assumption!$E$523,Assumption!$E$520,0)</f>
        <v>0</v>
      </c>
      <c r="AS130" s="158" t="n">
        <f aca="false">IF(AS6=Assumption!$E$523,Assumption!$E$520,0)</f>
        <v>0</v>
      </c>
      <c r="AT130" s="158" t="n">
        <f aca="false">IF(AT6=Assumption!$E$523,Assumption!$E$520,0)</f>
        <v>0</v>
      </c>
      <c r="AU130" s="158" t="n">
        <f aca="false">IF(AU6=Assumption!$E$523,Assumption!$E$520,0)</f>
        <v>0</v>
      </c>
      <c r="AV130" s="158" t="n">
        <f aca="false">IF(AV6=Assumption!$E$523,Assumption!$E$520,0)</f>
        <v>0</v>
      </c>
      <c r="AW130" s="158" t="n">
        <f aca="false">IF(AW6=Assumption!$E$523,Assumption!$E$520,0)</f>
        <v>0</v>
      </c>
      <c r="AX130" s="158" t="n">
        <f aca="false">IF(AX6=Assumption!$E$523,Assumption!$E$520,0)</f>
        <v>0</v>
      </c>
      <c r="AY130" s="158" t="n">
        <f aca="false">IF(AY6=Assumption!$E$523,Assumption!$E$520,0)</f>
        <v>0</v>
      </c>
      <c r="AZ130" s="158" t="n">
        <f aca="false">IF(AZ6=Assumption!$E$523,Assumption!$E$520,0)</f>
        <v>0</v>
      </c>
      <c r="BA130" s="158" t="n">
        <f aca="false">IF(BA6=Assumption!$E$523,Assumption!$E$520,0)</f>
        <v>0</v>
      </c>
      <c r="BB130" s="158" t="n">
        <f aca="false">IF(BB6=Assumption!$E$523,Assumption!$E$520,0)</f>
        <v>0</v>
      </c>
      <c r="BC130" s="158" t="n">
        <f aca="false">IF(BC6=Assumption!$E$523,Assumption!$E$520,0)</f>
        <v>0</v>
      </c>
      <c r="BD130" s="158" t="n">
        <f aca="false">IF(BD6=Assumption!$E$523,Assumption!$E$520,0)</f>
        <v>0</v>
      </c>
      <c r="BE130" s="158" t="n">
        <f aca="false">IF(BE6=Assumption!$E$523,Assumption!$E$520,0)</f>
        <v>0</v>
      </c>
      <c r="BF130" s="158" t="n">
        <f aca="false">IF(BF6=Assumption!$E$523,Assumption!$E$520,0)</f>
        <v>0</v>
      </c>
      <c r="BG130" s="158" t="n">
        <f aca="false">IF(BG6=Assumption!$E$523,Assumption!$E$520,0)</f>
        <v>0</v>
      </c>
      <c r="BH130" s="158" t="n">
        <f aca="false">IF(BH6=Assumption!$E$523,Assumption!$E$520,0)</f>
        <v>0</v>
      </c>
      <c r="BI130" s="158" t="n">
        <f aca="false">IF(BI6=Assumption!$E$523,Assumption!$E$520,0)</f>
        <v>0</v>
      </c>
      <c r="BJ130" s="158" t="n">
        <f aca="false">IF(BJ6=Assumption!$E$523,Assumption!$E$520,0)</f>
        <v>0</v>
      </c>
      <c r="BK130" s="158" t="n">
        <f aca="false">IF(BK6=Assumption!$E$523,Assumption!$E$520,0)</f>
        <v>0</v>
      </c>
      <c r="BL130" s="158" t="n">
        <f aca="false">IF(BL6=Assumption!$E$523,Assumption!$E$520,0)</f>
        <v>0</v>
      </c>
      <c r="BM130" s="158" t="n">
        <f aca="false">IF(BM6=Assumption!$E$523,Assumption!$E$520,0)</f>
        <v>0</v>
      </c>
      <c r="BN130" s="158" t="n">
        <f aca="false">IF(BN6=Assumption!$E$523,Assumption!$E$520,0)</f>
        <v>0</v>
      </c>
      <c r="BO130" s="158" t="n">
        <f aca="false">IF(BO6=Assumption!$E$523,Assumption!$E$520,0)</f>
        <v>0</v>
      </c>
      <c r="BP130" s="158" t="n">
        <f aca="false">IF(BP6=Assumption!$E$523,Assumption!$E$520,0)</f>
        <v>0</v>
      </c>
      <c r="BQ130" s="158" t="n">
        <f aca="false">IF(BQ6=Assumption!$E$523,Assumption!$E$520,0)</f>
        <v>0</v>
      </c>
      <c r="BR130" s="158" t="n">
        <f aca="false">IF(BR6=Assumption!$E$523,Assumption!$E$520,0)</f>
        <v>0</v>
      </c>
      <c r="BS130" s="158" t="n">
        <f aca="false">IF(BS6=Assumption!$E$523,Assumption!$E$520,0)</f>
        <v>0</v>
      </c>
      <c r="BT130" s="158" t="n">
        <f aca="false">IF(BT6=Assumption!$E$523,Assumption!$E$520,0)</f>
        <v>0</v>
      </c>
      <c r="BU130" s="158" t="n">
        <f aca="false">IF(BU6=Assumption!$E$523,Assumption!$E$520,0)</f>
        <v>0</v>
      </c>
      <c r="BV130" s="158" t="n">
        <f aca="false">IF(BV6=Assumption!$E$523,Assumption!$E$520,0)</f>
        <v>0</v>
      </c>
      <c r="BW130" s="158" t="n">
        <f aca="false">IF(BW6=Assumption!$E$523,Assumption!$E$520,0)</f>
        <v>0</v>
      </c>
      <c r="BX130" s="158" t="n">
        <f aca="false">IF(BX6=Assumption!$E$523,Assumption!$E$520,0)</f>
        <v>0</v>
      </c>
      <c r="BY130" s="158" t="n">
        <f aca="false">IF(BY6=Assumption!$E$523,Assumption!$E$520,0)</f>
        <v>0</v>
      </c>
      <c r="BZ130" s="158" t="n">
        <f aca="false">IF(BZ6=Assumption!$E$523,Assumption!$E$520,0)</f>
        <v>0</v>
      </c>
      <c r="CA130" s="158" t="n">
        <f aca="false">IF(CA6=Assumption!$E$523,Assumption!$E$520,0)</f>
        <v>0</v>
      </c>
      <c r="CB130" s="158" t="n">
        <f aca="false">IF(CB6=Assumption!$E$523,Assumption!$E$520,0)</f>
        <v>0</v>
      </c>
      <c r="CC130" s="158" t="n">
        <f aca="false">IF(CC6=Assumption!$E$523,Assumption!$E$520,0)</f>
        <v>0</v>
      </c>
      <c r="CD130" s="158" t="n">
        <f aca="false">IF(CD6=Assumption!$E$523,Assumption!$E$520,0)</f>
        <v>0</v>
      </c>
      <c r="CE130" s="158" t="n">
        <f aca="false">IF(CE6=Assumption!$E$523,Assumption!$E$520,0)</f>
        <v>0</v>
      </c>
      <c r="CF130" s="158" t="n">
        <f aca="false">IF(CF6=Assumption!$E$523,Assumption!$E$520,0)</f>
        <v>0</v>
      </c>
      <c r="CG130" s="158" t="n">
        <f aca="false">IF(CG6=Assumption!$E$523,Assumption!$E$520,0)</f>
        <v>0</v>
      </c>
      <c r="CH130" s="158" t="n">
        <f aca="false">IF(CH6=Assumption!$E$523,Assumption!$E$520,0)</f>
        <v>0</v>
      </c>
      <c r="CI130" s="158" t="n">
        <f aca="false">IF(CI6=Assumption!$E$523,Assumption!$E$520,0)</f>
        <v>0</v>
      </c>
      <c r="CJ130" s="158" t="n">
        <f aca="false">IF(CJ6=Assumption!$E$523,Assumption!$E$520,0)</f>
        <v>0</v>
      </c>
      <c r="CK130" s="158" t="n">
        <f aca="false">IF(CK6=Assumption!$E$523,Assumption!$E$520,0)</f>
        <v>0</v>
      </c>
      <c r="CL130" s="158" t="n">
        <f aca="false">IF(CL6=Assumption!$E$523,Assumption!$E$520,0)</f>
        <v>0</v>
      </c>
      <c r="CM130" s="158" t="n">
        <f aca="false">IF(CM6=Assumption!$E$523,Assumption!$E$520,0)</f>
        <v>0</v>
      </c>
      <c r="CN130" s="158" t="n">
        <f aca="false">IF(CN6=Assumption!$E$523,Assumption!$E$520,0)</f>
        <v>0</v>
      </c>
      <c r="CO130" s="158" t="n">
        <f aca="false">IF(CO6=Assumption!$E$523,Assumption!$E$520,0)</f>
        <v>0</v>
      </c>
      <c r="CP130" s="158" t="n">
        <f aca="false">IF(CP6=Assumption!$E$523,Assumption!$E$520,0)</f>
        <v>0</v>
      </c>
      <c r="CQ130" s="158" t="n">
        <f aca="false">IF(CQ6=Assumption!$E$523,Assumption!$E$520,0)</f>
        <v>0</v>
      </c>
      <c r="CR130" s="158" t="n">
        <f aca="false">IF(CR6=Assumption!$E$523,Assumption!$E$520,0)</f>
        <v>0</v>
      </c>
      <c r="CS130" s="158" t="n">
        <f aca="false">IF(CS6=Assumption!$E$523,Assumption!$E$520,0)</f>
        <v>0</v>
      </c>
      <c r="CT130" s="158" t="n">
        <f aca="false">IF(CT6=Assumption!$E$523,Assumption!$E$520,0)</f>
        <v>0</v>
      </c>
      <c r="CU130" s="158" t="n">
        <f aca="false">IF(CU6=Assumption!$E$523,Assumption!$E$520,0)</f>
        <v>0</v>
      </c>
      <c r="CV130" s="158" t="n">
        <f aca="false">IF(CV6=Assumption!$E$523,Assumption!$E$520,0)</f>
        <v>0</v>
      </c>
      <c r="CW130" s="158" t="n">
        <f aca="false">IF(CW6=Assumption!$E$523,Assumption!$E$520,0)</f>
        <v>0</v>
      </c>
      <c r="CX130" s="158" t="n">
        <f aca="false">IF(CX6=Assumption!$E$523,Assumption!$E$520,0)</f>
        <v>0</v>
      </c>
      <c r="CY130" s="158" t="n">
        <f aca="false">IF(CY6=Assumption!$E$523,Assumption!$E$520,0)</f>
        <v>0</v>
      </c>
      <c r="CZ130" s="158" t="n">
        <f aca="false">IF(CZ6=Assumption!$E$523,Assumption!$E$520,0)</f>
        <v>0</v>
      </c>
      <c r="DA130" s="158" t="n">
        <f aca="false">IF(DA6=Assumption!$E$523,Assumption!$E$520,0)</f>
        <v>0</v>
      </c>
      <c r="DB130" s="158" t="n">
        <f aca="false">IF(DB6=Assumption!$E$523,Assumption!$E$520,0)</f>
        <v>0</v>
      </c>
      <c r="DC130" s="158" t="n">
        <f aca="false">IF(DC6=Assumption!$E$523,Assumption!$E$520,0)</f>
        <v>0</v>
      </c>
      <c r="DD130" s="158" t="n">
        <f aca="false">IF(DD6=Assumption!$E$523,Assumption!$E$520,0)</f>
        <v>0</v>
      </c>
      <c r="DE130" s="158" t="n">
        <f aca="false">IF(DE6=Assumption!$E$523,Assumption!$E$520,0)</f>
        <v>0</v>
      </c>
      <c r="DF130" s="158" t="n">
        <f aca="false">IF(DF6=Assumption!$E$523,Assumption!$E$520,0)</f>
        <v>0</v>
      </c>
      <c r="DG130" s="158" t="n">
        <f aca="false">IF(DG6=Assumption!$E$523,Assumption!$E$520,0)</f>
        <v>0</v>
      </c>
      <c r="DH130" s="158" t="n">
        <f aca="false">IF(DH6=Assumption!$E$523,Assumption!$E$520,0)</f>
        <v>0</v>
      </c>
      <c r="DI130" s="158" t="n">
        <f aca="false">IF(DI6=Assumption!$E$523,Assumption!$E$520,0)</f>
        <v>0</v>
      </c>
      <c r="DJ130" s="158" t="n">
        <f aca="false">IF(DJ6=Assumption!$E$523,Assumption!$E$520,0)</f>
        <v>0</v>
      </c>
      <c r="DK130" s="158" t="n">
        <f aca="false">IF(DK6=Assumption!$E$523,Assumption!$E$520,0)</f>
        <v>0</v>
      </c>
      <c r="DL130" s="158" t="n">
        <f aca="false">IF(DL6=Assumption!$E$523,Assumption!$E$520,0)</f>
        <v>0</v>
      </c>
      <c r="DM130" s="158" t="n">
        <f aca="false">IF(DM6=Assumption!$E$523,Assumption!$E$520,0)</f>
        <v>0</v>
      </c>
      <c r="DN130" s="158" t="n">
        <f aca="false">IF(DN6=Assumption!$E$523,Assumption!$E$520,0)</f>
        <v>0</v>
      </c>
      <c r="DO130" s="158" t="n">
        <f aca="false">IF(DO6=Assumption!$E$523,Assumption!$E$520,0)</f>
        <v>0</v>
      </c>
      <c r="DP130" s="158" t="n">
        <f aca="false">IF(DP6=Assumption!$E$523,Assumption!$E$520,0)</f>
        <v>0</v>
      </c>
      <c r="DQ130" s="158" t="n">
        <f aca="false">IF(DQ6=Assumption!$E$523,Assumption!$E$520,0)</f>
        <v>0</v>
      </c>
      <c r="DR130" s="158" t="n">
        <f aca="false">IF(DR6=Assumption!$E$523,Assumption!$E$520,0)</f>
        <v>0</v>
      </c>
      <c r="DS130" s="158" t="n">
        <f aca="false">IF(DS6=Assumption!$E$523,Assumption!$E$520,0)</f>
        <v>0</v>
      </c>
      <c r="DT130" s="158" t="n">
        <f aca="false">IF(DT6=Assumption!$E$523,Assumption!$E$520,0)</f>
        <v>759668.28</v>
      </c>
      <c r="DU130" s="158" t="n">
        <f aca="false">IF(DU6=Assumption!$E$523,Assumption!$E$520,0)</f>
        <v>0</v>
      </c>
      <c r="DV130" s="158" t="n">
        <f aca="false">IF(DV6=Assumption!$E$523,Assumption!$E$520,0)</f>
        <v>0</v>
      </c>
      <c r="DW130" s="158" t="n">
        <f aca="false">IF(DW6=Assumption!$E$523,Assumption!$E$520,0)</f>
        <v>0</v>
      </c>
      <c r="DX130" s="158" t="n">
        <f aca="false">IF(DX6=Assumption!$E$523,Assumption!$E$520,0)</f>
        <v>0</v>
      </c>
      <c r="DY130" s="158" t="n">
        <f aca="false">IF(DY6=Assumption!$E$523,Assumption!$E$520,0)</f>
        <v>0</v>
      </c>
      <c r="DZ130" s="158" t="n">
        <f aca="false">IF(DZ6=Assumption!$E$523,Assumption!$E$520,0)</f>
        <v>0</v>
      </c>
      <c r="EA130" s="158" t="n">
        <f aca="false">IF(EA6=Assumption!$E$523,Assumption!$E$520,0)</f>
        <v>0</v>
      </c>
      <c r="EB130" s="158" t="n">
        <f aca="false">IF(EB6=Assumption!$E$523,Assumption!$E$520,0)</f>
        <v>0</v>
      </c>
      <c r="EC130" s="158" t="n">
        <f aca="false">IF(EC6=Assumption!$E$523,Assumption!$E$520,0)</f>
        <v>0</v>
      </c>
      <c r="ED130" s="158" t="n">
        <f aca="false">IF(ED6=Assumption!$E$523,Assumption!$E$520,0)</f>
        <v>0</v>
      </c>
      <c r="EE130" s="158" t="n">
        <f aca="false">IF(EE6=Assumption!$E$523,Assumption!$E$520,0)</f>
        <v>0</v>
      </c>
      <c r="EF130" s="158" t="n">
        <f aca="false">IF(EF6=Assumption!$E$523,Assumption!$E$520,0)</f>
        <v>0</v>
      </c>
    </row>
    <row r="131" customFormat="false" ht="15" hidden="false" customHeight="false" outlineLevel="0" collapsed="false">
      <c r="A131" s="35" t="s">
        <v>586</v>
      </c>
      <c r="B131" s="241" t="s">
        <v>116</v>
      </c>
      <c r="C131" s="242" t="n">
        <f aca="false">MAX(E131:EF131)</f>
        <v>759668.28</v>
      </c>
      <c r="E131" s="158" t="n">
        <f aca="false">0+E127-E130</f>
        <v>0</v>
      </c>
      <c r="F131" s="158" t="n">
        <f aca="false">E131+F127-F130</f>
        <v>0</v>
      </c>
      <c r="G131" s="158" t="n">
        <f aca="false">F131+G127-G130</f>
        <v>0</v>
      </c>
      <c r="H131" s="158" t="n">
        <f aca="false">G131+H127-H130</f>
        <v>0</v>
      </c>
      <c r="I131" s="158" t="n">
        <f aca="false">H131+I127-I130</f>
        <v>0</v>
      </c>
      <c r="J131" s="158" t="n">
        <f aca="false">I131+J127-J130</f>
        <v>0</v>
      </c>
      <c r="K131" s="158" t="n">
        <f aca="false">J131+K127-K130</f>
        <v>0</v>
      </c>
      <c r="L131" s="158" t="n">
        <f aca="false">K131+L127-L130</f>
        <v>0</v>
      </c>
      <c r="M131" s="158" t="n">
        <f aca="false">L131+M127-M130</f>
        <v>0</v>
      </c>
      <c r="N131" s="158" t="n">
        <f aca="false">M131+N127-N130</f>
        <v>0</v>
      </c>
      <c r="O131" s="158" t="n">
        <f aca="false">N131+O127-O130</f>
        <v>0</v>
      </c>
      <c r="P131" s="158" t="n">
        <f aca="false">O131+P127-P130</f>
        <v>0</v>
      </c>
      <c r="Q131" s="158" t="n">
        <f aca="false">P131+Q127-Q130</f>
        <v>0</v>
      </c>
      <c r="R131" s="158" t="n">
        <f aca="false">Q131+R127-R130</f>
        <v>0</v>
      </c>
      <c r="S131" s="158" t="n">
        <f aca="false">R131+S127-S130</f>
        <v>0</v>
      </c>
      <c r="T131" s="158" t="n">
        <f aca="false">S131+T127-T130</f>
        <v>0</v>
      </c>
      <c r="U131" s="158" t="n">
        <f aca="false">T131+U127-U130</f>
        <v>0</v>
      </c>
      <c r="V131" s="158" t="n">
        <f aca="false">U131+V127-V130</f>
        <v>0</v>
      </c>
      <c r="W131" s="158" t="n">
        <f aca="false">V131+W127-W130</f>
        <v>0</v>
      </c>
      <c r="X131" s="158" t="n">
        <f aca="false">W131+X127-X130</f>
        <v>0</v>
      </c>
      <c r="Y131" s="158" t="n">
        <f aca="false">X131+Y127-Y130</f>
        <v>0</v>
      </c>
      <c r="Z131" s="158" t="n">
        <f aca="false">Y131+Z127-Z130</f>
        <v>0</v>
      </c>
      <c r="AA131" s="158" t="n">
        <f aca="false">Z131+AA127-AA130</f>
        <v>0</v>
      </c>
      <c r="AB131" s="158" t="n">
        <f aca="false">AA131+AB127-AB130</f>
        <v>0</v>
      </c>
      <c r="AC131" s="158" t="n">
        <f aca="false">AB131+AC127-AC130</f>
        <v>0</v>
      </c>
      <c r="AD131" s="158" t="n">
        <f aca="false">AC131+AD127-AD130</f>
        <v>0</v>
      </c>
      <c r="AE131" s="158" t="n">
        <f aca="false">AD131+AE127-AE130</f>
        <v>0</v>
      </c>
      <c r="AF131" s="158" t="n">
        <f aca="false">AE131+AF127-AF130</f>
        <v>0</v>
      </c>
      <c r="AG131" s="158" t="n">
        <f aca="false">AF131+AG127-AG130</f>
        <v>0</v>
      </c>
      <c r="AH131" s="158" t="n">
        <f aca="false">AG131+AH127-AH130</f>
        <v>0</v>
      </c>
      <c r="AI131" s="158" t="n">
        <f aca="false">AH131+AI127-AI130</f>
        <v>0</v>
      </c>
      <c r="AJ131" s="158" t="n">
        <f aca="false">AI131+AJ127-AJ130</f>
        <v>0</v>
      </c>
      <c r="AK131" s="158" t="n">
        <f aca="false">AJ131+AK127-AK130</f>
        <v>0</v>
      </c>
      <c r="AL131" s="158" t="n">
        <f aca="false">AK131+AL127-AL130</f>
        <v>0</v>
      </c>
      <c r="AM131" s="158" t="n">
        <f aca="false">AL131+AM127-AM130</f>
        <v>0</v>
      </c>
      <c r="AN131" s="158" t="n">
        <f aca="false">AM131+AN127-AN130</f>
        <v>0</v>
      </c>
      <c r="AO131" s="158" t="n">
        <f aca="false">AN131+AO127-AO130</f>
        <v>0</v>
      </c>
      <c r="AP131" s="158" t="n">
        <f aca="false">AO131+AP127-AP130</f>
        <v>0</v>
      </c>
      <c r="AQ131" s="158" t="n">
        <f aca="false">AP131+AQ127-AQ130</f>
        <v>0</v>
      </c>
      <c r="AR131" s="158" t="n">
        <f aca="false">AQ131+AR127-AR130</f>
        <v>0</v>
      </c>
      <c r="AS131" s="158" t="n">
        <f aca="false">AR131+AS127-AS130</f>
        <v>0</v>
      </c>
      <c r="AT131" s="158" t="n">
        <f aca="false">AS131+AT127-AT130</f>
        <v>0</v>
      </c>
      <c r="AU131" s="158" t="n">
        <f aca="false">AT131+AU127-AU130</f>
        <v>0</v>
      </c>
      <c r="AV131" s="158" t="n">
        <f aca="false">AU131+AV127-AV130</f>
        <v>0</v>
      </c>
      <c r="AW131" s="158" t="n">
        <f aca="false">AV131+AW127-AW130</f>
        <v>0</v>
      </c>
      <c r="AX131" s="158" t="n">
        <f aca="false">AW131+AX127-AX130</f>
        <v>0</v>
      </c>
      <c r="AY131" s="158" t="n">
        <f aca="false">AX131+AY127-AY130</f>
        <v>0</v>
      </c>
      <c r="AZ131" s="158" t="n">
        <f aca="false">AY131+AZ127-AZ130</f>
        <v>0</v>
      </c>
      <c r="BA131" s="158" t="n">
        <f aca="false">AZ131+BA127-BA130</f>
        <v>0</v>
      </c>
      <c r="BB131" s="158" t="n">
        <f aca="false">BA131+BB127-BB130</f>
        <v>0</v>
      </c>
      <c r="BC131" s="158" t="n">
        <f aca="false">BB131+BC127-BC130</f>
        <v>0</v>
      </c>
      <c r="BD131" s="158" t="n">
        <f aca="false">BC131+BD127-BD130</f>
        <v>0</v>
      </c>
      <c r="BE131" s="158" t="n">
        <f aca="false">BD131+BE127-BE130</f>
        <v>0</v>
      </c>
      <c r="BF131" s="158" t="n">
        <f aca="false">BE131+BF127-BF130</f>
        <v>0</v>
      </c>
      <c r="BG131" s="158" t="n">
        <f aca="false">BF131+BG127-BG130</f>
        <v>0</v>
      </c>
      <c r="BH131" s="158" t="n">
        <f aca="false">BG131+BH127-BH130</f>
        <v>0</v>
      </c>
      <c r="BI131" s="158" t="n">
        <f aca="false">BH131+BI127-BI130</f>
        <v>0</v>
      </c>
      <c r="BJ131" s="158" t="n">
        <f aca="false">BI131+BJ127-BJ130</f>
        <v>0</v>
      </c>
      <c r="BK131" s="158" t="n">
        <f aca="false">BJ131+BK127-BK130</f>
        <v>0</v>
      </c>
      <c r="BL131" s="158" t="n">
        <f aca="false">BK131+BL127-BL130</f>
        <v>759668.28</v>
      </c>
      <c r="BM131" s="158" t="n">
        <f aca="false">BL131+BM127-BM130</f>
        <v>759668.28</v>
      </c>
      <c r="BN131" s="158" t="n">
        <f aca="false">BM131+BN127-BN130</f>
        <v>759668.28</v>
      </c>
      <c r="BO131" s="158" t="n">
        <f aca="false">BN131+BO127-BO130</f>
        <v>759668.28</v>
      </c>
      <c r="BP131" s="158" t="n">
        <f aca="false">BO131+BP127-BP130</f>
        <v>759668.28</v>
      </c>
      <c r="BQ131" s="158" t="n">
        <f aca="false">BP131+BQ127-BQ130</f>
        <v>759668.28</v>
      </c>
      <c r="BR131" s="158" t="n">
        <f aca="false">BQ131+BR127-BR130</f>
        <v>759668.28</v>
      </c>
      <c r="BS131" s="158" t="n">
        <f aca="false">BR131+BS127-BS130</f>
        <v>759668.28</v>
      </c>
      <c r="BT131" s="158" t="n">
        <f aca="false">BS131+BT127-BT130</f>
        <v>759668.28</v>
      </c>
      <c r="BU131" s="158" t="n">
        <f aca="false">BT131+BU127-BU130</f>
        <v>759668.28</v>
      </c>
      <c r="BV131" s="158" t="n">
        <f aca="false">BU131+BV127-BV130</f>
        <v>759668.28</v>
      </c>
      <c r="BW131" s="158" t="n">
        <f aca="false">BV131+BW127-BW130</f>
        <v>759668.28</v>
      </c>
      <c r="BX131" s="158" t="n">
        <f aca="false">BW131+BX127-BX130</f>
        <v>759668.28</v>
      </c>
      <c r="BY131" s="158" t="n">
        <f aca="false">BX131+BY127-BY130</f>
        <v>759668.28</v>
      </c>
      <c r="BZ131" s="158" t="n">
        <f aca="false">BY131+BZ127-BZ130</f>
        <v>759668.28</v>
      </c>
      <c r="CA131" s="158" t="n">
        <f aca="false">BZ131+CA127-CA130</f>
        <v>759668.28</v>
      </c>
      <c r="CB131" s="158" t="n">
        <f aca="false">CA131+CB127-CB130</f>
        <v>759668.28</v>
      </c>
      <c r="CC131" s="158" t="n">
        <f aca="false">CB131+CC127-CC130</f>
        <v>759668.28</v>
      </c>
      <c r="CD131" s="158" t="n">
        <f aca="false">CC131+CD127-CD130</f>
        <v>759668.28</v>
      </c>
      <c r="CE131" s="158" t="n">
        <f aca="false">CD131+CE127-CE130</f>
        <v>759668.28</v>
      </c>
      <c r="CF131" s="158" t="n">
        <f aca="false">CE131+CF127-CF130</f>
        <v>759668.28</v>
      </c>
      <c r="CG131" s="158" t="n">
        <f aca="false">CF131+CG127-CG130</f>
        <v>759668.28</v>
      </c>
      <c r="CH131" s="158" t="n">
        <f aca="false">CG131+CH127-CH130</f>
        <v>759668.28</v>
      </c>
      <c r="CI131" s="158" t="n">
        <f aca="false">CH131+CI127-CI130</f>
        <v>759668.28</v>
      </c>
      <c r="CJ131" s="158" t="n">
        <f aca="false">CI131+CJ127-CJ130</f>
        <v>759668.28</v>
      </c>
      <c r="CK131" s="158" t="n">
        <f aca="false">CJ131+CK127-CK130</f>
        <v>759668.28</v>
      </c>
      <c r="CL131" s="158" t="n">
        <f aca="false">CK131+CL127-CL130</f>
        <v>759668.28</v>
      </c>
      <c r="CM131" s="158" t="n">
        <f aca="false">CL131+CM127-CM130</f>
        <v>759668.28</v>
      </c>
      <c r="CN131" s="158" t="n">
        <f aca="false">CM131+CN127-CN130</f>
        <v>759668.28</v>
      </c>
      <c r="CO131" s="158" t="n">
        <f aca="false">CN131+CO127-CO130</f>
        <v>759668.28</v>
      </c>
      <c r="CP131" s="158" t="n">
        <f aca="false">CO131+CP127-CP130</f>
        <v>759668.28</v>
      </c>
      <c r="CQ131" s="158" t="n">
        <f aca="false">CP131+CQ127-CQ130</f>
        <v>759668.28</v>
      </c>
      <c r="CR131" s="158" t="n">
        <f aca="false">CQ131+CR127-CR130</f>
        <v>759668.28</v>
      </c>
      <c r="CS131" s="158" t="n">
        <f aca="false">CR131+CS127-CS130</f>
        <v>759668.28</v>
      </c>
      <c r="CT131" s="158" t="n">
        <f aca="false">CS131+CT127-CT130</f>
        <v>759668.28</v>
      </c>
      <c r="CU131" s="158" t="n">
        <f aca="false">CT131+CU127-CU130</f>
        <v>759668.28</v>
      </c>
      <c r="CV131" s="158" t="n">
        <f aca="false">CU131+CV127-CV130</f>
        <v>759668.28</v>
      </c>
      <c r="CW131" s="158" t="n">
        <f aca="false">CV131+CW127-CW130</f>
        <v>759668.28</v>
      </c>
      <c r="CX131" s="158" t="n">
        <f aca="false">CW131+CX127-CX130</f>
        <v>759668.28</v>
      </c>
      <c r="CY131" s="158" t="n">
        <f aca="false">CX131+CY127-CY130</f>
        <v>759668.28</v>
      </c>
      <c r="CZ131" s="158" t="n">
        <f aca="false">CY131+CZ127-CZ130</f>
        <v>759668.28</v>
      </c>
      <c r="DA131" s="158" t="n">
        <f aca="false">CZ131+DA127-DA130</f>
        <v>759668.28</v>
      </c>
      <c r="DB131" s="158" t="n">
        <f aca="false">DA131+DB127-DB130</f>
        <v>759668.28</v>
      </c>
      <c r="DC131" s="158" t="n">
        <f aca="false">DB131+DC127-DC130</f>
        <v>759668.28</v>
      </c>
      <c r="DD131" s="158" t="n">
        <f aca="false">DC131+DD127-DD130</f>
        <v>759668.28</v>
      </c>
      <c r="DE131" s="158" t="n">
        <f aca="false">DD131+DE127-DE130</f>
        <v>759668.28</v>
      </c>
      <c r="DF131" s="158" t="n">
        <f aca="false">DE131+DF127-DF130</f>
        <v>759668.28</v>
      </c>
      <c r="DG131" s="158" t="n">
        <f aca="false">DF131+DG127-DG130</f>
        <v>759668.28</v>
      </c>
      <c r="DH131" s="158" t="n">
        <f aca="false">DG131+DH127-DH130</f>
        <v>759668.28</v>
      </c>
      <c r="DI131" s="158" t="n">
        <f aca="false">DH131+DI127-DI130</f>
        <v>759668.28</v>
      </c>
      <c r="DJ131" s="158" t="n">
        <f aca="false">DI131+DJ127-DJ130</f>
        <v>759668.28</v>
      </c>
      <c r="DK131" s="158" t="n">
        <f aca="false">DJ131+DK127-DK130</f>
        <v>759668.28</v>
      </c>
      <c r="DL131" s="158" t="n">
        <f aca="false">DK131+DL127-DL130</f>
        <v>759668.28</v>
      </c>
      <c r="DM131" s="158" t="n">
        <f aca="false">DL131+DM127-DM130</f>
        <v>759668.28</v>
      </c>
      <c r="DN131" s="158" t="n">
        <f aca="false">DM131+DN127-DN130</f>
        <v>759668.28</v>
      </c>
      <c r="DO131" s="158" t="n">
        <f aca="false">DN131+DO127-DO130</f>
        <v>759668.28</v>
      </c>
      <c r="DP131" s="158" t="n">
        <f aca="false">DO131+DP127-DP130</f>
        <v>759668.28</v>
      </c>
      <c r="DQ131" s="158" t="n">
        <f aca="false">DP131+DQ127-DQ130</f>
        <v>759668.28</v>
      </c>
      <c r="DR131" s="158" t="n">
        <f aca="false">DQ131+DR127-DR130</f>
        <v>759668.28</v>
      </c>
      <c r="DS131" s="158" t="n">
        <f aca="false">DR131+DS127-DS130</f>
        <v>759668.28</v>
      </c>
      <c r="DT131" s="158" t="n">
        <f aca="false">DS131+DT127-DT130</f>
        <v>0</v>
      </c>
      <c r="DU131" s="158" t="n">
        <f aca="false">DT131+DU127-DU130</f>
        <v>0</v>
      </c>
      <c r="DV131" s="158" t="n">
        <f aca="false">DU131+DV127-DV130</f>
        <v>0</v>
      </c>
      <c r="DW131" s="158" t="n">
        <f aca="false">DV131+DW127-DW130</f>
        <v>0</v>
      </c>
      <c r="DX131" s="158" t="n">
        <f aca="false">DW131+DX127-DX130</f>
        <v>0</v>
      </c>
      <c r="DY131" s="158" t="n">
        <f aca="false">DX131+DY127-DY130</f>
        <v>0</v>
      </c>
      <c r="DZ131" s="158" t="n">
        <f aca="false">DY131+DZ127-DZ130</f>
        <v>0</v>
      </c>
      <c r="EA131" s="158" t="n">
        <f aca="false">DZ131+EA127-EA130</f>
        <v>0</v>
      </c>
      <c r="EB131" s="158" t="n">
        <f aca="false">EA131+EB127-EB130</f>
        <v>0</v>
      </c>
      <c r="EC131" s="158" t="n">
        <f aca="false">EB131+EC127-EC130</f>
        <v>0</v>
      </c>
      <c r="ED131" s="158" t="n">
        <f aca="false">EC131+ED127-ED130</f>
        <v>0</v>
      </c>
      <c r="EE131" s="158" t="n">
        <f aca="false">ED131+EE127-EE130</f>
        <v>0</v>
      </c>
      <c r="EF131" s="158" t="n">
        <f aca="false">EE131+EF127-EF130</f>
        <v>0</v>
      </c>
    </row>
    <row r="133" customFormat="false" ht="15" hidden="false" customHeight="false" outlineLevel="0" collapsed="false">
      <c r="A133" s="176" t="s">
        <v>433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6"/>
      <c r="DT133" s="86"/>
      <c r="DU133" s="86"/>
      <c r="DV133" s="86"/>
      <c r="DW133" s="86"/>
      <c r="DX133" s="86"/>
      <c r="DY133" s="86"/>
      <c r="DZ133" s="86"/>
      <c r="EA133" s="86"/>
      <c r="EB133" s="86"/>
      <c r="EC133" s="86"/>
      <c r="ED133" s="86"/>
      <c r="EE133" s="86"/>
      <c r="EF133" s="86"/>
    </row>
    <row r="134" customFormat="false" ht="15" hidden="false" customHeight="false" outlineLevel="0" collapsed="false">
      <c r="A134" s="35" t="s">
        <v>587</v>
      </c>
      <c r="B134" s="241" t="s">
        <v>116</v>
      </c>
      <c r="C134" s="242" t="n">
        <f aca="false">SUM(E134:EF134)</f>
        <v>0</v>
      </c>
      <c r="E134" s="158" t="n">
        <f aca="false">SUMIF(Assumption!$N$527:$N$529,E6,Assumption!$E$527:$E$529)</f>
        <v>0</v>
      </c>
      <c r="F134" s="158" t="n">
        <f aca="false">SUMIF(Assumption!$N$527:$N$529,F6,Assumption!$E$527:$E$529)</f>
        <v>0</v>
      </c>
      <c r="G134" s="158" t="n">
        <f aca="false">SUMIF(Assumption!$N$527:$N$529,G6,Assumption!$E$527:$E$529)</f>
        <v>0</v>
      </c>
      <c r="H134" s="158" t="n">
        <f aca="false">SUMIF(Assumption!$N$527:$N$529,H6,Assumption!$E$527:$E$529)</f>
        <v>0</v>
      </c>
      <c r="I134" s="158" t="n">
        <f aca="false">SUMIF(Assumption!$N$527:$N$529,I6,Assumption!$E$527:$E$529)</f>
        <v>0</v>
      </c>
      <c r="J134" s="158" t="n">
        <f aca="false">SUMIF(Assumption!$N$527:$N$529,J6,Assumption!$E$527:$E$529)</f>
        <v>0</v>
      </c>
      <c r="K134" s="158" t="n">
        <f aca="false">SUMIF(Assumption!$N$527:$N$529,K6,Assumption!$E$527:$E$529)</f>
        <v>0</v>
      </c>
      <c r="L134" s="158" t="n">
        <f aca="false">SUMIF(Assumption!$N$527:$N$529,L6,Assumption!$E$527:$E$529)</f>
        <v>0</v>
      </c>
      <c r="M134" s="158" t="n">
        <f aca="false">SUMIF(Assumption!$N$527:$N$529,M6,Assumption!$E$527:$E$529)</f>
        <v>0</v>
      </c>
      <c r="N134" s="158" t="n">
        <f aca="false">SUMIF(Assumption!$N$527:$N$529,N6,Assumption!$E$527:$E$529)</f>
        <v>0</v>
      </c>
      <c r="O134" s="158" t="n">
        <f aca="false">SUMIF(Assumption!$N$527:$N$529,O6,Assumption!$E$527:$E$529)</f>
        <v>0</v>
      </c>
      <c r="P134" s="158" t="n">
        <f aca="false">SUMIF(Assumption!$N$527:$N$529,P6,Assumption!$E$527:$E$529)</f>
        <v>0</v>
      </c>
      <c r="Q134" s="158" t="n">
        <f aca="false">SUMIF(Assumption!$N$527:$N$529,Q6,Assumption!$E$527:$E$529)</f>
        <v>0</v>
      </c>
      <c r="R134" s="158" t="n">
        <f aca="false">SUMIF(Assumption!$N$527:$N$529,R6,Assumption!$E$527:$E$529)</f>
        <v>0</v>
      </c>
      <c r="S134" s="158" t="n">
        <f aca="false">SUMIF(Assumption!$N$527:$N$529,S6,Assumption!$E$527:$E$529)</f>
        <v>0</v>
      </c>
      <c r="T134" s="158" t="n">
        <f aca="false">SUMIF(Assumption!$N$527:$N$529,T6,Assumption!$E$527:$E$529)</f>
        <v>0</v>
      </c>
      <c r="U134" s="158" t="n">
        <f aca="false">SUMIF(Assumption!$N$527:$N$529,U6,Assumption!$E$527:$E$529)</f>
        <v>0</v>
      </c>
      <c r="V134" s="158" t="n">
        <f aca="false">SUMIF(Assumption!$N$527:$N$529,V6,Assumption!$E$527:$E$529)</f>
        <v>0</v>
      </c>
      <c r="W134" s="158" t="n">
        <f aca="false">SUMIF(Assumption!$N$527:$N$529,W6,Assumption!$E$527:$E$529)</f>
        <v>0</v>
      </c>
      <c r="X134" s="158" t="n">
        <f aca="false">SUMIF(Assumption!$N$527:$N$529,X6,Assumption!$E$527:$E$529)</f>
        <v>0</v>
      </c>
      <c r="Y134" s="158" t="n">
        <f aca="false">SUMIF(Assumption!$N$527:$N$529,Y6,Assumption!$E$527:$E$529)</f>
        <v>0</v>
      </c>
      <c r="Z134" s="158" t="n">
        <f aca="false">SUMIF(Assumption!$N$527:$N$529,Z6,Assumption!$E$527:$E$529)</f>
        <v>0</v>
      </c>
      <c r="AA134" s="158" t="n">
        <f aca="false">SUMIF(Assumption!$N$527:$N$529,AA6,Assumption!$E$527:$E$529)</f>
        <v>0</v>
      </c>
      <c r="AB134" s="158" t="n">
        <f aca="false">SUMIF(Assumption!$N$527:$N$529,AB6,Assumption!$E$527:$E$529)</f>
        <v>0</v>
      </c>
      <c r="AC134" s="158" t="n">
        <f aca="false">SUMIF(Assumption!$N$527:$N$529,AC6,Assumption!$E$527:$E$529)</f>
        <v>0</v>
      </c>
      <c r="AD134" s="158" t="n">
        <f aca="false">SUMIF(Assumption!$N$527:$N$529,AD6,Assumption!$E$527:$E$529)</f>
        <v>0</v>
      </c>
      <c r="AE134" s="158" t="n">
        <f aca="false">SUMIF(Assumption!$N$527:$N$529,AE6,Assumption!$E$527:$E$529)</f>
        <v>0</v>
      </c>
      <c r="AF134" s="158" t="n">
        <f aca="false">SUMIF(Assumption!$N$527:$N$529,AF6,Assumption!$E$527:$E$529)</f>
        <v>0</v>
      </c>
      <c r="AG134" s="158" t="n">
        <f aca="false">SUMIF(Assumption!$N$527:$N$529,AG6,Assumption!$E$527:$E$529)</f>
        <v>0</v>
      </c>
      <c r="AH134" s="158" t="n">
        <f aca="false">SUMIF(Assumption!$N$527:$N$529,AH6,Assumption!$E$527:$E$529)</f>
        <v>0</v>
      </c>
      <c r="AI134" s="158" t="n">
        <f aca="false">SUMIF(Assumption!$N$527:$N$529,AI6,Assumption!$E$527:$E$529)</f>
        <v>0</v>
      </c>
      <c r="AJ134" s="158" t="n">
        <f aca="false">SUMIF(Assumption!$N$527:$N$529,AJ6,Assumption!$E$527:$E$529)</f>
        <v>0</v>
      </c>
      <c r="AK134" s="158" t="n">
        <f aca="false">SUMIF(Assumption!$N$527:$N$529,AK6,Assumption!$E$527:$E$529)</f>
        <v>0</v>
      </c>
      <c r="AL134" s="158" t="n">
        <f aca="false">SUMIF(Assumption!$N$527:$N$529,AL6,Assumption!$E$527:$E$529)</f>
        <v>0</v>
      </c>
      <c r="AM134" s="158" t="n">
        <f aca="false">SUMIF(Assumption!$N$527:$N$529,AM6,Assumption!$E$527:$E$529)</f>
        <v>0</v>
      </c>
      <c r="AN134" s="158" t="n">
        <f aca="false">SUMIF(Assumption!$N$527:$N$529,AN6,Assumption!$E$527:$E$529)</f>
        <v>0</v>
      </c>
      <c r="AO134" s="158" t="n">
        <f aca="false">SUMIF(Assumption!$N$527:$N$529,AO6,Assumption!$E$527:$E$529)</f>
        <v>0</v>
      </c>
      <c r="AP134" s="158" t="n">
        <f aca="false">SUMIF(Assumption!$N$527:$N$529,AP6,Assumption!$E$527:$E$529)</f>
        <v>0</v>
      </c>
      <c r="AQ134" s="158" t="n">
        <f aca="false">SUMIF(Assumption!$N$527:$N$529,AQ6,Assumption!$E$527:$E$529)</f>
        <v>0</v>
      </c>
      <c r="AR134" s="158" t="n">
        <f aca="false">SUMIF(Assumption!$N$527:$N$529,AR6,Assumption!$E$527:$E$529)</f>
        <v>0</v>
      </c>
      <c r="AS134" s="158" t="n">
        <f aca="false">SUMIF(Assumption!$N$527:$N$529,AS6,Assumption!$E$527:$E$529)</f>
        <v>0</v>
      </c>
      <c r="AT134" s="158" t="n">
        <f aca="false">SUMIF(Assumption!$N$527:$N$529,AT6,Assumption!$E$527:$E$529)</f>
        <v>0</v>
      </c>
      <c r="AU134" s="158" t="n">
        <f aca="false">SUMIF(Assumption!$N$527:$N$529,AU6,Assumption!$E$527:$E$529)</f>
        <v>0</v>
      </c>
      <c r="AV134" s="158" t="n">
        <f aca="false">SUMIF(Assumption!$N$527:$N$529,AV6,Assumption!$E$527:$E$529)</f>
        <v>0</v>
      </c>
      <c r="AW134" s="158" t="n">
        <f aca="false">SUMIF(Assumption!$N$527:$N$529,AW6,Assumption!$E$527:$E$529)</f>
        <v>0</v>
      </c>
      <c r="AX134" s="158" t="n">
        <f aca="false">SUMIF(Assumption!$N$527:$N$529,AX6,Assumption!$E$527:$E$529)</f>
        <v>0</v>
      </c>
      <c r="AY134" s="158" t="n">
        <f aca="false">SUMIF(Assumption!$N$527:$N$529,AY6,Assumption!$E$527:$E$529)</f>
        <v>0</v>
      </c>
      <c r="AZ134" s="158" t="n">
        <f aca="false">SUMIF(Assumption!$N$527:$N$529,AZ6,Assumption!$E$527:$E$529)</f>
        <v>0</v>
      </c>
      <c r="BA134" s="158" t="n">
        <f aca="false">SUMIF(Assumption!$N$527:$N$529,BA6,Assumption!$E$527:$E$529)</f>
        <v>0</v>
      </c>
      <c r="BB134" s="158" t="n">
        <f aca="false">SUMIF(Assumption!$N$527:$N$529,BB6,Assumption!$E$527:$E$529)</f>
        <v>0</v>
      </c>
      <c r="BC134" s="158" t="n">
        <f aca="false">SUMIF(Assumption!$N$527:$N$529,BC6,Assumption!$E$527:$E$529)</f>
        <v>0</v>
      </c>
      <c r="BD134" s="158" t="n">
        <f aca="false">SUMIF(Assumption!$N$527:$N$529,BD6,Assumption!$E$527:$E$529)</f>
        <v>0</v>
      </c>
      <c r="BE134" s="158" t="n">
        <f aca="false">SUMIF(Assumption!$N$527:$N$529,BE6,Assumption!$E$527:$E$529)</f>
        <v>0</v>
      </c>
      <c r="BF134" s="158" t="n">
        <f aca="false">SUMIF(Assumption!$N$527:$N$529,BF6,Assumption!$E$527:$E$529)</f>
        <v>0</v>
      </c>
      <c r="BG134" s="158" t="n">
        <f aca="false">SUMIF(Assumption!$N$527:$N$529,BG6,Assumption!$E$527:$E$529)</f>
        <v>0</v>
      </c>
      <c r="BH134" s="158" t="n">
        <f aca="false">SUMIF(Assumption!$N$527:$N$529,BH6,Assumption!$E$527:$E$529)</f>
        <v>0</v>
      </c>
      <c r="BI134" s="158" t="n">
        <f aca="false">SUMIF(Assumption!$N$527:$N$529,BI6,Assumption!$E$527:$E$529)</f>
        <v>0</v>
      </c>
      <c r="BJ134" s="158" t="n">
        <f aca="false">SUMIF(Assumption!$N$527:$N$529,BJ6,Assumption!$E$527:$E$529)</f>
        <v>0</v>
      </c>
      <c r="BK134" s="158" t="n">
        <f aca="false">SUMIF(Assumption!$N$527:$N$529,BK6,Assumption!$E$527:$E$529)</f>
        <v>0</v>
      </c>
      <c r="BL134" s="158" t="n">
        <f aca="false">SUMIF(Assumption!$N$527:$N$529,BL6,Assumption!$E$527:$E$529)</f>
        <v>0</v>
      </c>
      <c r="BM134" s="158" t="n">
        <f aca="false">SUMIF(Assumption!$N$527:$N$529,BM6,Assumption!$E$527:$E$529)</f>
        <v>0</v>
      </c>
      <c r="BN134" s="158" t="n">
        <f aca="false">SUMIF(Assumption!$N$527:$N$529,BN6,Assumption!$E$527:$E$529)</f>
        <v>0</v>
      </c>
      <c r="BO134" s="158" t="n">
        <f aca="false">SUMIF(Assumption!$N$527:$N$529,BO6,Assumption!$E$527:$E$529)</f>
        <v>0</v>
      </c>
      <c r="BP134" s="158" t="n">
        <f aca="false">SUMIF(Assumption!$N$527:$N$529,BP6,Assumption!$E$527:$E$529)</f>
        <v>0</v>
      </c>
      <c r="BQ134" s="158" t="n">
        <f aca="false">SUMIF(Assumption!$N$527:$N$529,BQ6,Assumption!$E$527:$E$529)</f>
        <v>0</v>
      </c>
      <c r="BR134" s="158" t="n">
        <f aca="false">SUMIF(Assumption!$N$527:$N$529,BR6,Assumption!$E$527:$E$529)</f>
        <v>0</v>
      </c>
      <c r="BS134" s="158" t="n">
        <f aca="false">SUMIF(Assumption!$N$527:$N$529,BS6,Assumption!$E$527:$E$529)</f>
        <v>0</v>
      </c>
      <c r="BT134" s="158" t="n">
        <f aca="false">SUMIF(Assumption!$N$527:$N$529,BT6,Assumption!$E$527:$E$529)</f>
        <v>0</v>
      </c>
      <c r="BU134" s="158" t="n">
        <f aca="false">SUMIF(Assumption!$N$527:$N$529,BU6,Assumption!$E$527:$E$529)</f>
        <v>0</v>
      </c>
      <c r="BV134" s="158" t="n">
        <f aca="false">SUMIF(Assumption!$N$527:$N$529,BV6,Assumption!$E$527:$E$529)</f>
        <v>0</v>
      </c>
      <c r="BW134" s="158" t="n">
        <f aca="false">SUMIF(Assumption!$N$527:$N$529,BW6,Assumption!$E$527:$E$529)</f>
        <v>0</v>
      </c>
      <c r="BX134" s="158" t="n">
        <f aca="false">SUMIF(Assumption!$N$527:$N$529,BX6,Assumption!$E$527:$E$529)</f>
        <v>0</v>
      </c>
      <c r="BY134" s="158" t="n">
        <f aca="false">SUMIF(Assumption!$N$527:$N$529,BY6,Assumption!$E$527:$E$529)</f>
        <v>0</v>
      </c>
      <c r="BZ134" s="158" t="n">
        <f aca="false">SUMIF(Assumption!$N$527:$N$529,BZ6,Assumption!$E$527:$E$529)</f>
        <v>0</v>
      </c>
      <c r="CA134" s="158" t="n">
        <f aca="false">SUMIF(Assumption!$N$527:$N$529,CA6,Assumption!$E$527:$E$529)</f>
        <v>0</v>
      </c>
      <c r="CB134" s="158" t="n">
        <f aca="false">SUMIF(Assumption!$N$527:$N$529,CB6,Assumption!$E$527:$E$529)</f>
        <v>0</v>
      </c>
      <c r="CC134" s="158" t="n">
        <f aca="false">SUMIF(Assumption!$N$527:$N$529,CC6,Assumption!$E$527:$E$529)</f>
        <v>0</v>
      </c>
      <c r="CD134" s="158" t="n">
        <f aca="false">SUMIF(Assumption!$N$527:$N$529,CD6,Assumption!$E$527:$E$529)</f>
        <v>0</v>
      </c>
      <c r="CE134" s="158" t="n">
        <f aca="false">SUMIF(Assumption!$N$527:$N$529,CE6,Assumption!$E$527:$E$529)</f>
        <v>0</v>
      </c>
      <c r="CF134" s="158" t="n">
        <f aca="false">SUMIF(Assumption!$N$527:$N$529,CF6,Assumption!$E$527:$E$529)</f>
        <v>0</v>
      </c>
      <c r="CG134" s="158" t="n">
        <f aca="false">SUMIF(Assumption!$N$527:$N$529,CG6,Assumption!$E$527:$E$529)</f>
        <v>0</v>
      </c>
      <c r="CH134" s="158" t="n">
        <f aca="false">SUMIF(Assumption!$N$527:$N$529,CH6,Assumption!$E$527:$E$529)</f>
        <v>0</v>
      </c>
      <c r="CI134" s="158" t="n">
        <f aca="false">SUMIF(Assumption!$N$527:$N$529,CI6,Assumption!$E$527:$E$529)</f>
        <v>0</v>
      </c>
      <c r="CJ134" s="158" t="n">
        <f aca="false">SUMIF(Assumption!$N$527:$N$529,CJ6,Assumption!$E$527:$E$529)</f>
        <v>0</v>
      </c>
      <c r="CK134" s="158" t="n">
        <f aca="false">SUMIF(Assumption!$N$527:$N$529,CK6,Assumption!$E$527:$E$529)</f>
        <v>0</v>
      </c>
      <c r="CL134" s="158" t="n">
        <f aca="false">SUMIF(Assumption!$N$527:$N$529,CL6,Assumption!$E$527:$E$529)</f>
        <v>0</v>
      </c>
      <c r="CM134" s="158" t="n">
        <f aca="false">SUMIF(Assumption!$N$527:$N$529,CM6,Assumption!$E$527:$E$529)</f>
        <v>0</v>
      </c>
      <c r="CN134" s="158" t="n">
        <f aca="false">SUMIF(Assumption!$N$527:$N$529,CN6,Assumption!$E$527:$E$529)</f>
        <v>0</v>
      </c>
      <c r="CO134" s="158" t="n">
        <f aca="false">SUMIF(Assumption!$N$527:$N$529,CO6,Assumption!$E$527:$E$529)</f>
        <v>0</v>
      </c>
      <c r="CP134" s="158" t="n">
        <f aca="false">SUMIF(Assumption!$N$527:$N$529,CP6,Assumption!$E$527:$E$529)</f>
        <v>0</v>
      </c>
      <c r="CQ134" s="158" t="n">
        <f aca="false">SUMIF(Assumption!$N$527:$N$529,CQ6,Assumption!$E$527:$E$529)</f>
        <v>0</v>
      </c>
      <c r="CR134" s="158" t="n">
        <f aca="false">SUMIF(Assumption!$N$527:$N$529,CR6,Assumption!$E$527:$E$529)</f>
        <v>0</v>
      </c>
      <c r="CS134" s="158" t="n">
        <f aca="false">SUMIF(Assumption!$N$527:$N$529,CS6,Assumption!$E$527:$E$529)</f>
        <v>0</v>
      </c>
      <c r="CT134" s="158" t="n">
        <f aca="false">SUMIF(Assumption!$N$527:$N$529,CT6,Assumption!$E$527:$E$529)</f>
        <v>0</v>
      </c>
      <c r="CU134" s="158" t="n">
        <f aca="false">SUMIF(Assumption!$N$527:$N$529,CU6,Assumption!$E$527:$E$529)</f>
        <v>0</v>
      </c>
      <c r="CV134" s="158" t="n">
        <f aca="false">SUMIF(Assumption!$N$527:$N$529,CV6,Assumption!$E$527:$E$529)</f>
        <v>0</v>
      </c>
      <c r="CW134" s="158" t="n">
        <f aca="false">SUMIF(Assumption!$N$527:$N$529,CW6,Assumption!$E$527:$E$529)</f>
        <v>0</v>
      </c>
      <c r="CX134" s="158" t="n">
        <f aca="false">SUMIF(Assumption!$N$527:$N$529,CX6,Assumption!$E$527:$E$529)</f>
        <v>0</v>
      </c>
      <c r="CY134" s="158" t="n">
        <f aca="false">SUMIF(Assumption!$N$527:$N$529,CY6,Assumption!$E$527:$E$529)</f>
        <v>0</v>
      </c>
      <c r="CZ134" s="158" t="n">
        <f aca="false">SUMIF(Assumption!$N$527:$N$529,CZ6,Assumption!$E$527:$E$529)</f>
        <v>0</v>
      </c>
      <c r="DA134" s="158" t="n">
        <f aca="false">SUMIF(Assumption!$N$527:$N$529,DA6,Assumption!$E$527:$E$529)</f>
        <v>0</v>
      </c>
      <c r="DB134" s="158" t="n">
        <f aca="false">SUMIF(Assumption!$N$527:$N$529,DB6,Assumption!$E$527:$E$529)</f>
        <v>0</v>
      </c>
      <c r="DC134" s="158" t="n">
        <f aca="false">SUMIF(Assumption!$N$527:$N$529,DC6,Assumption!$E$527:$E$529)</f>
        <v>0</v>
      </c>
      <c r="DD134" s="158" t="n">
        <f aca="false">SUMIF(Assumption!$N$527:$N$529,DD6,Assumption!$E$527:$E$529)</f>
        <v>0</v>
      </c>
      <c r="DE134" s="158" t="n">
        <f aca="false">SUMIF(Assumption!$N$527:$N$529,DE6,Assumption!$E$527:$E$529)</f>
        <v>0</v>
      </c>
      <c r="DF134" s="158" t="n">
        <f aca="false">SUMIF(Assumption!$N$527:$N$529,DF6,Assumption!$E$527:$E$529)</f>
        <v>0</v>
      </c>
      <c r="DG134" s="158" t="n">
        <f aca="false">SUMIF(Assumption!$N$527:$N$529,DG6,Assumption!$E$527:$E$529)</f>
        <v>0</v>
      </c>
      <c r="DH134" s="158" t="n">
        <f aca="false">SUMIF(Assumption!$N$527:$N$529,DH6,Assumption!$E$527:$E$529)</f>
        <v>0</v>
      </c>
      <c r="DI134" s="158" t="n">
        <f aca="false">SUMIF(Assumption!$N$527:$N$529,DI6,Assumption!$E$527:$E$529)</f>
        <v>0</v>
      </c>
      <c r="DJ134" s="158" t="n">
        <f aca="false">SUMIF(Assumption!$N$527:$N$529,DJ6,Assumption!$E$527:$E$529)</f>
        <v>0</v>
      </c>
      <c r="DK134" s="158" t="n">
        <f aca="false">SUMIF(Assumption!$N$527:$N$529,DK6,Assumption!$E$527:$E$529)</f>
        <v>0</v>
      </c>
      <c r="DL134" s="158" t="n">
        <f aca="false">SUMIF(Assumption!$N$527:$N$529,DL6,Assumption!$E$527:$E$529)</f>
        <v>0</v>
      </c>
      <c r="DM134" s="158" t="n">
        <f aca="false">SUMIF(Assumption!$N$527:$N$529,DM6,Assumption!$E$527:$E$529)</f>
        <v>0</v>
      </c>
      <c r="DN134" s="158" t="n">
        <f aca="false">SUMIF(Assumption!$N$527:$N$529,DN6,Assumption!$E$527:$E$529)</f>
        <v>0</v>
      </c>
      <c r="DO134" s="158" t="n">
        <f aca="false">SUMIF(Assumption!$N$527:$N$529,DO6,Assumption!$E$527:$E$529)</f>
        <v>0</v>
      </c>
      <c r="DP134" s="158" t="n">
        <f aca="false">SUMIF(Assumption!$N$527:$N$529,DP6,Assumption!$E$527:$E$529)</f>
        <v>0</v>
      </c>
      <c r="DQ134" s="158" t="n">
        <f aca="false">SUMIF(Assumption!$N$527:$N$529,DQ6,Assumption!$E$527:$E$529)</f>
        <v>0</v>
      </c>
      <c r="DR134" s="158" t="n">
        <f aca="false">SUMIF(Assumption!$N$527:$N$529,DR6,Assumption!$E$527:$E$529)</f>
        <v>0</v>
      </c>
      <c r="DS134" s="158" t="n">
        <f aca="false">SUMIF(Assumption!$N$527:$N$529,DS6,Assumption!$E$527:$E$529)</f>
        <v>0</v>
      </c>
      <c r="DT134" s="158" t="n">
        <f aca="false">SUMIF(Assumption!$N$527:$N$529,DT6,Assumption!$E$527:$E$529)</f>
        <v>0</v>
      </c>
      <c r="DU134" s="158" t="n">
        <f aca="false">SUMIF(Assumption!$N$527:$N$529,DU6,Assumption!$E$527:$E$529)</f>
        <v>0</v>
      </c>
      <c r="DV134" s="158" t="n">
        <f aca="false">SUMIF(Assumption!$N$527:$N$529,DV6,Assumption!$E$527:$E$529)</f>
        <v>0</v>
      </c>
      <c r="DW134" s="158" t="n">
        <f aca="false">SUMIF(Assumption!$N$527:$N$529,DW6,Assumption!$E$527:$E$529)</f>
        <v>0</v>
      </c>
      <c r="DX134" s="158" t="n">
        <f aca="false">SUMIF(Assumption!$N$527:$N$529,DX6,Assumption!$E$527:$E$529)</f>
        <v>0</v>
      </c>
      <c r="DY134" s="158" t="n">
        <f aca="false">SUMIF(Assumption!$N$527:$N$529,DY6,Assumption!$E$527:$E$529)</f>
        <v>0</v>
      </c>
      <c r="DZ134" s="158" t="n">
        <f aca="false">SUMIF(Assumption!$N$527:$N$529,DZ6,Assumption!$E$527:$E$529)</f>
        <v>0</v>
      </c>
      <c r="EA134" s="158" t="n">
        <f aca="false">SUMIF(Assumption!$N$527:$N$529,EA6,Assumption!$E$527:$E$529)</f>
        <v>0</v>
      </c>
      <c r="EB134" s="158" t="n">
        <f aca="false">SUMIF(Assumption!$N$527:$N$529,EB6,Assumption!$E$527:$E$529)</f>
        <v>0</v>
      </c>
      <c r="EC134" s="158" t="n">
        <f aca="false">SUMIF(Assumption!$N$527:$N$529,EC6,Assumption!$E$527:$E$529)</f>
        <v>0</v>
      </c>
      <c r="ED134" s="158" t="n">
        <f aca="false">SUMIF(Assumption!$N$527:$N$529,ED6,Assumption!$E$527:$E$529)</f>
        <v>0</v>
      </c>
      <c r="EE134" s="158" t="n">
        <f aca="false">SUMIF(Assumption!$N$527:$N$529,EE6,Assumption!$E$527:$E$529)</f>
        <v>0</v>
      </c>
      <c r="EF134" s="158" t="n">
        <f aca="false">SUMIF(Assumption!$N$527:$N$529,EF6,Assumption!$E$527:$E$529)</f>
        <v>0</v>
      </c>
    </row>
    <row r="135" customFormat="false" ht="15" hidden="false" customHeight="false" outlineLevel="0" collapsed="false">
      <c r="A135" s="35" t="s">
        <v>588</v>
      </c>
      <c r="B135" s="241" t="s">
        <v>116</v>
      </c>
      <c r="C135" s="242" t="n">
        <f aca="false">SUM(E135:EF135)</f>
        <v>0</v>
      </c>
      <c r="E135" s="158" t="n">
        <f aca="false">SUMPRODUCT((Assumption!$N$527:$N$529&lt;E6)*(Assumption!$O$527:$O$529&gt;=E6)*Assumption!$E$527:$E$529*Assumption!$K$527:$K$529)/12</f>
        <v>0</v>
      </c>
      <c r="F135" s="158" t="n">
        <f aca="false">SUMPRODUCT((Assumption!$N$527:$N$529&lt;F6)*(Assumption!$O$527:$O$529&gt;=F6)*Assumption!$E$527:$E$529*Assumption!$K$527:$K$529)/12</f>
        <v>0</v>
      </c>
      <c r="G135" s="158" t="n">
        <f aca="false">SUMPRODUCT((Assumption!$N$527:$N$529&lt;G6)*(Assumption!$O$527:$O$529&gt;=G6)*Assumption!$E$527:$E$529*Assumption!$K$527:$K$529)/12</f>
        <v>0</v>
      </c>
      <c r="H135" s="158" t="n">
        <f aca="false">SUMPRODUCT((Assumption!$N$527:$N$529&lt;H6)*(Assumption!$O$527:$O$529&gt;=H6)*Assumption!$E$527:$E$529*Assumption!$K$527:$K$529)/12</f>
        <v>0</v>
      </c>
      <c r="I135" s="158" t="n">
        <f aca="false">SUMPRODUCT((Assumption!$N$527:$N$529&lt;I6)*(Assumption!$O$527:$O$529&gt;=I6)*Assumption!$E$527:$E$529*Assumption!$K$527:$K$529)/12</f>
        <v>0</v>
      </c>
      <c r="J135" s="158" t="n">
        <f aca="false">SUMPRODUCT((Assumption!$N$527:$N$529&lt;J6)*(Assumption!$O$527:$O$529&gt;=J6)*Assumption!$E$527:$E$529*Assumption!$K$527:$K$529)/12</f>
        <v>0</v>
      </c>
      <c r="K135" s="158" t="n">
        <f aca="false">SUMPRODUCT((Assumption!$N$527:$N$529&lt;K6)*(Assumption!$O$527:$O$529&gt;=K6)*Assumption!$E$527:$E$529*Assumption!$K$527:$K$529)/12</f>
        <v>0</v>
      </c>
      <c r="L135" s="158" t="n">
        <f aca="false">SUMPRODUCT((Assumption!$N$527:$N$529&lt;L6)*(Assumption!$O$527:$O$529&gt;=L6)*Assumption!$E$527:$E$529*Assumption!$K$527:$K$529)/12</f>
        <v>0</v>
      </c>
      <c r="M135" s="158" t="n">
        <f aca="false">SUMPRODUCT((Assumption!$N$527:$N$529&lt;M6)*(Assumption!$O$527:$O$529&gt;=M6)*Assumption!$E$527:$E$529*Assumption!$K$527:$K$529)/12</f>
        <v>0</v>
      </c>
      <c r="N135" s="158" t="n">
        <f aca="false">SUMPRODUCT((Assumption!$N$527:$N$529&lt;N6)*(Assumption!$O$527:$O$529&gt;=N6)*Assumption!$E$527:$E$529*Assumption!$K$527:$K$529)/12</f>
        <v>0</v>
      </c>
      <c r="O135" s="158" t="n">
        <f aca="false">SUMPRODUCT((Assumption!$N$527:$N$529&lt;O6)*(Assumption!$O$527:$O$529&gt;=O6)*Assumption!$E$527:$E$529*Assumption!$K$527:$K$529)/12</f>
        <v>0</v>
      </c>
      <c r="P135" s="158" t="n">
        <f aca="false">SUMPRODUCT((Assumption!$N$527:$N$529&lt;P6)*(Assumption!$O$527:$O$529&gt;=P6)*Assumption!$E$527:$E$529*Assumption!$K$527:$K$529)/12</f>
        <v>0</v>
      </c>
      <c r="Q135" s="158" t="n">
        <f aca="false">SUMPRODUCT((Assumption!$N$527:$N$529&lt;Q6)*(Assumption!$O$527:$O$529&gt;=Q6)*Assumption!$E$527:$E$529*Assumption!$K$527:$K$529)/12</f>
        <v>0</v>
      </c>
      <c r="R135" s="158" t="n">
        <f aca="false">SUMPRODUCT((Assumption!$N$527:$N$529&lt;R6)*(Assumption!$O$527:$O$529&gt;=R6)*Assumption!$E$527:$E$529*Assumption!$K$527:$K$529)/12</f>
        <v>0</v>
      </c>
      <c r="S135" s="158" t="n">
        <f aca="false">SUMPRODUCT((Assumption!$N$527:$N$529&lt;S6)*(Assumption!$O$527:$O$529&gt;=S6)*Assumption!$E$527:$E$529*Assumption!$K$527:$K$529)/12</f>
        <v>0</v>
      </c>
      <c r="T135" s="158" t="n">
        <f aca="false">SUMPRODUCT((Assumption!$N$527:$N$529&lt;T6)*(Assumption!$O$527:$O$529&gt;=T6)*Assumption!$E$527:$E$529*Assumption!$K$527:$K$529)/12</f>
        <v>0</v>
      </c>
      <c r="U135" s="158" t="n">
        <f aca="false">SUMPRODUCT((Assumption!$N$527:$N$529&lt;U6)*(Assumption!$O$527:$O$529&gt;=U6)*Assumption!$E$527:$E$529*Assumption!$K$527:$K$529)/12</f>
        <v>0</v>
      </c>
      <c r="V135" s="158" t="n">
        <f aca="false">SUMPRODUCT((Assumption!$N$527:$N$529&lt;V6)*(Assumption!$O$527:$O$529&gt;=V6)*Assumption!$E$527:$E$529*Assumption!$K$527:$K$529)/12</f>
        <v>0</v>
      </c>
      <c r="W135" s="158" t="n">
        <f aca="false">SUMPRODUCT((Assumption!$N$527:$N$529&lt;W6)*(Assumption!$O$527:$O$529&gt;=W6)*Assumption!$E$527:$E$529*Assumption!$K$527:$K$529)/12</f>
        <v>0</v>
      </c>
      <c r="X135" s="158" t="n">
        <f aca="false">SUMPRODUCT((Assumption!$N$527:$N$529&lt;X6)*(Assumption!$O$527:$O$529&gt;=X6)*Assumption!$E$527:$E$529*Assumption!$K$527:$K$529)/12</f>
        <v>0</v>
      </c>
      <c r="Y135" s="158" t="n">
        <f aca="false">SUMPRODUCT((Assumption!$N$527:$N$529&lt;Y6)*(Assumption!$O$527:$O$529&gt;=Y6)*Assumption!$E$527:$E$529*Assumption!$K$527:$K$529)/12</f>
        <v>0</v>
      </c>
      <c r="Z135" s="158" t="n">
        <f aca="false">SUMPRODUCT((Assumption!$N$527:$N$529&lt;Z6)*(Assumption!$O$527:$O$529&gt;=Z6)*Assumption!$E$527:$E$529*Assumption!$K$527:$K$529)/12</f>
        <v>0</v>
      </c>
      <c r="AA135" s="158" t="n">
        <f aca="false">SUMPRODUCT((Assumption!$N$527:$N$529&lt;AA6)*(Assumption!$O$527:$O$529&gt;=AA6)*Assumption!$E$527:$E$529*Assumption!$K$527:$K$529)/12</f>
        <v>0</v>
      </c>
      <c r="AB135" s="158" t="n">
        <f aca="false">SUMPRODUCT((Assumption!$N$527:$N$529&lt;AB6)*(Assumption!$O$527:$O$529&gt;=AB6)*Assumption!$E$527:$E$529*Assumption!$K$527:$K$529)/12</f>
        <v>0</v>
      </c>
      <c r="AC135" s="158" t="n">
        <f aca="false">SUMPRODUCT((Assumption!$N$527:$N$529&lt;AC6)*(Assumption!$O$527:$O$529&gt;=AC6)*Assumption!$E$527:$E$529*Assumption!$K$527:$K$529)/12</f>
        <v>0</v>
      </c>
      <c r="AD135" s="158" t="n">
        <f aca="false">SUMPRODUCT((Assumption!$N$527:$N$529&lt;AD6)*(Assumption!$O$527:$O$529&gt;=AD6)*Assumption!$E$527:$E$529*Assumption!$K$527:$K$529)/12</f>
        <v>0</v>
      </c>
      <c r="AE135" s="158" t="n">
        <f aca="false">SUMPRODUCT((Assumption!$N$527:$N$529&lt;AE6)*(Assumption!$O$527:$O$529&gt;=AE6)*Assumption!$E$527:$E$529*Assumption!$K$527:$K$529)/12</f>
        <v>0</v>
      </c>
      <c r="AF135" s="158" t="n">
        <f aca="false">SUMPRODUCT((Assumption!$N$527:$N$529&lt;AF6)*(Assumption!$O$527:$O$529&gt;=AF6)*Assumption!$E$527:$E$529*Assumption!$K$527:$K$529)/12</f>
        <v>0</v>
      </c>
      <c r="AG135" s="158" t="n">
        <f aca="false">SUMPRODUCT((Assumption!$N$527:$N$529&lt;AG6)*(Assumption!$O$527:$O$529&gt;=AG6)*Assumption!$E$527:$E$529*Assumption!$K$527:$K$529)/12</f>
        <v>0</v>
      </c>
      <c r="AH135" s="158" t="n">
        <f aca="false">SUMPRODUCT((Assumption!$N$527:$N$529&lt;AH6)*(Assumption!$O$527:$O$529&gt;=AH6)*Assumption!$E$527:$E$529*Assumption!$K$527:$K$529)/12</f>
        <v>0</v>
      </c>
      <c r="AI135" s="158" t="n">
        <f aca="false">SUMPRODUCT((Assumption!$N$527:$N$529&lt;AI6)*(Assumption!$O$527:$O$529&gt;=AI6)*Assumption!$E$527:$E$529*Assumption!$K$527:$K$529)/12</f>
        <v>0</v>
      </c>
      <c r="AJ135" s="158" t="n">
        <f aca="false">SUMPRODUCT((Assumption!$N$527:$N$529&lt;AJ6)*(Assumption!$O$527:$O$529&gt;=AJ6)*Assumption!$E$527:$E$529*Assumption!$K$527:$K$529)/12</f>
        <v>0</v>
      </c>
      <c r="AK135" s="158" t="n">
        <f aca="false">SUMPRODUCT((Assumption!$N$527:$N$529&lt;AK6)*(Assumption!$O$527:$O$529&gt;=AK6)*Assumption!$E$527:$E$529*Assumption!$K$527:$K$529)/12</f>
        <v>0</v>
      </c>
      <c r="AL135" s="158" t="n">
        <f aca="false">SUMPRODUCT((Assumption!$N$527:$N$529&lt;AL6)*(Assumption!$O$527:$O$529&gt;=AL6)*Assumption!$E$527:$E$529*Assumption!$K$527:$K$529)/12</f>
        <v>0</v>
      </c>
      <c r="AM135" s="158" t="n">
        <f aca="false">SUMPRODUCT((Assumption!$N$527:$N$529&lt;AM6)*(Assumption!$O$527:$O$529&gt;=AM6)*Assumption!$E$527:$E$529*Assumption!$K$527:$K$529)/12</f>
        <v>0</v>
      </c>
      <c r="AN135" s="158" t="n">
        <f aca="false">SUMPRODUCT((Assumption!$N$527:$N$529&lt;AN6)*(Assumption!$O$527:$O$529&gt;=AN6)*Assumption!$E$527:$E$529*Assumption!$K$527:$K$529)/12</f>
        <v>0</v>
      </c>
      <c r="AO135" s="158" t="n">
        <f aca="false">SUMPRODUCT((Assumption!$N$527:$N$529&lt;AO6)*(Assumption!$O$527:$O$529&gt;=AO6)*Assumption!$E$527:$E$529*Assumption!$K$527:$K$529)/12</f>
        <v>0</v>
      </c>
      <c r="AP135" s="158" t="n">
        <f aca="false">SUMPRODUCT((Assumption!$N$527:$N$529&lt;AP6)*(Assumption!$O$527:$O$529&gt;=AP6)*Assumption!$E$527:$E$529*Assumption!$K$527:$K$529)/12</f>
        <v>0</v>
      </c>
      <c r="AQ135" s="158" t="n">
        <f aca="false">SUMPRODUCT((Assumption!$N$527:$N$529&lt;AQ6)*(Assumption!$O$527:$O$529&gt;=AQ6)*Assumption!$E$527:$E$529*Assumption!$K$527:$K$529)/12</f>
        <v>0</v>
      </c>
      <c r="AR135" s="158" t="n">
        <f aca="false">SUMPRODUCT((Assumption!$N$527:$N$529&lt;AR6)*(Assumption!$O$527:$O$529&gt;=AR6)*Assumption!$E$527:$E$529*Assumption!$K$527:$K$529)/12</f>
        <v>0</v>
      </c>
      <c r="AS135" s="158" t="n">
        <f aca="false">SUMPRODUCT((Assumption!$N$527:$N$529&lt;AS6)*(Assumption!$O$527:$O$529&gt;=AS6)*Assumption!$E$527:$E$529*Assumption!$K$527:$K$529)/12</f>
        <v>0</v>
      </c>
      <c r="AT135" s="158" t="n">
        <f aca="false">SUMPRODUCT((Assumption!$N$527:$N$529&lt;AT6)*(Assumption!$O$527:$O$529&gt;=AT6)*Assumption!$E$527:$E$529*Assumption!$K$527:$K$529)/12</f>
        <v>0</v>
      </c>
      <c r="AU135" s="158" t="n">
        <f aca="false">SUMPRODUCT((Assumption!$N$527:$N$529&lt;AU6)*(Assumption!$O$527:$O$529&gt;=AU6)*Assumption!$E$527:$E$529*Assumption!$K$527:$K$529)/12</f>
        <v>0</v>
      </c>
      <c r="AV135" s="158" t="n">
        <f aca="false">SUMPRODUCT((Assumption!$N$527:$N$529&lt;AV6)*(Assumption!$O$527:$O$529&gt;=AV6)*Assumption!$E$527:$E$529*Assumption!$K$527:$K$529)/12</f>
        <v>0</v>
      </c>
      <c r="AW135" s="158" t="n">
        <f aca="false">SUMPRODUCT((Assumption!$N$527:$N$529&lt;AW6)*(Assumption!$O$527:$O$529&gt;=AW6)*Assumption!$E$527:$E$529*Assumption!$K$527:$K$529)/12</f>
        <v>0</v>
      </c>
      <c r="AX135" s="158" t="n">
        <f aca="false">SUMPRODUCT((Assumption!$N$527:$N$529&lt;AX6)*(Assumption!$O$527:$O$529&gt;=AX6)*Assumption!$E$527:$E$529*Assumption!$K$527:$K$529)/12</f>
        <v>0</v>
      </c>
      <c r="AY135" s="158" t="n">
        <f aca="false">SUMPRODUCT((Assumption!$N$527:$N$529&lt;AY6)*(Assumption!$O$527:$O$529&gt;=AY6)*Assumption!$E$527:$E$529*Assumption!$K$527:$K$529)/12</f>
        <v>0</v>
      </c>
      <c r="AZ135" s="158" t="n">
        <f aca="false">SUMPRODUCT((Assumption!$N$527:$N$529&lt;AZ6)*(Assumption!$O$527:$O$529&gt;=AZ6)*Assumption!$E$527:$E$529*Assumption!$K$527:$K$529)/12</f>
        <v>0</v>
      </c>
      <c r="BA135" s="158" t="n">
        <f aca="false">SUMPRODUCT((Assumption!$N$527:$N$529&lt;BA6)*(Assumption!$O$527:$O$529&gt;=BA6)*Assumption!$E$527:$E$529*Assumption!$K$527:$K$529)/12</f>
        <v>0</v>
      </c>
      <c r="BB135" s="158" t="n">
        <f aca="false">SUMPRODUCT((Assumption!$N$527:$N$529&lt;BB6)*(Assumption!$O$527:$O$529&gt;=BB6)*Assumption!$E$527:$E$529*Assumption!$K$527:$K$529)/12</f>
        <v>0</v>
      </c>
      <c r="BC135" s="158" t="n">
        <f aca="false">SUMPRODUCT((Assumption!$N$527:$N$529&lt;BC6)*(Assumption!$O$527:$O$529&gt;=BC6)*Assumption!$E$527:$E$529*Assumption!$K$527:$K$529)/12</f>
        <v>0</v>
      </c>
      <c r="BD135" s="158" t="n">
        <f aca="false">SUMPRODUCT((Assumption!$N$527:$N$529&lt;BD6)*(Assumption!$O$527:$O$529&gt;=BD6)*Assumption!$E$527:$E$529*Assumption!$K$527:$K$529)/12</f>
        <v>0</v>
      </c>
      <c r="BE135" s="158" t="n">
        <f aca="false">SUMPRODUCT((Assumption!$N$527:$N$529&lt;BE6)*(Assumption!$O$527:$O$529&gt;=BE6)*Assumption!$E$527:$E$529*Assumption!$K$527:$K$529)/12</f>
        <v>0</v>
      </c>
      <c r="BF135" s="158" t="n">
        <f aca="false">SUMPRODUCT((Assumption!$N$527:$N$529&lt;BF6)*(Assumption!$O$527:$O$529&gt;=BF6)*Assumption!$E$527:$E$529*Assumption!$K$527:$K$529)/12</f>
        <v>0</v>
      </c>
      <c r="BG135" s="158" t="n">
        <f aca="false">SUMPRODUCT((Assumption!$N$527:$N$529&lt;BG6)*(Assumption!$O$527:$O$529&gt;=BG6)*Assumption!$E$527:$E$529*Assumption!$K$527:$K$529)/12</f>
        <v>0</v>
      </c>
      <c r="BH135" s="158" t="n">
        <f aca="false">SUMPRODUCT((Assumption!$N$527:$N$529&lt;BH6)*(Assumption!$O$527:$O$529&gt;=BH6)*Assumption!$E$527:$E$529*Assumption!$K$527:$K$529)/12</f>
        <v>0</v>
      </c>
      <c r="BI135" s="158" t="n">
        <f aca="false">SUMPRODUCT((Assumption!$N$527:$N$529&lt;BI6)*(Assumption!$O$527:$O$529&gt;=BI6)*Assumption!$E$527:$E$529*Assumption!$K$527:$K$529)/12</f>
        <v>0</v>
      </c>
      <c r="BJ135" s="158" t="n">
        <f aca="false">SUMPRODUCT((Assumption!$N$527:$N$529&lt;BJ6)*(Assumption!$O$527:$O$529&gt;=BJ6)*Assumption!$E$527:$E$529*Assumption!$K$527:$K$529)/12</f>
        <v>0</v>
      </c>
      <c r="BK135" s="158" t="n">
        <f aca="false">SUMPRODUCT((Assumption!$N$527:$N$529&lt;BK6)*(Assumption!$O$527:$O$529&gt;=BK6)*Assumption!$E$527:$E$529*Assumption!$K$527:$K$529)/12</f>
        <v>0</v>
      </c>
      <c r="BL135" s="158" t="n">
        <f aca="false">SUMPRODUCT((Assumption!$N$527:$N$529&lt;BL6)*(Assumption!$O$527:$O$529&gt;=BL6)*Assumption!$E$527:$E$529*Assumption!$K$527:$K$529)/12</f>
        <v>0</v>
      </c>
      <c r="BM135" s="158" t="n">
        <f aca="false">SUMPRODUCT((Assumption!$N$527:$N$529&lt;BM6)*(Assumption!$O$527:$O$529&gt;=BM6)*Assumption!$E$527:$E$529*Assumption!$K$527:$K$529)/12</f>
        <v>0</v>
      </c>
      <c r="BN135" s="158" t="n">
        <f aca="false">SUMPRODUCT((Assumption!$N$527:$N$529&lt;BN6)*(Assumption!$O$527:$O$529&gt;=BN6)*Assumption!$E$527:$E$529*Assumption!$K$527:$K$529)/12</f>
        <v>0</v>
      </c>
      <c r="BO135" s="158" t="n">
        <f aca="false">SUMPRODUCT((Assumption!$N$527:$N$529&lt;BO6)*(Assumption!$O$527:$O$529&gt;=BO6)*Assumption!$E$527:$E$529*Assumption!$K$527:$K$529)/12</f>
        <v>0</v>
      </c>
      <c r="BP135" s="158" t="n">
        <f aca="false">SUMPRODUCT((Assumption!$N$527:$N$529&lt;BP6)*(Assumption!$O$527:$O$529&gt;=BP6)*Assumption!$E$527:$E$529*Assumption!$K$527:$K$529)/12</f>
        <v>0</v>
      </c>
      <c r="BQ135" s="158" t="n">
        <f aca="false">SUMPRODUCT((Assumption!$N$527:$N$529&lt;BQ6)*(Assumption!$O$527:$O$529&gt;=BQ6)*Assumption!$E$527:$E$529*Assumption!$K$527:$K$529)/12</f>
        <v>0</v>
      </c>
      <c r="BR135" s="158" t="n">
        <f aca="false">SUMPRODUCT((Assumption!$N$527:$N$529&lt;BR6)*(Assumption!$O$527:$O$529&gt;=BR6)*Assumption!$E$527:$E$529*Assumption!$K$527:$K$529)/12</f>
        <v>0</v>
      </c>
      <c r="BS135" s="158" t="n">
        <f aca="false">SUMPRODUCT((Assumption!$N$527:$N$529&lt;BS6)*(Assumption!$O$527:$O$529&gt;=BS6)*Assumption!$E$527:$E$529*Assumption!$K$527:$K$529)/12</f>
        <v>0</v>
      </c>
      <c r="BT135" s="158" t="n">
        <f aca="false">SUMPRODUCT((Assumption!$N$527:$N$529&lt;BT6)*(Assumption!$O$527:$O$529&gt;=BT6)*Assumption!$E$527:$E$529*Assumption!$K$527:$K$529)/12</f>
        <v>0</v>
      </c>
      <c r="BU135" s="158" t="n">
        <f aca="false">SUMPRODUCT((Assumption!$N$527:$N$529&lt;BU6)*(Assumption!$O$527:$O$529&gt;=BU6)*Assumption!$E$527:$E$529*Assumption!$K$527:$K$529)/12</f>
        <v>0</v>
      </c>
      <c r="BV135" s="158" t="n">
        <f aca="false">SUMPRODUCT((Assumption!$N$527:$N$529&lt;BV6)*(Assumption!$O$527:$O$529&gt;=BV6)*Assumption!$E$527:$E$529*Assumption!$K$527:$K$529)/12</f>
        <v>0</v>
      </c>
      <c r="BW135" s="158" t="n">
        <f aca="false">SUMPRODUCT((Assumption!$N$527:$N$529&lt;BW6)*(Assumption!$O$527:$O$529&gt;=BW6)*Assumption!$E$527:$E$529*Assumption!$K$527:$K$529)/12</f>
        <v>0</v>
      </c>
      <c r="BX135" s="158" t="n">
        <f aca="false">SUMPRODUCT((Assumption!$N$527:$N$529&lt;BX6)*(Assumption!$O$527:$O$529&gt;=BX6)*Assumption!$E$527:$E$529*Assumption!$K$527:$K$529)/12</f>
        <v>0</v>
      </c>
      <c r="BY135" s="158" t="n">
        <f aca="false">SUMPRODUCT((Assumption!$N$527:$N$529&lt;BY6)*(Assumption!$O$527:$O$529&gt;=BY6)*Assumption!$E$527:$E$529*Assumption!$K$527:$K$529)/12</f>
        <v>0</v>
      </c>
      <c r="BZ135" s="158" t="n">
        <f aca="false">SUMPRODUCT((Assumption!$N$527:$N$529&lt;BZ6)*(Assumption!$O$527:$O$529&gt;=BZ6)*Assumption!$E$527:$E$529*Assumption!$K$527:$K$529)/12</f>
        <v>0</v>
      </c>
      <c r="CA135" s="158" t="n">
        <f aca="false">SUMPRODUCT((Assumption!$N$527:$N$529&lt;CA6)*(Assumption!$O$527:$O$529&gt;=CA6)*Assumption!$E$527:$E$529*Assumption!$K$527:$K$529)/12</f>
        <v>0</v>
      </c>
      <c r="CB135" s="158" t="n">
        <f aca="false">SUMPRODUCT((Assumption!$N$527:$N$529&lt;CB6)*(Assumption!$O$527:$O$529&gt;=CB6)*Assumption!$E$527:$E$529*Assumption!$K$527:$K$529)/12</f>
        <v>0</v>
      </c>
      <c r="CC135" s="158" t="n">
        <f aca="false">SUMPRODUCT((Assumption!$N$527:$N$529&lt;CC6)*(Assumption!$O$527:$O$529&gt;=CC6)*Assumption!$E$527:$E$529*Assumption!$K$527:$K$529)/12</f>
        <v>0</v>
      </c>
      <c r="CD135" s="158" t="n">
        <f aca="false">SUMPRODUCT((Assumption!$N$527:$N$529&lt;CD6)*(Assumption!$O$527:$O$529&gt;=CD6)*Assumption!$E$527:$E$529*Assumption!$K$527:$K$529)/12</f>
        <v>0</v>
      </c>
      <c r="CE135" s="158" t="n">
        <f aca="false">SUMPRODUCT((Assumption!$N$527:$N$529&lt;CE6)*(Assumption!$O$527:$O$529&gt;=CE6)*Assumption!$E$527:$E$529*Assumption!$K$527:$K$529)/12</f>
        <v>0</v>
      </c>
      <c r="CF135" s="158" t="n">
        <f aca="false">SUMPRODUCT((Assumption!$N$527:$N$529&lt;CF6)*(Assumption!$O$527:$O$529&gt;=CF6)*Assumption!$E$527:$E$529*Assumption!$K$527:$K$529)/12</f>
        <v>0</v>
      </c>
      <c r="CG135" s="158" t="n">
        <f aca="false">SUMPRODUCT((Assumption!$N$527:$N$529&lt;CG6)*(Assumption!$O$527:$O$529&gt;=CG6)*Assumption!$E$527:$E$529*Assumption!$K$527:$K$529)/12</f>
        <v>0</v>
      </c>
      <c r="CH135" s="158" t="n">
        <f aca="false">SUMPRODUCT((Assumption!$N$527:$N$529&lt;CH6)*(Assumption!$O$527:$O$529&gt;=CH6)*Assumption!$E$527:$E$529*Assumption!$K$527:$K$529)/12</f>
        <v>0</v>
      </c>
      <c r="CI135" s="158" t="n">
        <f aca="false">SUMPRODUCT((Assumption!$N$527:$N$529&lt;CI6)*(Assumption!$O$527:$O$529&gt;=CI6)*Assumption!$E$527:$E$529*Assumption!$K$527:$K$529)/12</f>
        <v>0</v>
      </c>
      <c r="CJ135" s="158" t="n">
        <f aca="false">SUMPRODUCT((Assumption!$N$527:$N$529&lt;CJ6)*(Assumption!$O$527:$O$529&gt;=CJ6)*Assumption!$E$527:$E$529*Assumption!$K$527:$K$529)/12</f>
        <v>0</v>
      </c>
      <c r="CK135" s="158" t="n">
        <f aca="false">SUMPRODUCT((Assumption!$N$527:$N$529&lt;CK6)*(Assumption!$O$527:$O$529&gt;=CK6)*Assumption!$E$527:$E$529*Assumption!$K$527:$K$529)/12</f>
        <v>0</v>
      </c>
      <c r="CL135" s="158" t="n">
        <f aca="false">SUMPRODUCT((Assumption!$N$527:$N$529&lt;CL6)*(Assumption!$O$527:$O$529&gt;=CL6)*Assumption!$E$527:$E$529*Assumption!$K$527:$K$529)/12</f>
        <v>0</v>
      </c>
      <c r="CM135" s="158" t="n">
        <f aca="false">SUMPRODUCT((Assumption!$N$527:$N$529&lt;CM6)*(Assumption!$O$527:$O$529&gt;=CM6)*Assumption!$E$527:$E$529*Assumption!$K$527:$K$529)/12</f>
        <v>0</v>
      </c>
      <c r="CN135" s="158" t="n">
        <f aca="false">SUMPRODUCT((Assumption!$N$527:$N$529&lt;CN6)*(Assumption!$O$527:$O$529&gt;=CN6)*Assumption!$E$527:$E$529*Assumption!$K$527:$K$529)/12</f>
        <v>0</v>
      </c>
      <c r="CO135" s="158" t="n">
        <f aca="false">SUMPRODUCT((Assumption!$N$527:$N$529&lt;CO6)*(Assumption!$O$527:$O$529&gt;=CO6)*Assumption!$E$527:$E$529*Assumption!$K$527:$K$529)/12</f>
        <v>0</v>
      </c>
      <c r="CP135" s="158" t="n">
        <f aca="false">SUMPRODUCT((Assumption!$N$527:$N$529&lt;CP6)*(Assumption!$O$527:$O$529&gt;=CP6)*Assumption!$E$527:$E$529*Assumption!$K$527:$K$529)/12</f>
        <v>0</v>
      </c>
      <c r="CQ135" s="158" t="n">
        <f aca="false">SUMPRODUCT((Assumption!$N$527:$N$529&lt;CQ6)*(Assumption!$O$527:$O$529&gt;=CQ6)*Assumption!$E$527:$E$529*Assumption!$K$527:$K$529)/12</f>
        <v>0</v>
      </c>
      <c r="CR135" s="158" t="n">
        <f aca="false">SUMPRODUCT((Assumption!$N$527:$N$529&lt;CR6)*(Assumption!$O$527:$O$529&gt;=CR6)*Assumption!$E$527:$E$529*Assumption!$K$527:$K$529)/12</f>
        <v>0</v>
      </c>
      <c r="CS135" s="158" t="n">
        <f aca="false">SUMPRODUCT((Assumption!$N$527:$N$529&lt;CS6)*(Assumption!$O$527:$O$529&gt;=CS6)*Assumption!$E$527:$E$529*Assumption!$K$527:$K$529)/12</f>
        <v>0</v>
      </c>
      <c r="CT135" s="158" t="n">
        <f aca="false">SUMPRODUCT((Assumption!$N$527:$N$529&lt;CT6)*(Assumption!$O$527:$O$529&gt;=CT6)*Assumption!$E$527:$E$529*Assumption!$K$527:$K$529)/12</f>
        <v>0</v>
      </c>
      <c r="CU135" s="158" t="n">
        <f aca="false">SUMPRODUCT((Assumption!$N$527:$N$529&lt;CU6)*(Assumption!$O$527:$O$529&gt;=CU6)*Assumption!$E$527:$E$529*Assumption!$K$527:$K$529)/12</f>
        <v>0</v>
      </c>
      <c r="CV135" s="158" t="n">
        <f aca="false">SUMPRODUCT((Assumption!$N$527:$N$529&lt;CV6)*(Assumption!$O$527:$O$529&gt;=CV6)*Assumption!$E$527:$E$529*Assumption!$K$527:$K$529)/12</f>
        <v>0</v>
      </c>
      <c r="CW135" s="158" t="n">
        <f aca="false">SUMPRODUCT((Assumption!$N$527:$N$529&lt;CW6)*(Assumption!$O$527:$O$529&gt;=CW6)*Assumption!$E$527:$E$529*Assumption!$K$527:$K$529)/12</f>
        <v>0</v>
      </c>
      <c r="CX135" s="158" t="n">
        <f aca="false">SUMPRODUCT((Assumption!$N$527:$N$529&lt;CX6)*(Assumption!$O$527:$O$529&gt;=CX6)*Assumption!$E$527:$E$529*Assumption!$K$527:$K$529)/12</f>
        <v>0</v>
      </c>
      <c r="CY135" s="158" t="n">
        <f aca="false">SUMPRODUCT((Assumption!$N$527:$N$529&lt;CY6)*(Assumption!$O$527:$O$529&gt;=CY6)*Assumption!$E$527:$E$529*Assumption!$K$527:$K$529)/12</f>
        <v>0</v>
      </c>
      <c r="CZ135" s="158" t="n">
        <f aca="false">SUMPRODUCT((Assumption!$N$527:$N$529&lt;CZ6)*(Assumption!$O$527:$O$529&gt;=CZ6)*Assumption!$E$527:$E$529*Assumption!$K$527:$K$529)/12</f>
        <v>0</v>
      </c>
      <c r="DA135" s="158" t="n">
        <f aca="false">SUMPRODUCT((Assumption!$N$527:$N$529&lt;DA6)*(Assumption!$O$527:$O$529&gt;=DA6)*Assumption!$E$527:$E$529*Assumption!$K$527:$K$529)/12</f>
        <v>0</v>
      </c>
      <c r="DB135" s="158" t="n">
        <f aca="false">SUMPRODUCT((Assumption!$N$527:$N$529&lt;DB6)*(Assumption!$O$527:$O$529&gt;=DB6)*Assumption!$E$527:$E$529*Assumption!$K$527:$K$529)/12</f>
        <v>0</v>
      </c>
      <c r="DC135" s="158" t="n">
        <f aca="false">SUMPRODUCT((Assumption!$N$527:$N$529&lt;DC6)*(Assumption!$O$527:$O$529&gt;=DC6)*Assumption!$E$527:$E$529*Assumption!$K$527:$K$529)/12</f>
        <v>0</v>
      </c>
      <c r="DD135" s="158" t="n">
        <f aca="false">SUMPRODUCT((Assumption!$N$527:$N$529&lt;DD6)*(Assumption!$O$527:$O$529&gt;=DD6)*Assumption!$E$527:$E$529*Assumption!$K$527:$K$529)/12</f>
        <v>0</v>
      </c>
      <c r="DE135" s="158" t="n">
        <f aca="false">SUMPRODUCT((Assumption!$N$527:$N$529&lt;DE6)*(Assumption!$O$527:$O$529&gt;=DE6)*Assumption!$E$527:$E$529*Assumption!$K$527:$K$529)/12</f>
        <v>0</v>
      </c>
      <c r="DF135" s="158" t="n">
        <f aca="false">SUMPRODUCT((Assumption!$N$527:$N$529&lt;DF6)*(Assumption!$O$527:$O$529&gt;=DF6)*Assumption!$E$527:$E$529*Assumption!$K$527:$K$529)/12</f>
        <v>0</v>
      </c>
      <c r="DG135" s="158" t="n">
        <f aca="false">SUMPRODUCT((Assumption!$N$527:$N$529&lt;DG6)*(Assumption!$O$527:$O$529&gt;=DG6)*Assumption!$E$527:$E$529*Assumption!$K$527:$K$529)/12</f>
        <v>0</v>
      </c>
      <c r="DH135" s="158" t="n">
        <f aca="false">SUMPRODUCT((Assumption!$N$527:$N$529&lt;DH6)*(Assumption!$O$527:$O$529&gt;=DH6)*Assumption!$E$527:$E$529*Assumption!$K$527:$K$529)/12</f>
        <v>0</v>
      </c>
      <c r="DI135" s="158" t="n">
        <f aca="false">SUMPRODUCT((Assumption!$N$527:$N$529&lt;DI6)*(Assumption!$O$527:$O$529&gt;=DI6)*Assumption!$E$527:$E$529*Assumption!$K$527:$K$529)/12</f>
        <v>0</v>
      </c>
      <c r="DJ135" s="158" t="n">
        <f aca="false">SUMPRODUCT((Assumption!$N$527:$N$529&lt;DJ6)*(Assumption!$O$527:$O$529&gt;=DJ6)*Assumption!$E$527:$E$529*Assumption!$K$527:$K$529)/12</f>
        <v>0</v>
      </c>
      <c r="DK135" s="158" t="n">
        <f aca="false">SUMPRODUCT((Assumption!$N$527:$N$529&lt;DK6)*(Assumption!$O$527:$O$529&gt;=DK6)*Assumption!$E$527:$E$529*Assumption!$K$527:$K$529)/12</f>
        <v>0</v>
      </c>
      <c r="DL135" s="158" t="n">
        <f aca="false">SUMPRODUCT((Assumption!$N$527:$N$529&lt;DL6)*(Assumption!$O$527:$O$529&gt;=DL6)*Assumption!$E$527:$E$529*Assumption!$K$527:$K$529)/12</f>
        <v>0</v>
      </c>
      <c r="DM135" s="158" t="n">
        <f aca="false">SUMPRODUCT((Assumption!$N$527:$N$529&lt;DM6)*(Assumption!$O$527:$O$529&gt;=DM6)*Assumption!$E$527:$E$529*Assumption!$K$527:$K$529)/12</f>
        <v>0</v>
      </c>
      <c r="DN135" s="158" t="n">
        <f aca="false">SUMPRODUCT((Assumption!$N$527:$N$529&lt;DN6)*(Assumption!$O$527:$O$529&gt;=DN6)*Assumption!$E$527:$E$529*Assumption!$K$527:$K$529)/12</f>
        <v>0</v>
      </c>
      <c r="DO135" s="158" t="n">
        <f aca="false">SUMPRODUCT((Assumption!$N$527:$N$529&lt;DO6)*(Assumption!$O$527:$O$529&gt;=DO6)*Assumption!$E$527:$E$529*Assumption!$K$527:$K$529)/12</f>
        <v>0</v>
      </c>
      <c r="DP135" s="158" t="n">
        <f aca="false">SUMPRODUCT((Assumption!$N$527:$N$529&lt;DP6)*(Assumption!$O$527:$O$529&gt;=DP6)*Assumption!$E$527:$E$529*Assumption!$K$527:$K$529)/12</f>
        <v>0</v>
      </c>
      <c r="DQ135" s="158" t="n">
        <f aca="false">SUMPRODUCT((Assumption!$N$527:$N$529&lt;DQ6)*(Assumption!$O$527:$O$529&gt;=DQ6)*Assumption!$E$527:$E$529*Assumption!$K$527:$K$529)/12</f>
        <v>0</v>
      </c>
      <c r="DR135" s="158" t="n">
        <f aca="false">SUMPRODUCT((Assumption!$N$527:$N$529&lt;DR6)*(Assumption!$O$527:$O$529&gt;=DR6)*Assumption!$E$527:$E$529*Assumption!$K$527:$K$529)/12</f>
        <v>0</v>
      </c>
      <c r="DS135" s="158" t="n">
        <f aca="false">SUMPRODUCT((Assumption!$N$527:$N$529&lt;DS6)*(Assumption!$O$527:$O$529&gt;=DS6)*Assumption!$E$527:$E$529*Assumption!$K$527:$K$529)/12</f>
        <v>0</v>
      </c>
      <c r="DT135" s="158" t="n">
        <f aca="false">SUMPRODUCT((Assumption!$N$527:$N$529&lt;DT6)*(Assumption!$O$527:$O$529&gt;=DT6)*Assumption!$E$527:$E$529*Assumption!$K$527:$K$529)/12</f>
        <v>0</v>
      </c>
      <c r="DU135" s="158" t="n">
        <f aca="false">SUMPRODUCT((Assumption!$N$527:$N$529&lt;DU6)*(Assumption!$O$527:$O$529&gt;=DU6)*Assumption!$E$527:$E$529*Assumption!$K$527:$K$529)/12</f>
        <v>0</v>
      </c>
      <c r="DV135" s="158" t="n">
        <f aca="false">SUMPRODUCT((Assumption!$N$527:$N$529&lt;DV6)*(Assumption!$O$527:$O$529&gt;=DV6)*Assumption!$E$527:$E$529*Assumption!$K$527:$K$529)/12</f>
        <v>0</v>
      </c>
      <c r="DW135" s="158" t="n">
        <f aca="false">SUMPRODUCT((Assumption!$N$527:$N$529&lt;DW6)*(Assumption!$O$527:$O$529&gt;=DW6)*Assumption!$E$527:$E$529*Assumption!$K$527:$K$529)/12</f>
        <v>0</v>
      </c>
      <c r="DX135" s="158" t="n">
        <f aca="false">SUMPRODUCT((Assumption!$N$527:$N$529&lt;DX6)*(Assumption!$O$527:$O$529&gt;=DX6)*Assumption!$E$527:$E$529*Assumption!$K$527:$K$529)/12</f>
        <v>0</v>
      </c>
      <c r="DY135" s="158" t="n">
        <f aca="false">SUMPRODUCT((Assumption!$N$527:$N$529&lt;DY6)*(Assumption!$O$527:$O$529&gt;=DY6)*Assumption!$E$527:$E$529*Assumption!$K$527:$K$529)/12</f>
        <v>0</v>
      </c>
      <c r="DZ135" s="158" t="n">
        <f aca="false">SUMPRODUCT((Assumption!$N$527:$N$529&lt;DZ6)*(Assumption!$O$527:$O$529&gt;=DZ6)*Assumption!$E$527:$E$529*Assumption!$K$527:$K$529)/12</f>
        <v>0</v>
      </c>
      <c r="EA135" s="158" t="n">
        <f aca="false">SUMPRODUCT((Assumption!$N$527:$N$529&lt;EA6)*(Assumption!$O$527:$O$529&gt;=EA6)*Assumption!$E$527:$E$529*Assumption!$K$527:$K$529)/12</f>
        <v>0</v>
      </c>
      <c r="EB135" s="158" t="n">
        <f aca="false">SUMPRODUCT((Assumption!$N$527:$N$529&lt;EB6)*(Assumption!$O$527:$O$529&gt;=EB6)*Assumption!$E$527:$E$529*Assumption!$K$527:$K$529)/12</f>
        <v>0</v>
      </c>
      <c r="EC135" s="158" t="n">
        <f aca="false">SUMPRODUCT((Assumption!$N$527:$N$529&lt;EC6)*(Assumption!$O$527:$O$529&gt;=EC6)*Assumption!$E$527:$E$529*Assumption!$K$527:$K$529)/12</f>
        <v>0</v>
      </c>
      <c r="ED135" s="158" t="n">
        <f aca="false">SUMPRODUCT((Assumption!$N$527:$N$529&lt;ED6)*(Assumption!$O$527:$O$529&gt;=ED6)*Assumption!$E$527:$E$529*Assumption!$K$527:$K$529)/12</f>
        <v>0</v>
      </c>
      <c r="EE135" s="158" t="n">
        <f aca="false">SUMPRODUCT((Assumption!$N$527:$N$529&lt;EE6)*(Assumption!$O$527:$O$529&gt;=EE6)*Assumption!$E$527:$E$529*Assumption!$K$527:$K$529)/12</f>
        <v>0</v>
      </c>
      <c r="EF135" s="158" t="n">
        <f aca="false">SUMPRODUCT((Assumption!$N$527:$N$529&lt;EF6)*(Assumption!$O$527:$O$529&gt;=EF6)*Assumption!$E$527:$E$529*Assumption!$K$527:$K$529)/12</f>
        <v>0</v>
      </c>
    </row>
    <row r="136" customFormat="false" ht="15" hidden="false" customHeight="false" outlineLevel="0" collapsed="false">
      <c r="A136" s="35" t="s">
        <v>589</v>
      </c>
      <c r="B136" s="241" t="s">
        <v>116</v>
      </c>
      <c r="C136" s="242" t="n">
        <f aca="false">SUM(E136:EF136)</f>
        <v>0</v>
      </c>
      <c r="E136" s="158" t="n">
        <f aca="false">IF(E6=Assumption!$E$24,0+E134,MIN(0+E134,SUMIF(Assumption!$O$527:$O$529,E6,Assumption!$E$527:$E$529)))</f>
        <v>0</v>
      </c>
      <c r="F136" s="158" t="n">
        <f aca="false">IF(F6=Assumption!$E$24,E137+F134,MIN(E137+F134,SUMIF(Assumption!$O$527:$O$529,F6,Assumption!$E$527:$E$529)))</f>
        <v>0</v>
      </c>
      <c r="G136" s="158" t="n">
        <f aca="false">IF(G6=Assumption!$E$24,F137+G134,MIN(F137+G134,SUMIF(Assumption!$O$527:$O$529,G6,Assumption!$E$527:$E$529)))</f>
        <v>0</v>
      </c>
      <c r="H136" s="158" t="n">
        <f aca="false">IF(H6=Assumption!$E$24,G137+H134,MIN(G137+H134,SUMIF(Assumption!$O$527:$O$529,H6,Assumption!$E$527:$E$529)))</f>
        <v>0</v>
      </c>
      <c r="I136" s="158" t="n">
        <f aca="false">IF(I6=Assumption!$E$24,H137+I134,MIN(H137+I134,SUMIF(Assumption!$O$527:$O$529,I6,Assumption!$E$527:$E$529)))</f>
        <v>0</v>
      </c>
      <c r="J136" s="158" t="n">
        <f aca="false">IF(J6=Assumption!$E$24,I137+J134,MIN(I137+J134,SUMIF(Assumption!$O$527:$O$529,J6,Assumption!$E$527:$E$529)))</f>
        <v>0</v>
      </c>
      <c r="K136" s="158" t="n">
        <f aca="false">IF(K6=Assumption!$E$24,J137+K134,MIN(J137+K134,SUMIF(Assumption!$O$527:$O$529,K6,Assumption!$E$527:$E$529)))</f>
        <v>0</v>
      </c>
      <c r="L136" s="158" t="n">
        <f aca="false">IF(L6=Assumption!$E$24,K137+L134,MIN(K137+L134,SUMIF(Assumption!$O$527:$O$529,L6,Assumption!$E$527:$E$529)))</f>
        <v>0</v>
      </c>
      <c r="M136" s="158" t="n">
        <f aca="false">IF(M6=Assumption!$E$24,L137+M134,MIN(L137+M134,SUMIF(Assumption!$O$527:$O$529,M6,Assumption!$E$527:$E$529)))</f>
        <v>0</v>
      </c>
      <c r="N136" s="158" t="n">
        <f aca="false">IF(N6=Assumption!$E$24,M137+N134,MIN(M137+N134,SUMIF(Assumption!$O$527:$O$529,N6,Assumption!$E$527:$E$529)))</f>
        <v>0</v>
      </c>
      <c r="O136" s="158" t="n">
        <f aca="false">IF(O6=Assumption!$E$24,N137+O134,MIN(N137+O134,SUMIF(Assumption!$O$527:$O$529,O6,Assumption!$E$527:$E$529)))</f>
        <v>0</v>
      </c>
      <c r="P136" s="158" t="n">
        <f aca="false">IF(P6=Assumption!$E$24,O137+P134,MIN(O137+P134,SUMIF(Assumption!$O$527:$O$529,P6,Assumption!$E$527:$E$529)))</f>
        <v>0</v>
      </c>
      <c r="Q136" s="158" t="n">
        <f aca="false">IF(Q6=Assumption!$E$24,P137+Q134,MIN(P137+Q134,SUMIF(Assumption!$O$527:$O$529,Q6,Assumption!$E$527:$E$529)))</f>
        <v>0</v>
      </c>
      <c r="R136" s="158" t="n">
        <f aca="false">IF(R6=Assumption!$E$24,Q137+R134,MIN(Q137+R134,SUMIF(Assumption!$O$527:$O$529,R6,Assumption!$E$527:$E$529)))</f>
        <v>0</v>
      </c>
      <c r="S136" s="158" t="n">
        <f aca="false">IF(S6=Assumption!$E$24,R137+S134,MIN(R137+S134,SUMIF(Assumption!$O$527:$O$529,S6,Assumption!$E$527:$E$529)))</f>
        <v>0</v>
      </c>
      <c r="T136" s="158" t="n">
        <f aca="false">IF(T6=Assumption!$E$24,S137+T134,MIN(S137+T134,SUMIF(Assumption!$O$527:$O$529,T6,Assumption!$E$527:$E$529)))</f>
        <v>0</v>
      </c>
      <c r="U136" s="158" t="n">
        <f aca="false">IF(U6=Assumption!$E$24,T137+U134,MIN(T137+U134,SUMIF(Assumption!$O$527:$O$529,U6,Assumption!$E$527:$E$529)))</f>
        <v>0</v>
      </c>
      <c r="V136" s="158" t="n">
        <f aca="false">IF(V6=Assumption!$E$24,U137+V134,MIN(U137+V134,SUMIF(Assumption!$O$527:$O$529,V6,Assumption!$E$527:$E$529)))</f>
        <v>0</v>
      </c>
      <c r="W136" s="158" t="n">
        <f aca="false">IF(W6=Assumption!$E$24,V137+W134,MIN(V137+W134,SUMIF(Assumption!$O$527:$O$529,W6,Assumption!$E$527:$E$529)))</f>
        <v>0</v>
      </c>
      <c r="X136" s="158" t="n">
        <f aca="false">IF(X6=Assumption!$E$24,W137+X134,MIN(W137+X134,SUMIF(Assumption!$O$527:$O$529,X6,Assumption!$E$527:$E$529)))</f>
        <v>0</v>
      </c>
      <c r="Y136" s="158" t="n">
        <f aca="false">IF(Y6=Assumption!$E$24,X137+Y134,MIN(X137+Y134,SUMIF(Assumption!$O$527:$O$529,Y6,Assumption!$E$527:$E$529)))</f>
        <v>0</v>
      </c>
      <c r="Z136" s="158" t="n">
        <f aca="false">IF(Z6=Assumption!$E$24,Y137+Z134,MIN(Y137+Z134,SUMIF(Assumption!$O$527:$O$529,Z6,Assumption!$E$527:$E$529)))</f>
        <v>0</v>
      </c>
      <c r="AA136" s="158" t="n">
        <f aca="false">IF(AA6=Assumption!$E$24,Z137+AA134,MIN(Z137+AA134,SUMIF(Assumption!$O$527:$O$529,AA6,Assumption!$E$527:$E$529)))</f>
        <v>0</v>
      </c>
      <c r="AB136" s="158" t="n">
        <f aca="false">IF(AB6=Assumption!$E$24,AA137+AB134,MIN(AA137+AB134,SUMIF(Assumption!$O$527:$O$529,AB6,Assumption!$E$527:$E$529)))</f>
        <v>0</v>
      </c>
      <c r="AC136" s="158" t="n">
        <f aca="false">IF(AC6=Assumption!$E$24,AB137+AC134,MIN(AB137+AC134,SUMIF(Assumption!$O$527:$O$529,AC6,Assumption!$E$527:$E$529)))</f>
        <v>0</v>
      </c>
      <c r="AD136" s="158" t="n">
        <f aca="false">IF(AD6=Assumption!$E$24,AC137+AD134,MIN(AC137+AD134,SUMIF(Assumption!$O$527:$O$529,AD6,Assumption!$E$527:$E$529)))</f>
        <v>0</v>
      </c>
      <c r="AE136" s="158" t="n">
        <f aca="false">IF(AE6=Assumption!$E$24,AD137+AE134,MIN(AD137+AE134,SUMIF(Assumption!$O$527:$O$529,AE6,Assumption!$E$527:$E$529)))</f>
        <v>0</v>
      </c>
      <c r="AF136" s="158" t="n">
        <f aca="false">IF(AF6=Assumption!$E$24,AE137+AF134,MIN(AE137+AF134,SUMIF(Assumption!$O$527:$O$529,AF6,Assumption!$E$527:$E$529)))</f>
        <v>0</v>
      </c>
      <c r="AG136" s="158" t="n">
        <f aca="false">IF(AG6=Assumption!$E$24,AF137+AG134,MIN(AF137+AG134,SUMIF(Assumption!$O$527:$O$529,AG6,Assumption!$E$527:$E$529)))</f>
        <v>0</v>
      </c>
      <c r="AH136" s="158" t="n">
        <f aca="false">IF(AH6=Assumption!$E$24,AG137+AH134,MIN(AG137+AH134,SUMIF(Assumption!$O$527:$O$529,AH6,Assumption!$E$527:$E$529)))</f>
        <v>0</v>
      </c>
      <c r="AI136" s="158" t="n">
        <f aca="false">IF(AI6=Assumption!$E$24,AH137+AI134,MIN(AH137+AI134,SUMIF(Assumption!$O$527:$O$529,AI6,Assumption!$E$527:$E$529)))</f>
        <v>0</v>
      </c>
      <c r="AJ136" s="158" t="n">
        <f aca="false">IF(AJ6=Assumption!$E$24,AI137+AJ134,MIN(AI137+AJ134,SUMIF(Assumption!$O$527:$O$529,AJ6,Assumption!$E$527:$E$529)))</f>
        <v>0</v>
      </c>
      <c r="AK136" s="158" t="n">
        <f aca="false">IF(AK6=Assumption!$E$24,AJ137+AK134,MIN(AJ137+AK134,SUMIF(Assumption!$O$527:$O$529,AK6,Assumption!$E$527:$E$529)))</f>
        <v>0</v>
      </c>
      <c r="AL136" s="158" t="n">
        <f aca="false">IF(AL6=Assumption!$E$24,AK137+AL134,MIN(AK137+AL134,SUMIF(Assumption!$O$527:$O$529,AL6,Assumption!$E$527:$E$529)))</f>
        <v>0</v>
      </c>
      <c r="AM136" s="158" t="n">
        <f aca="false">IF(AM6=Assumption!$E$24,AL137+AM134,MIN(AL137+AM134,SUMIF(Assumption!$O$527:$O$529,AM6,Assumption!$E$527:$E$529)))</f>
        <v>0</v>
      </c>
      <c r="AN136" s="158" t="n">
        <f aca="false">IF(AN6=Assumption!$E$24,AM137+AN134,MIN(AM137+AN134,SUMIF(Assumption!$O$527:$O$529,AN6,Assumption!$E$527:$E$529)))</f>
        <v>0</v>
      </c>
      <c r="AO136" s="158" t="n">
        <f aca="false">IF(AO6=Assumption!$E$24,AN137+AO134,MIN(AN137+AO134,SUMIF(Assumption!$O$527:$O$529,AO6,Assumption!$E$527:$E$529)))</f>
        <v>0</v>
      </c>
      <c r="AP136" s="158" t="n">
        <f aca="false">IF(AP6=Assumption!$E$24,AO137+AP134,MIN(AO137+AP134,SUMIF(Assumption!$O$527:$O$529,AP6,Assumption!$E$527:$E$529)))</f>
        <v>0</v>
      </c>
      <c r="AQ136" s="158" t="n">
        <f aca="false">IF(AQ6=Assumption!$E$24,AP137+AQ134,MIN(AP137+AQ134,SUMIF(Assumption!$O$527:$O$529,AQ6,Assumption!$E$527:$E$529)))</f>
        <v>0</v>
      </c>
      <c r="AR136" s="158" t="n">
        <f aca="false">IF(AR6=Assumption!$E$24,AQ137+AR134,MIN(AQ137+AR134,SUMIF(Assumption!$O$527:$O$529,AR6,Assumption!$E$527:$E$529)))</f>
        <v>0</v>
      </c>
      <c r="AS136" s="158" t="n">
        <f aca="false">IF(AS6=Assumption!$E$24,AR137+AS134,MIN(AR137+AS134,SUMIF(Assumption!$O$527:$O$529,AS6,Assumption!$E$527:$E$529)))</f>
        <v>0</v>
      </c>
      <c r="AT136" s="158" t="n">
        <f aca="false">IF(AT6=Assumption!$E$24,AS137+AT134,MIN(AS137+AT134,SUMIF(Assumption!$O$527:$O$529,AT6,Assumption!$E$527:$E$529)))</f>
        <v>0</v>
      </c>
      <c r="AU136" s="158" t="n">
        <f aca="false">IF(AU6=Assumption!$E$24,AT137+AU134,MIN(AT137+AU134,SUMIF(Assumption!$O$527:$O$529,AU6,Assumption!$E$527:$E$529)))</f>
        <v>0</v>
      </c>
      <c r="AV136" s="158" t="n">
        <f aca="false">IF(AV6=Assumption!$E$24,AU137+AV134,MIN(AU137+AV134,SUMIF(Assumption!$O$527:$O$529,AV6,Assumption!$E$527:$E$529)))</f>
        <v>0</v>
      </c>
      <c r="AW136" s="158" t="n">
        <f aca="false">IF(AW6=Assumption!$E$24,AV137+AW134,MIN(AV137+AW134,SUMIF(Assumption!$O$527:$O$529,AW6,Assumption!$E$527:$E$529)))</f>
        <v>0</v>
      </c>
      <c r="AX136" s="158" t="n">
        <f aca="false">IF(AX6=Assumption!$E$24,AW137+AX134,MIN(AW137+AX134,SUMIF(Assumption!$O$527:$O$529,AX6,Assumption!$E$527:$E$529)))</f>
        <v>0</v>
      </c>
      <c r="AY136" s="158" t="n">
        <f aca="false">IF(AY6=Assumption!$E$24,AX137+AY134,MIN(AX137+AY134,SUMIF(Assumption!$O$527:$O$529,AY6,Assumption!$E$527:$E$529)))</f>
        <v>0</v>
      </c>
      <c r="AZ136" s="158" t="n">
        <f aca="false">IF(AZ6=Assumption!$E$24,AY137+AZ134,MIN(AY137+AZ134,SUMIF(Assumption!$O$527:$O$529,AZ6,Assumption!$E$527:$E$529)))</f>
        <v>0</v>
      </c>
      <c r="BA136" s="158" t="n">
        <f aca="false">IF(BA6=Assumption!$E$24,AZ137+BA134,MIN(AZ137+BA134,SUMIF(Assumption!$O$527:$O$529,BA6,Assumption!$E$527:$E$529)))</f>
        <v>0</v>
      </c>
      <c r="BB136" s="158" t="n">
        <f aca="false">IF(BB6=Assumption!$E$24,BA137+BB134,MIN(BA137+BB134,SUMIF(Assumption!$O$527:$O$529,BB6,Assumption!$E$527:$E$529)))</f>
        <v>0</v>
      </c>
      <c r="BC136" s="158" t="n">
        <f aca="false">IF(BC6=Assumption!$E$24,BB137+BC134,MIN(BB137+BC134,SUMIF(Assumption!$O$527:$O$529,BC6,Assumption!$E$527:$E$529)))</f>
        <v>0</v>
      </c>
      <c r="BD136" s="158" t="n">
        <f aca="false">IF(BD6=Assumption!$E$24,BC137+BD134,MIN(BC137+BD134,SUMIF(Assumption!$O$527:$O$529,BD6,Assumption!$E$527:$E$529)))</f>
        <v>0</v>
      </c>
      <c r="BE136" s="158" t="n">
        <f aca="false">IF(BE6=Assumption!$E$24,BD137+BE134,MIN(BD137+BE134,SUMIF(Assumption!$O$527:$O$529,BE6,Assumption!$E$527:$E$529)))</f>
        <v>0</v>
      </c>
      <c r="BF136" s="158" t="n">
        <f aca="false">IF(BF6=Assumption!$E$24,BE137+BF134,MIN(BE137+BF134,SUMIF(Assumption!$O$527:$O$529,BF6,Assumption!$E$527:$E$529)))</f>
        <v>0</v>
      </c>
      <c r="BG136" s="158" t="n">
        <f aca="false">IF(BG6=Assumption!$E$24,BF137+BG134,MIN(BF137+BG134,SUMIF(Assumption!$O$527:$O$529,BG6,Assumption!$E$527:$E$529)))</f>
        <v>0</v>
      </c>
      <c r="BH136" s="158" t="n">
        <f aca="false">IF(BH6=Assumption!$E$24,BG137+BH134,MIN(BG137+BH134,SUMIF(Assumption!$O$527:$O$529,BH6,Assumption!$E$527:$E$529)))</f>
        <v>0</v>
      </c>
      <c r="BI136" s="158" t="n">
        <f aca="false">IF(BI6=Assumption!$E$24,BH137+BI134,MIN(BH137+BI134,SUMIF(Assumption!$O$527:$O$529,BI6,Assumption!$E$527:$E$529)))</f>
        <v>0</v>
      </c>
      <c r="BJ136" s="158" t="n">
        <f aca="false">IF(BJ6=Assumption!$E$24,BI137+BJ134,MIN(BI137+BJ134,SUMIF(Assumption!$O$527:$O$529,BJ6,Assumption!$E$527:$E$529)))</f>
        <v>0</v>
      </c>
      <c r="BK136" s="158" t="n">
        <f aca="false">IF(BK6=Assumption!$E$24,BJ137+BK134,MIN(BJ137+BK134,SUMIF(Assumption!$O$527:$O$529,BK6,Assumption!$E$527:$E$529)))</f>
        <v>0</v>
      </c>
      <c r="BL136" s="158" t="n">
        <f aca="false">IF(BL6=Assumption!$E$24,BK137+BL134,MIN(BK137+BL134,SUMIF(Assumption!$O$527:$O$529,BL6,Assumption!$E$527:$E$529)))</f>
        <v>0</v>
      </c>
      <c r="BM136" s="158" t="n">
        <f aca="false">IF(BM6=Assumption!$E$24,BL137+BM134,MIN(BL137+BM134,SUMIF(Assumption!$O$527:$O$529,BM6,Assumption!$E$527:$E$529)))</f>
        <v>0</v>
      </c>
      <c r="BN136" s="158" t="n">
        <f aca="false">IF(BN6=Assumption!$E$24,BM137+BN134,MIN(BM137+BN134,SUMIF(Assumption!$O$527:$O$529,BN6,Assumption!$E$527:$E$529)))</f>
        <v>0</v>
      </c>
      <c r="BO136" s="158" t="n">
        <f aca="false">IF(BO6=Assumption!$E$24,BN137+BO134,MIN(BN137+BO134,SUMIF(Assumption!$O$527:$O$529,BO6,Assumption!$E$527:$E$529)))</f>
        <v>0</v>
      </c>
      <c r="BP136" s="158" t="n">
        <f aca="false">IF(BP6=Assumption!$E$24,BO137+BP134,MIN(BO137+BP134,SUMIF(Assumption!$O$527:$O$529,BP6,Assumption!$E$527:$E$529)))</f>
        <v>0</v>
      </c>
      <c r="BQ136" s="158" t="n">
        <f aca="false">IF(BQ6=Assumption!$E$24,BP137+BQ134,MIN(BP137+BQ134,SUMIF(Assumption!$O$527:$O$529,BQ6,Assumption!$E$527:$E$529)))</f>
        <v>0</v>
      </c>
      <c r="BR136" s="158" t="n">
        <f aca="false">IF(BR6=Assumption!$E$24,BQ137+BR134,MIN(BQ137+BR134,SUMIF(Assumption!$O$527:$O$529,BR6,Assumption!$E$527:$E$529)))</f>
        <v>0</v>
      </c>
      <c r="BS136" s="158" t="n">
        <f aca="false">IF(BS6=Assumption!$E$24,BR137+BS134,MIN(BR137+BS134,SUMIF(Assumption!$O$527:$O$529,BS6,Assumption!$E$527:$E$529)))</f>
        <v>0</v>
      </c>
      <c r="BT136" s="158" t="n">
        <f aca="false">IF(BT6=Assumption!$E$24,BS137+BT134,MIN(BS137+BT134,SUMIF(Assumption!$O$527:$O$529,BT6,Assumption!$E$527:$E$529)))</f>
        <v>0</v>
      </c>
      <c r="BU136" s="158" t="n">
        <f aca="false">IF(BU6=Assumption!$E$24,BT137+BU134,MIN(BT137+BU134,SUMIF(Assumption!$O$527:$O$529,BU6,Assumption!$E$527:$E$529)))</f>
        <v>0</v>
      </c>
      <c r="BV136" s="158" t="n">
        <f aca="false">IF(BV6=Assumption!$E$24,BU137+BV134,MIN(BU137+BV134,SUMIF(Assumption!$O$527:$O$529,BV6,Assumption!$E$527:$E$529)))</f>
        <v>0</v>
      </c>
      <c r="BW136" s="158" t="n">
        <f aca="false">IF(BW6=Assumption!$E$24,BV137+BW134,MIN(BV137+BW134,SUMIF(Assumption!$O$527:$O$529,BW6,Assumption!$E$527:$E$529)))</f>
        <v>0</v>
      </c>
      <c r="BX136" s="158" t="n">
        <f aca="false">IF(BX6=Assumption!$E$24,BW137+BX134,MIN(BW137+BX134,SUMIF(Assumption!$O$527:$O$529,BX6,Assumption!$E$527:$E$529)))</f>
        <v>0</v>
      </c>
      <c r="BY136" s="158" t="n">
        <f aca="false">IF(BY6=Assumption!$E$24,BX137+BY134,MIN(BX137+BY134,SUMIF(Assumption!$O$527:$O$529,BY6,Assumption!$E$527:$E$529)))</f>
        <v>0</v>
      </c>
      <c r="BZ136" s="158" t="n">
        <f aca="false">IF(BZ6=Assumption!$E$24,BY137+BZ134,MIN(BY137+BZ134,SUMIF(Assumption!$O$527:$O$529,BZ6,Assumption!$E$527:$E$529)))</f>
        <v>0</v>
      </c>
      <c r="CA136" s="158" t="n">
        <f aca="false">IF(CA6=Assumption!$E$24,BZ137+CA134,MIN(BZ137+CA134,SUMIF(Assumption!$O$527:$O$529,CA6,Assumption!$E$527:$E$529)))</f>
        <v>0</v>
      </c>
      <c r="CB136" s="158" t="n">
        <f aca="false">IF(CB6=Assumption!$E$24,CA137+CB134,MIN(CA137+CB134,SUMIF(Assumption!$O$527:$O$529,CB6,Assumption!$E$527:$E$529)))</f>
        <v>0</v>
      </c>
      <c r="CC136" s="158" t="n">
        <f aca="false">IF(CC6=Assumption!$E$24,CB137+CC134,MIN(CB137+CC134,SUMIF(Assumption!$O$527:$O$529,CC6,Assumption!$E$527:$E$529)))</f>
        <v>0</v>
      </c>
      <c r="CD136" s="158" t="n">
        <f aca="false">IF(CD6=Assumption!$E$24,CC137+CD134,MIN(CC137+CD134,SUMIF(Assumption!$O$527:$O$529,CD6,Assumption!$E$527:$E$529)))</f>
        <v>0</v>
      </c>
      <c r="CE136" s="158" t="n">
        <f aca="false">IF(CE6=Assumption!$E$24,CD137+CE134,MIN(CD137+CE134,SUMIF(Assumption!$O$527:$O$529,CE6,Assumption!$E$527:$E$529)))</f>
        <v>0</v>
      </c>
      <c r="CF136" s="158" t="n">
        <f aca="false">IF(CF6=Assumption!$E$24,CE137+CF134,MIN(CE137+CF134,SUMIF(Assumption!$O$527:$O$529,CF6,Assumption!$E$527:$E$529)))</f>
        <v>0</v>
      </c>
      <c r="CG136" s="158" t="n">
        <f aca="false">IF(CG6=Assumption!$E$24,CF137+CG134,MIN(CF137+CG134,SUMIF(Assumption!$O$527:$O$529,CG6,Assumption!$E$527:$E$529)))</f>
        <v>0</v>
      </c>
      <c r="CH136" s="158" t="n">
        <f aca="false">IF(CH6=Assumption!$E$24,CG137+CH134,MIN(CG137+CH134,SUMIF(Assumption!$O$527:$O$529,CH6,Assumption!$E$527:$E$529)))</f>
        <v>0</v>
      </c>
      <c r="CI136" s="158" t="n">
        <f aca="false">IF(CI6=Assumption!$E$24,CH137+CI134,MIN(CH137+CI134,SUMIF(Assumption!$O$527:$O$529,CI6,Assumption!$E$527:$E$529)))</f>
        <v>0</v>
      </c>
      <c r="CJ136" s="158" t="n">
        <f aca="false">IF(CJ6=Assumption!$E$24,CI137+CJ134,MIN(CI137+CJ134,SUMIF(Assumption!$O$527:$O$529,CJ6,Assumption!$E$527:$E$529)))</f>
        <v>0</v>
      </c>
      <c r="CK136" s="158" t="n">
        <f aca="false">IF(CK6=Assumption!$E$24,CJ137+CK134,MIN(CJ137+CK134,SUMIF(Assumption!$O$527:$O$529,CK6,Assumption!$E$527:$E$529)))</f>
        <v>0</v>
      </c>
      <c r="CL136" s="158" t="n">
        <f aca="false">IF(CL6=Assumption!$E$24,CK137+CL134,MIN(CK137+CL134,SUMIF(Assumption!$O$527:$O$529,CL6,Assumption!$E$527:$E$529)))</f>
        <v>0</v>
      </c>
      <c r="CM136" s="158" t="n">
        <f aca="false">IF(CM6=Assumption!$E$24,CL137+CM134,MIN(CL137+CM134,SUMIF(Assumption!$O$527:$O$529,CM6,Assumption!$E$527:$E$529)))</f>
        <v>0</v>
      </c>
      <c r="CN136" s="158" t="n">
        <f aca="false">IF(CN6=Assumption!$E$24,CM137+CN134,MIN(CM137+CN134,SUMIF(Assumption!$O$527:$O$529,CN6,Assumption!$E$527:$E$529)))</f>
        <v>0</v>
      </c>
      <c r="CO136" s="158" t="n">
        <f aca="false">IF(CO6=Assumption!$E$24,CN137+CO134,MIN(CN137+CO134,SUMIF(Assumption!$O$527:$O$529,CO6,Assumption!$E$527:$E$529)))</f>
        <v>0</v>
      </c>
      <c r="CP136" s="158" t="n">
        <f aca="false">IF(CP6=Assumption!$E$24,CO137+CP134,MIN(CO137+CP134,SUMIF(Assumption!$O$527:$O$529,CP6,Assumption!$E$527:$E$529)))</f>
        <v>0</v>
      </c>
      <c r="CQ136" s="158" t="n">
        <f aca="false">IF(CQ6=Assumption!$E$24,CP137+CQ134,MIN(CP137+CQ134,SUMIF(Assumption!$O$527:$O$529,CQ6,Assumption!$E$527:$E$529)))</f>
        <v>0</v>
      </c>
      <c r="CR136" s="158" t="n">
        <f aca="false">IF(CR6=Assumption!$E$24,CQ137+CR134,MIN(CQ137+CR134,SUMIF(Assumption!$O$527:$O$529,CR6,Assumption!$E$527:$E$529)))</f>
        <v>0</v>
      </c>
      <c r="CS136" s="158" t="n">
        <f aca="false">IF(CS6=Assumption!$E$24,CR137+CS134,MIN(CR137+CS134,SUMIF(Assumption!$O$527:$O$529,CS6,Assumption!$E$527:$E$529)))</f>
        <v>0</v>
      </c>
      <c r="CT136" s="158" t="n">
        <f aca="false">IF(CT6=Assumption!$E$24,CS137+CT134,MIN(CS137+CT134,SUMIF(Assumption!$O$527:$O$529,CT6,Assumption!$E$527:$E$529)))</f>
        <v>0</v>
      </c>
      <c r="CU136" s="158" t="n">
        <f aca="false">IF(CU6=Assumption!$E$24,CT137+CU134,MIN(CT137+CU134,SUMIF(Assumption!$O$527:$O$529,CU6,Assumption!$E$527:$E$529)))</f>
        <v>0</v>
      </c>
      <c r="CV136" s="158" t="n">
        <f aca="false">IF(CV6=Assumption!$E$24,CU137+CV134,MIN(CU137+CV134,SUMIF(Assumption!$O$527:$O$529,CV6,Assumption!$E$527:$E$529)))</f>
        <v>0</v>
      </c>
      <c r="CW136" s="158" t="n">
        <f aca="false">IF(CW6=Assumption!$E$24,CV137+CW134,MIN(CV137+CW134,SUMIF(Assumption!$O$527:$O$529,CW6,Assumption!$E$527:$E$529)))</f>
        <v>0</v>
      </c>
      <c r="CX136" s="158" t="n">
        <f aca="false">IF(CX6=Assumption!$E$24,CW137+CX134,MIN(CW137+CX134,SUMIF(Assumption!$O$527:$O$529,CX6,Assumption!$E$527:$E$529)))</f>
        <v>0</v>
      </c>
      <c r="CY136" s="158" t="n">
        <f aca="false">IF(CY6=Assumption!$E$24,CX137+CY134,MIN(CX137+CY134,SUMIF(Assumption!$O$527:$O$529,CY6,Assumption!$E$527:$E$529)))</f>
        <v>0</v>
      </c>
      <c r="CZ136" s="158" t="n">
        <f aca="false">IF(CZ6=Assumption!$E$24,CY137+CZ134,MIN(CY137+CZ134,SUMIF(Assumption!$O$527:$O$529,CZ6,Assumption!$E$527:$E$529)))</f>
        <v>0</v>
      </c>
      <c r="DA136" s="158" t="n">
        <f aca="false">IF(DA6=Assumption!$E$24,CZ137+DA134,MIN(CZ137+DA134,SUMIF(Assumption!$O$527:$O$529,DA6,Assumption!$E$527:$E$529)))</f>
        <v>0</v>
      </c>
      <c r="DB136" s="158" t="n">
        <f aca="false">IF(DB6=Assumption!$E$24,DA137+DB134,MIN(DA137+DB134,SUMIF(Assumption!$O$527:$O$529,DB6,Assumption!$E$527:$E$529)))</f>
        <v>0</v>
      </c>
      <c r="DC136" s="158" t="n">
        <f aca="false">IF(DC6=Assumption!$E$24,DB137+DC134,MIN(DB137+DC134,SUMIF(Assumption!$O$527:$O$529,DC6,Assumption!$E$527:$E$529)))</f>
        <v>0</v>
      </c>
      <c r="DD136" s="158" t="n">
        <f aca="false">IF(DD6=Assumption!$E$24,DC137+DD134,MIN(DC137+DD134,SUMIF(Assumption!$O$527:$O$529,DD6,Assumption!$E$527:$E$529)))</f>
        <v>0</v>
      </c>
      <c r="DE136" s="158" t="n">
        <f aca="false">IF(DE6=Assumption!$E$24,DD137+DE134,MIN(DD137+DE134,SUMIF(Assumption!$O$527:$O$529,DE6,Assumption!$E$527:$E$529)))</f>
        <v>0</v>
      </c>
      <c r="DF136" s="158" t="n">
        <f aca="false">IF(DF6=Assumption!$E$24,DE137+DF134,MIN(DE137+DF134,SUMIF(Assumption!$O$527:$O$529,DF6,Assumption!$E$527:$E$529)))</f>
        <v>0</v>
      </c>
      <c r="DG136" s="158" t="n">
        <f aca="false">IF(DG6=Assumption!$E$24,DF137+DG134,MIN(DF137+DG134,SUMIF(Assumption!$O$527:$O$529,DG6,Assumption!$E$527:$E$529)))</f>
        <v>0</v>
      </c>
      <c r="DH136" s="158" t="n">
        <f aca="false">IF(DH6=Assumption!$E$24,DG137+DH134,MIN(DG137+DH134,SUMIF(Assumption!$O$527:$O$529,DH6,Assumption!$E$527:$E$529)))</f>
        <v>0</v>
      </c>
      <c r="DI136" s="158" t="n">
        <f aca="false">IF(DI6=Assumption!$E$24,DH137+DI134,MIN(DH137+DI134,SUMIF(Assumption!$O$527:$O$529,DI6,Assumption!$E$527:$E$529)))</f>
        <v>0</v>
      </c>
      <c r="DJ136" s="158" t="n">
        <f aca="false">IF(DJ6=Assumption!$E$24,DI137+DJ134,MIN(DI137+DJ134,SUMIF(Assumption!$O$527:$O$529,DJ6,Assumption!$E$527:$E$529)))</f>
        <v>0</v>
      </c>
      <c r="DK136" s="158" t="n">
        <f aca="false">IF(DK6=Assumption!$E$24,DJ137+DK134,MIN(DJ137+DK134,SUMIF(Assumption!$O$527:$O$529,DK6,Assumption!$E$527:$E$529)))</f>
        <v>0</v>
      </c>
      <c r="DL136" s="158" t="n">
        <f aca="false">IF(DL6=Assumption!$E$24,DK137+DL134,MIN(DK137+DL134,SUMIF(Assumption!$O$527:$O$529,DL6,Assumption!$E$527:$E$529)))</f>
        <v>0</v>
      </c>
      <c r="DM136" s="158" t="n">
        <f aca="false">IF(DM6=Assumption!$E$24,DL137+DM134,MIN(DL137+DM134,SUMIF(Assumption!$O$527:$O$529,DM6,Assumption!$E$527:$E$529)))</f>
        <v>0</v>
      </c>
      <c r="DN136" s="158" t="n">
        <f aca="false">IF(DN6=Assumption!$E$24,DM137+DN134,MIN(DM137+DN134,SUMIF(Assumption!$O$527:$O$529,DN6,Assumption!$E$527:$E$529)))</f>
        <v>0</v>
      </c>
      <c r="DO136" s="158" t="n">
        <f aca="false">IF(DO6=Assumption!$E$24,DN137+DO134,MIN(DN137+DO134,SUMIF(Assumption!$O$527:$O$529,DO6,Assumption!$E$527:$E$529)))</f>
        <v>0</v>
      </c>
      <c r="DP136" s="158" t="n">
        <f aca="false">IF(DP6=Assumption!$E$24,DO137+DP134,MIN(DO137+DP134,SUMIF(Assumption!$O$527:$O$529,DP6,Assumption!$E$527:$E$529)))</f>
        <v>0</v>
      </c>
      <c r="DQ136" s="158" t="n">
        <f aca="false">IF(DQ6=Assumption!$E$24,DP137+DQ134,MIN(DP137+DQ134,SUMIF(Assumption!$O$527:$O$529,DQ6,Assumption!$E$527:$E$529)))</f>
        <v>0</v>
      </c>
      <c r="DR136" s="158" t="n">
        <f aca="false">IF(DR6=Assumption!$E$24,DQ137+DR134,MIN(DQ137+DR134,SUMIF(Assumption!$O$527:$O$529,DR6,Assumption!$E$527:$E$529)))</f>
        <v>0</v>
      </c>
      <c r="DS136" s="158" t="n">
        <f aca="false">IF(DS6=Assumption!$E$24,DR137+DS134,MIN(DR137+DS134,SUMIF(Assumption!$O$527:$O$529,DS6,Assumption!$E$527:$E$529)))</f>
        <v>0</v>
      </c>
      <c r="DT136" s="158" t="n">
        <f aca="false">IF(DT6=Assumption!$E$24,DS137+DT134,MIN(DS137+DT134,SUMIF(Assumption!$O$527:$O$529,DT6,Assumption!$E$527:$E$529)))</f>
        <v>0</v>
      </c>
      <c r="DU136" s="158" t="n">
        <f aca="false">IF(DU6=Assumption!$E$24,DT137+DU134,MIN(DT137+DU134,SUMIF(Assumption!$O$527:$O$529,DU6,Assumption!$E$527:$E$529)))</f>
        <v>0</v>
      </c>
      <c r="DV136" s="158" t="n">
        <f aca="false">IF(DV6=Assumption!$E$24,DU137+DV134,MIN(DU137+DV134,SUMIF(Assumption!$O$527:$O$529,DV6,Assumption!$E$527:$E$529)))</f>
        <v>0</v>
      </c>
      <c r="DW136" s="158" t="n">
        <f aca="false">IF(DW6=Assumption!$E$24,DV137+DW134,MIN(DV137+DW134,SUMIF(Assumption!$O$527:$O$529,DW6,Assumption!$E$527:$E$529)))</f>
        <v>0</v>
      </c>
      <c r="DX136" s="158" t="n">
        <f aca="false">IF(DX6=Assumption!$E$24,DW137+DX134,MIN(DW137+DX134,SUMIF(Assumption!$O$527:$O$529,DX6,Assumption!$E$527:$E$529)))</f>
        <v>0</v>
      </c>
      <c r="DY136" s="158" t="n">
        <f aca="false">IF(DY6=Assumption!$E$24,DX137+DY134,MIN(DX137+DY134,SUMIF(Assumption!$O$527:$O$529,DY6,Assumption!$E$527:$E$529)))</f>
        <v>0</v>
      </c>
      <c r="DZ136" s="158" t="n">
        <f aca="false">IF(DZ6=Assumption!$E$24,DY137+DZ134,MIN(DY137+DZ134,SUMIF(Assumption!$O$527:$O$529,DZ6,Assumption!$E$527:$E$529)))</f>
        <v>0</v>
      </c>
      <c r="EA136" s="158" t="n">
        <f aca="false">IF(EA6=Assumption!$E$24,DZ137+EA134,MIN(DZ137+EA134,SUMIF(Assumption!$O$527:$O$529,EA6,Assumption!$E$527:$E$529)))</f>
        <v>0</v>
      </c>
      <c r="EB136" s="158" t="n">
        <f aca="false">IF(EB6=Assumption!$E$24,EA137+EB134,MIN(EA137+EB134,SUMIF(Assumption!$O$527:$O$529,EB6,Assumption!$E$527:$E$529)))</f>
        <v>0</v>
      </c>
      <c r="EC136" s="158" t="n">
        <f aca="false">IF(EC6=Assumption!$E$24,EB137+EC134,MIN(EB137+EC134,SUMIF(Assumption!$O$527:$O$529,EC6,Assumption!$E$527:$E$529)))</f>
        <v>0</v>
      </c>
      <c r="ED136" s="158" t="n">
        <f aca="false">IF(ED6=Assumption!$E$24,EC137+ED134,MIN(EC137+ED134,SUMIF(Assumption!$O$527:$O$529,ED6,Assumption!$E$527:$E$529)))</f>
        <v>0</v>
      </c>
      <c r="EE136" s="158" t="n">
        <f aca="false">IF(EE6=Assumption!$E$24,ED137+EE134,MIN(ED137+EE134,SUMIF(Assumption!$O$527:$O$529,EE6,Assumption!$E$527:$E$529)))</f>
        <v>0</v>
      </c>
      <c r="EF136" s="158" t="n">
        <f aca="false">IF(EF6=Assumption!$E$24,EE137+EF134,MIN(EE137+EF134,SUMIF(Assumption!$O$527:$O$529,EF6,Assumption!$E$527:$E$529)))</f>
        <v>0</v>
      </c>
    </row>
    <row r="137" customFormat="false" ht="15" hidden="false" customHeight="false" outlineLevel="0" collapsed="false">
      <c r="A137" s="35" t="s">
        <v>590</v>
      </c>
      <c r="B137" s="241" t="s">
        <v>116</v>
      </c>
      <c r="C137" s="242" t="n">
        <f aca="false">MAX(E137:EF137)</f>
        <v>0</v>
      </c>
      <c r="E137" s="158" t="n">
        <f aca="false">0+E134-E136</f>
        <v>0</v>
      </c>
      <c r="F137" s="158" t="n">
        <f aca="false">E137+F134-F136</f>
        <v>0</v>
      </c>
      <c r="G137" s="158" t="n">
        <f aca="false">F137+G134-G136</f>
        <v>0</v>
      </c>
      <c r="H137" s="158" t="n">
        <f aca="false">G137+H134-H136</f>
        <v>0</v>
      </c>
      <c r="I137" s="158" t="n">
        <f aca="false">H137+I134-I136</f>
        <v>0</v>
      </c>
      <c r="J137" s="158" t="n">
        <f aca="false">I137+J134-J136</f>
        <v>0</v>
      </c>
      <c r="K137" s="158" t="n">
        <f aca="false">J137+K134-K136</f>
        <v>0</v>
      </c>
      <c r="L137" s="158" t="n">
        <f aca="false">K137+L134-L136</f>
        <v>0</v>
      </c>
      <c r="M137" s="158" t="n">
        <f aca="false">L137+M134-M136</f>
        <v>0</v>
      </c>
      <c r="N137" s="158" t="n">
        <f aca="false">M137+N134-N136</f>
        <v>0</v>
      </c>
      <c r="O137" s="158" t="n">
        <f aca="false">N137+O134-O136</f>
        <v>0</v>
      </c>
      <c r="P137" s="158" t="n">
        <f aca="false">O137+P134-P136</f>
        <v>0</v>
      </c>
      <c r="Q137" s="158" t="n">
        <f aca="false">P137+Q134-Q136</f>
        <v>0</v>
      </c>
      <c r="R137" s="158" t="n">
        <f aca="false">Q137+R134-R136</f>
        <v>0</v>
      </c>
      <c r="S137" s="158" t="n">
        <f aca="false">R137+S134-S136</f>
        <v>0</v>
      </c>
      <c r="T137" s="158" t="n">
        <f aca="false">S137+T134-T136</f>
        <v>0</v>
      </c>
      <c r="U137" s="158" t="n">
        <f aca="false">T137+U134-U136</f>
        <v>0</v>
      </c>
      <c r="V137" s="158" t="n">
        <f aca="false">U137+V134-V136</f>
        <v>0</v>
      </c>
      <c r="W137" s="158" t="n">
        <f aca="false">V137+W134-W136</f>
        <v>0</v>
      </c>
      <c r="X137" s="158" t="n">
        <f aca="false">W137+X134-X136</f>
        <v>0</v>
      </c>
      <c r="Y137" s="158" t="n">
        <f aca="false">X137+Y134-Y136</f>
        <v>0</v>
      </c>
      <c r="Z137" s="158" t="n">
        <f aca="false">Y137+Z134-Z136</f>
        <v>0</v>
      </c>
      <c r="AA137" s="158" t="n">
        <f aca="false">Z137+AA134-AA136</f>
        <v>0</v>
      </c>
      <c r="AB137" s="158" t="n">
        <f aca="false">AA137+AB134-AB136</f>
        <v>0</v>
      </c>
      <c r="AC137" s="158" t="n">
        <f aca="false">AB137+AC134-AC136</f>
        <v>0</v>
      </c>
      <c r="AD137" s="158" t="n">
        <f aca="false">AC137+AD134-AD136</f>
        <v>0</v>
      </c>
      <c r="AE137" s="158" t="n">
        <f aca="false">AD137+AE134-AE136</f>
        <v>0</v>
      </c>
      <c r="AF137" s="158" t="n">
        <f aca="false">AE137+AF134-AF136</f>
        <v>0</v>
      </c>
      <c r="AG137" s="158" t="n">
        <f aca="false">AF137+AG134-AG136</f>
        <v>0</v>
      </c>
      <c r="AH137" s="158" t="n">
        <f aca="false">AG137+AH134-AH136</f>
        <v>0</v>
      </c>
      <c r="AI137" s="158" t="n">
        <f aca="false">AH137+AI134-AI136</f>
        <v>0</v>
      </c>
      <c r="AJ137" s="158" t="n">
        <f aca="false">AI137+AJ134-AJ136</f>
        <v>0</v>
      </c>
      <c r="AK137" s="158" t="n">
        <f aca="false">AJ137+AK134-AK136</f>
        <v>0</v>
      </c>
      <c r="AL137" s="158" t="n">
        <f aca="false">AK137+AL134-AL136</f>
        <v>0</v>
      </c>
      <c r="AM137" s="158" t="n">
        <f aca="false">AL137+AM134-AM136</f>
        <v>0</v>
      </c>
      <c r="AN137" s="158" t="n">
        <f aca="false">AM137+AN134-AN136</f>
        <v>0</v>
      </c>
      <c r="AO137" s="158" t="n">
        <f aca="false">AN137+AO134-AO136</f>
        <v>0</v>
      </c>
      <c r="AP137" s="158" t="n">
        <f aca="false">AO137+AP134-AP136</f>
        <v>0</v>
      </c>
      <c r="AQ137" s="158" t="n">
        <f aca="false">AP137+AQ134-AQ136</f>
        <v>0</v>
      </c>
      <c r="AR137" s="158" t="n">
        <f aca="false">AQ137+AR134-AR136</f>
        <v>0</v>
      </c>
      <c r="AS137" s="158" t="n">
        <f aca="false">AR137+AS134-AS136</f>
        <v>0</v>
      </c>
      <c r="AT137" s="158" t="n">
        <f aca="false">AS137+AT134-AT136</f>
        <v>0</v>
      </c>
      <c r="AU137" s="158" t="n">
        <f aca="false">AT137+AU134-AU136</f>
        <v>0</v>
      </c>
      <c r="AV137" s="158" t="n">
        <f aca="false">AU137+AV134-AV136</f>
        <v>0</v>
      </c>
      <c r="AW137" s="158" t="n">
        <f aca="false">AV137+AW134-AW136</f>
        <v>0</v>
      </c>
      <c r="AX137" s="158" t="n">
        <f aca="false">AW137+AX134-AX136</f>
        <v>0</v>
      </c>
      <c r="AY137" s="158" t="n">
        <f aca="false">AX137+AY134-AY136</f>
        <v>0</v>
      </c>
      <c r="AZ137" s="158" t="n">
        <f aca="false">AY137+AZ134-AZ136</f>
        <v>0</v>
      </c>
      <c r="BA137" s="158" t="n">
        <f aca="false">AZ137+BA134-BA136</f>
        <v>0</v>
      </c>
      <c r="BB137" s="158" t="n">
        <f aca="false">BA137+BB134-BB136</f>
        <v>0</v>
      </c>
      <c r="BC137" s="158" t="n">
        <f aca="false">BB137+BC134-BC136</f>
        <v>0</v>
      </c>
      <c r="BD137" s="158" t="n">
        <f aca="false">BC137+BD134-BD136</f>
        <v>0</v>
      </c>
      <c r="BE137" s="158" t="n">
        <f aca="false">BD137+BE134-BE136</f>
        <v>0</v>
      </c>
      <c r="BF137" s="158" t="n">
        <f aca="false">BE137+BF134-BF136</f>
        <v>0</v>
      </c>
      <c r="BG137" s="158" t="n">
        <f aca="false">BF137+BG134-BG136</f>
        <v>0</v>
      </c>
      <c r="BH137" s="158" t="n">
        <f aca="false">BG137+BH134-BH136</f>
        <v>0</v>
      </c>
      <c r="BI137" s="158" t="n">
        <f aca="false">BH137+BI134-BI136</f>
        <v>0</v>
      </c>
      <c r="BJ137" s="158" t="n">
        <f aca="false">BI137+BJ134-BJ136</f>
        <v>0</v>
      </c>
      <c r="BK137" s="158" t="n">
        <f aca="false">BJ137+BK134-BK136</f>
        <v>0</v>
      </c>
      <c r="BL137" s="158" t="n">
        <f aca="false">BK137+BL134-BL136</f>
        <v>0</v>
      </c>
      <c r="BM137" s="158" t="n">
        <f aca="false">BL137+BM134-BM136</f>
        <v>0</v>
      </c>
      <c r="BN137" s="158" t="n">
        <f aca="false">BM137+BN134-BN136</f>
        <v>0</v>
      </c>
      <c r="BO137" s="158" t="n">
        <f aca="false">BN137+BO134-BO136</f>
        <v>0</v>
      </c>
      <c r="BP137" s="158" t="n">
        <f aca="false">BO137+BP134-BP136</f>
        <v>0</v>
      </c>
      <c r="BQ137" s="158" t="n">
        <f aca="false">BP137+BQ134-BQ136</f>
        <v>0</v>
      </c>
      <c r="BR137" s="158" t="n">
        <f aca="false">BQ137+BR134-BR136</f>
        <v>0</v>
      </c>
      <c r="BS137" s="158" t="n">
        <f aca="false">BR137+BS134-BS136</f>
        <v>0</v>
      </c>
      <c r="BT137" s="158" t="n">
        <f aca="false">BS137+BT134-BT136</f>
        <v>0</v>
      </c>
      <c r="BU137" s="158" t="n">
        <f aca="false">BT137+BU134-BU136</f>
        <v>0</v>
      </c>
      <c r="BV137" s="158" t="n">
        <f aca="false">BU137+BV134-BV136</f>
        <v>0</v>
      </c>
      <c r="BW137" s="158" t="n">
        <f aca="false">BV137+BW134-BW136</f>
        <v>0</v>
      </c>
      <c r="BX137" s="158" t="n">
        <f aca="false">BW137+BX134-BX136</f>
        <v>0</v>
      </c>
      <c r="BY137" s="158" t="n">
        <f aca="false">BX137+BY134-BY136</f>
        <v>0</v>
      </c>
      <c r="BZ137" s="158" t="n">
        <f aca="false">BY137+BZ134-BZ136</f>
        <v>0</v>
      </c>
      <c r="CA137" s="158" t="n">
        <f aca="false">BZ137+CA134-CA136</f>
        <v>0</v>
      </c>
      <c r="CB137" s="158" t="n">
        <f aca="false">CA137+CB134-CB136</f>
        <v>0</v>
      </c>
      <c r="CC137" s="158" t="n">
        <f aca="false">CB137+CC134-CC136</f>
        <v>0</v>
      </c>
      <c r="CD137" s="158" t="n">
        <f aca="false">CC137+CD134-CD136</f>
        <v>0</v>
      </c>
      <c r="CE137" s="158" t="n">
        <f aca="false">CD137+CE134-CE136</f>
        <v>0</v>
      </c>
      <c r="CF137" s="158" t="n">
        <f aca="false">CE137+CF134-CF136</f>
        <v>0</v>
      </c>
      <c r="CG137" s="158" t="n">
        <f aca="false">CF137+CG134-CG136</f>
        <v>0</v>
      </c>
      <c r="CH137" s="158" t="n">
        <f aca="false">CG137+CH134-CH136</f>
        <v>0</v>
      </c>
      <c r="CI137" s="158" t="n">
        <f aca="false">CH137+CI134-CI136</f>
        <v>0</v>
      </c>
      <c r="CJ137" s="158" t="n">
        <f aca="false">CI137+CJ134-CJ136</f>
        <v>0</v>
      </c>
      <c r="CK137" s="158" t="n">
        <f aca="false">CJ137+CK134-CK136</f>
        <v>0</v>
      </c>
      <c r="CL137" s="158" t="n">
        <f aca="false">CK137+CL134-CL136</f>
        <v>0</v>
      </c>
      <c r="CM137" s="158" t="n">
        <f aca="false">CL137+CM134-CM136</f>
        <v>0</v>
      </c>
      <c r="CN137" s="158" t="n">
        <f aca="false">CM137+CN134-CN136</f>
        <v>0</v>
      </c>
      <c r="CO137" s="158" t="n">
        <f aca="false">CN137+CO134-CO136</f>
        <v>0</v>
      </c>
      <c r="CP137" s="158" t="n">
        <f aca="false">CO137+CP134-CP136</f>
        <v>0</v>
      </c>
      <c r="CQ137" s="158" t="n">
        <f aca="false">CP137+CQ134-CQ136</f>
        <v>0</v>
      </c>
      <c r="CR137" s="158" t="n">
        <f aca="false">CQ137+CR134-CR136</f>
        <v>0</v>
      </c>
      <c r="CS137" s="158" t="n">
        <f aca="false">CR137+CS134-CS136</f>
        <v>0</v>
      </c>
      <c r="CT137" s="158" t="n">
        <f aca="false">CS137+CT134-CT136</f>
        <v>0</v>
      </c>
      <c r="CU137" s="158" t="n">
        <f aca="false">CT137+CU134-CU136</f>
        <v>0</v>
      </c>
      <c r="CV137" s="158" t="n">
        <f aca="false">CU137+CV134-CV136</f>
        <v>0</v>
      </c>
      <c r="CW137" s="158" t="n">
        <f aca="false">CV137+CW134-CW136</f>
        <v>0</v>
      </c>
      <c r="CX137" s="158" t="n">
        <f aca="false">CW137+CX134-CX136</f>
        <v>0</v>
      </c>
      <c r="CY137" s="158" t="n">
        <f aca="false">CX137+CY134-CY136</f>
        <v>0</v>
      </c>
      <c r="CZ137" s="158" t="n">
        <f aca="false">CY137+CZ134-CZ136</f>
        <v>0</v>
      </c>
      <c r="DA137" s="158" t="n">
        <f aca="false">CZ137+DA134-DA136</f>
        <v>0</v>
      </c>
      <c r="DB137" s="158" t="n">
        <f aca="false">DA137+DB134-DB136</f>
        <v>0</v>
      </c>
      <c r="DC137" s="158" t="n">
        <f aca="false">DB137+DC134-DC136</f>
        <v>0</v>
      </c>
      <c r="DD137" s="158" t="n">
        <f aca="false">DC137+DD134-DD136</f>
        <v>0</v>
      </c>
      <c r="DE137" s="158" t="n">
        <f aca="false">DD137+DE134-DE136</f>
        <v>0</v>
      </c>
      <c r="DF137" s="158" t="n">
        <f aca="false">DE137+DF134-DF136</f>
        <v>0</v>
      </c>
      <c r="DG137" s="158" t="n">
        <f aca="false">DF137+DG134-DG136</f>
        <v>0</v>
      </c>
      <c r="DH137" s="158" t="n">
        <f aca="false">DG137+DH134-DH136</f>
        <v>0</v>
      </c>
      <c r="DI137" s="158" t="n">
        <f aca="false">DH137+DI134-DI136</f>
        <v>0</v>
      </c>
      <c r="DJ137" s="158" t="n">
        <f aca="false">DI137+DJ134-DJ136</f>
        <v>0</v>
      </c>
      <c r="DK137" s="158" t="n">
        <f aca="false">DJ137+DK134-DK136</f>
        <v>0</v>
      </c>
      <c r="DL137" s="158" t="n">
        <f aca="false">DK137+DL134-DL136</f>
        <v>0</v>
      </c>
      <c r="DM137" s="158" t="n">
        <f aca="false">DL137+DM134-DM136</f>
        <v>0</v>
      </c>
      <c r="DN137" s="158" t="n">
        <f aca="false">DM137+DN134-DN136</f>
        <v>0</v>
      </c>
      <c r="DO137" s="158" t="n">
        <f aca="false">DN137+DO134-DO136</f>
        <v>0</v>
      </c>
      <c r="DP137" s="158" t="n">
        <f aca="false">DO137+DP134-DP136</f>
        <v>0</v>
      </c>
      <c r="DQ137" s="158" t="n">
        <f aca="false">DP137+DQ134-DQ136</f>
        <v>0</v>
      </c>
      <c r="DR137" s="158" t="n">
        <f aca="false">DQ137+DR134-DR136</f>
        <v>0</v>
      </c>
      <c r="DS137" s="158" t="n">
        <f aca="false">DR137+DS134-DS136</f>
        <v>0</v>
      </c>
      <c r="DT137" s="158" t="n">
        <f aca="false">DS137+DT134-DT136</f>
        <v>0</v>
      </c>
      <c r="DU137" s="158" t="n">
        <f aca="false">DT137+DU134-DU136</f>
        <v>0</v>
      </c>
      <c r="DV137" s="158" t="n">
        <f aca="false">DU137+DV134-DV136</f>
        <v>0</v>
      </c>
      <c r="DW137" s="158" t="n">
        <f aca="false">DV137+DW134-DW136</f>
        <v>0</v>
      </c>
      <c r="DX137" s="158" t="n">
        <f aca="false">DW137+DX134-DX136</f>
        <v>0</v>
      </c>
      <c r="DY137" s="158" t="n">
        <f aca="false">DX137+DY134-DY136</f>
        <v>0</v>
      </c>
      <c r="DZ137" s="158" t="n">
        <f aca="false">DY137+DZ134-DZ136</f>
        <v>0</v>
      </c>
      <c r="EA137" s="158" t="n">
        <f aca="false">DZ137+EA134-EA136</f>
        <v>0</v>
      </c>
      <c r="EB137" s="158" t="n">
        <f aca="false">EA137+EB134-EB136</f>
        <v>0</v>
      </c>
      <c r="EC137" s="158" t="n">
        <f aca="false">EB137+EC134-EC136</f>
        <v>0</v>
      </c>
      <c r="ED137" s="158" t="n">
        <f aca="false">EC137+ED134-ED136</f>
        <v>0</v>
      </c>
      <c r="EE137" s="158" t="n">
        <f aca="false">ED137+EE134-EE136</f>
        <v>0</v>
      </c>
      <c r="EF137" s="158" t="n">
        <f aca="false">EE137+EF134-EF136</f>
        <v>0</v>
      </c>
    </row>
    <row r="139" customFormat="false" ht="15" hidden="false" customHeight="false" outlineLevel="0" collapsed="false">
      <c r="A139" s="248" t="s">
        <v>591</v>
      </c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  <c r="DB139" s="86"/>
      <c r="DC139" s="86"/>
      <c r="DD139" s="86"/>
      <c r="DE139" s="86"/>
      <c r="DF139" s="86"/>
      <c r="DG139" s="86"/>
      <c r="DH139" s="86"/>
      <c r="DI139" s="86"/>
      <c r="DJ139" s="86"/>
      <c r="DK139" s="86"/>
      <c r="DL139" s="86"/>
      <c r="DM139" s="86"/>
      <c r="DN139" s="86"/>
      <c r="DO139" s="86"/>
      <c r="DP139" s="86"/>
      <c r="DQ139" s="86"/>
      <c r="DR139" s="86"/>
      <c r="DS139" s="86"/>
      <c r="DT139" s="86"/>
      <c r="DU139" s="86"/>
      <c r="DV139" s="86"/>
      <c r="DW139" s="86"/>
      <c r="DX139" s="86"/>
      <c r="DY139" s="86"/>
      <c r="DZ139" s="86"/>
      <c r="EA139" s="86"/>
      <c r="EB139" s="86"/>
      <c r="EC139" s="86"/>
      <c r="ED139" s="86"/>
      <c r="EE139" s="86"/>
      <c r="EF139" s="86"/>
    </row>
    <row r="140" customFormat="false" ht="15" hidden="false" customHeight="false" outlineLevel="0" collapsed="false">
      <c r="A140" s="35" t="s">
        <v>592</v>
      </c>
      <c r="B140" s="241" t="s">
        <v>116</v>
      </c>
      <c r="C140" s="242" t="n">
        <f aca="false">SUM(E140:EF140)</f>
        <v>86213.5157896727</v>
      </c>
      <c r="E140" s="158" t="n">
        <f aca="false">SUMIF(Assumption!$I$446:$I$450,E6,Assumption!$E$446:$E$450)</f>
        <v>15820.1801474049</v>
      </c>
      <c r="F140" s="158" t="n">
        <f aca="false">SUMIF(Assumption!$I$446:$I$450,F6,Assumption!$E$446:$E$450)</f>
        <v>0</v>
      </c>
      <c r="G140" s="158" t="n">
        <f aca="false">SUMIF(Assumption!$I$446:$I$450,G6,Assumption!$E$446:$E$450)</f>
        <v>0</v>
      </c>
      <c r="H140" s="158" t="n">
        <f aca="false">SUMIF(Assumption!$I$446:$I$450,H6,Assumption!$E$446:$E$450)</f>
        <v>0</v>
      </c>
      <c r="I140" s="158" t="n">
        <f aca="false">SUMIF(Assumption!$I$446:$I$450,I6,Assumption!$E$446:$E$450)</f>
        <v>0</v>
      </c>
      <c r="J140" s="158" t="n">
        <f aca="false">SUMIF(Assumption!$I$446:$I$450,J6,Assumption!$E$446:$E$450)</f>
        <v>0</v>
      </c>
      <c r="K140" s="158" t="n">
        <f aca="false">SUMIF(Assumption!$I$446:$I$450,K6,Assumption!$E$446:$E$450)</f>
        <v>0</v>
      </c>
      <c r="L140" s="158" t="n">
        <f aca="false">SUMIF(Assumption!$I$446:$I$450,L6,Assumption!$E$446:$E$450)</f>
        <v>0</v>
      </c>
      <c r="M140" s="158" t="n">
        <f aca="false">SUMIF(Assumption!$I$446:$I$450,M6,Assumption!$E$446:$E$450)</f>
        <v>0</v>
      </c>
      <c r="N140" s="158" t="n">
        <f aca="false">SUMIF(Assumption!$I$446:$I$450,N6,Assumption!$E$446:$E$450)</f>
        <v>0</v>
      </c>
      <c r="O140" s="158" t="n">
        <f aca="false">SUMIF(Assumption!$I$446:$I$450,O6,Assumption!$E$446:$E$450)</f>
        <v>0</v>
      </c>
      <c r="P140" s="158" t="n">
        <f aca="false">SUMIF(Assumption!$I$446:$I$450,P6,Assumption!$E$446:$E$450)</f>
        <v>0</v>
      </c>
      <c r="Q140" s="158" t="n">
        <f aca="false">SUMIF(Assumption!$I$446:$I$450,Q6,Assumption!$E$446:$E$450)</f>
        <v>0</v>
      </c>
      <c r="R140" s="158" t="n">
        <f aca="false">SUMIF(Assumption!$I$446:$I$450,R6,Assumption!$E$446:$E$450)</f>
        <v>0</v>
      </c>
      <c r="S140" s="158" t="n">
        <f aca="false">SUMIF(Assumption!$I$446:$I$450,S6,Assumption!$E$446:$E$450)</f>
        <v>0</v>
      </c>
      <c r="T140" s="158" t="n">
        <f aca="false">SUMIF(Assumption!$I$446:$I$450,T6,Assumption!$E$446:$E$450)</f>
        <v>0</v>
      </c>
      <c r="U140" s="158" t="n">
        <f aca="false">SUMIF(Assumption!$I$446:$I$450,U6,Assumption!$E$446:$E$450)</f>
        <v>0</v>
      </c>
      <c r="V140" s="158" t="n">
        <f aca="false">SUMIF(Assumption!$I$446:$I$450,V6,Assumption!$E$446:$E$450)</f>
        <v>0</v>
      </c>
      <c r="W140" s="158" t="n">
        <f aca="false">SUMIF(Assumption!$I$446:$I$450,W6,Assumption!$E$446:$E$450)</f>
        <v>70393.3356422678</v>
      </c>
      <c r="X140" s="158" t="n">
        <f aca="false">SUMIF(Assumption!$I$446:$I$450,X6,Assumption!$E$446:$E$450)</f>
        <v>0</v>
      </c>
      <c r="Y140" s="158" t="n">
        <f aca="false">SUMIF(Assumption!$I$446:$I$450,Y6,Assumption!$E$446:$E$450)</f>
        <v>0</v>
      </c>
      <c r="Z140" s="158" t="n">
        <f aca="false">SUMIF(Assumption!$I$446:$I$450,Z6,Assumption!$E$446:$E$450)</f>
        <v>0</v>
      </c>
      <c r="AA140" s="158" t="n">
        <f aca="false">SUMIF(Assumption!$I$446:$I$450,AA6,Assumption!$E$446:$E$450)</f>
        <v>0</v>
      </c>
      <c r="AB140" s="158" t="n">
        <f aca="false">SUMIF(Assumption!$I$446:$I$450,AB6,Assumption!$E$446:$E$450)</f>
        <v>0</v>
      </c>
      <c r="AC140" s="158" t="n">
        <f aca="false">SUMIF(Assumption!$I$446:$I$450,AC6,Assumption!$E$446:$E$450)</f>
        <v>0</v>
      </c>
      <c r="AD140" s="158" t="n">
        <f aca="false">SUMIF(Assumption!$I$446:$I$450,AD6,Assumption!$E$446:$E$450)</f>
        <v>0</v>
      </c>
      <c r="AE140" s="158" t="n">
        <f aca="false">SUMIF(Assumption!$I$446:$I$450,AE6,Assumption!$E$446:$E$450)</f>
        <v>0</v>
      </c>
      <c r="AF140" s="158" t="n">
        <f aca="false">SUMIF(Assumption!$I$446:$I$450,AF6,Assumption!$E$446:$E$450)</f>
        <v>0</v>
      </c>
      <c r="AG140" s="158" t="n">
        <f aca="false">SUMIF(Assumption!$I$446:$I$450,AG6,Assumption!$E$446:$E$450)</f>
        <v>0</v>
      </c>
      <c r="AH140" s="158" t="n">
        <f aca="false">SUMIF(Assumption!$I$446:$I$450,AH6,Assumption!$E$446:$E$450)</f>
        <v>0</v>
      </c>
      <c r="AI140" s="158" t="n">
        <f aca="false">SUMIF(Assumption!$I$446:$I$450,AI6,Assumption!$E$446:$E$450)</f>
        <v>0</v>
      </c>
      <c r="AJ140" s="158" t="n">
        <f aca="false">SUMIF(Assumption!$I$446:$I$450,AJ6,Assumption!$E$446:$E$450)</f>
        <v>0</v>
      </c>
      <c r="AK140" s="158" t="n">
        <f aca="false">SUMIF(Assumption!$I$446:$I$450,AK6,Assumption!$E$446:$E$450)</f>
        <v>0</v>
      </c>
      <c r="AL140" s="158" t="n">
        <f aca="false">SUMIF(Assumption!$I$446:$I$450,AL6,Assumption!$E$446:$E$450)</f>
        <v>0</v>
      </c>
      <c r="AM140" s="158" t="n">
        <f aca="false">SUMIF(Assumption!$I$446:$I$450,AM6,Assumption!$E$446:$E$450)</f>
        <v>0</v>
      </c>
      <c r="AN140" s="158" t="n">
        <f aca="false">SUMIF(Assumption!$I$446:$I$450,AN6,Assumption!$E$446:$E$450)</f>
        <v>0</v>
      </c>
      <c r="AO140" s="158" t="n">
        <f aca="false">SUMIF(Assumption!$I$446:$I$450,AO6,Assumption!$E$446:$E$450)</f>
        <v>0</v>
      </c>
      <c r="AP140" s="158" t="n">
        <f aca="false">SUMIF(Assumption!$I$446:$I$450,AP6,Assumption!$E$446:$E$450)</f>
        <v>0</v>
      </c>
      <c r="AQ140" s="158" t="n">
        <f aca="false">SUMIF(Assumption!$I$446:$I$450,AQ6,Assumption!$E$446:$E$450)</f>
        <v>0</v>
      </c>
      <c r="AR140" s="158" t="n">
        <f aca="false">SUMIF(Assumption!$I$446:$I$450,AR6,Assumption!$E$446:$E$450)</f>
        <v>0</v>
      </c>
      <c r="AS140" s="158" t="n">
        <f aca="false">SUMIF(Assumption!$I$446:$I$450,AS6,Assumption!$E$446:$E$450)</f>
        <v>0</v>
      </c>
      <c r="AT140" s="158" t="n">
        <f aca="false">SUMIF(Assumption!$I$446:$I$450,AT6,Assumption!$E$446:$E$450)</f>
        <v>0</v>
      </c>
      <c r="AU140" s="158" t="n">
        <f aca="false">SUMIF(Assumption!$I$446:$I$450,AU6,Assumption!$E$446:$E$450)</f>
        <v>0</v>
      </c>
      <c r="AV140" s="158" t="n">
        <f aca="false">SUMIF(Assumption!$I$446:$I$450,AV6,Assumption!$E$446:$E$450)</f>
        <v>0</v>
      </c>
      <c r="AW140" s="158" t="n">
        <f aca="false">SUMIF(Assumption!$I$446:$I$450,AW6,Assumption!$E$446:$E$450)</f>
        <v>0</v>
      </c>
      <c r="AX140" s="158" t="n">
        <f aca="false">SUMIF(Assumption!$I$446:$I$450,AX6,Assumption!$E$446:$E$450)</f>
        <v>0</v>
      </c>
      <c r="AY140" s="158" t="n">
        <f aca="false">SUMIF(Assumption!$I$446:$I$450,AY6,Assumption!$E$446:$E$450)</f>
        <v>0</v>
      </c>
      <c r="AZ140" s="158" t="n">
        <f aca="false">SUMIF(Assumption!$I$446:$I$450,AZ6,Assumption!$E$446:$E$450)</f>
        <v>0</v>
      </c>
      <c r="BA140" s="158" t="n">
        <f aca="false">SUMIF(Assumption!$I$446:$I$450,BA6,Assumption!$E$446:$E$450)</f>
        <v>0</v>
      </c>
      <c r="BB140" s="158" t="n">
        <f aca="false">SUMIF(Assumption!$I$446:$I$450,BB6,Assumption!$E$446:$E$450)</f>
        <v>0</v>
      </c>
      <c r="BC140" s="158" t="n">
        <f aca="false">SUMIF(Assumption!$I$446:$I$450,BC6,Assumption!$E$446:$E$450)</f>
        <v>0</v>
      </c>
      <c r="BD140" s="158" t="n">
        <f aca="false">SUMIF(Assumption!$I$446:$I$450,BD6,Assumption!$E$446:$E$450)</f>
        <v>0</v>
      </c>
      <c r="BE140" s="158" t="n">
        <f aca="false">SUMIF(Assumption!$I$446:$I$450,BE6,Assumption!$E$446:$E$450)</f>
        <v>0</v>
      </c>
      <c r="BF140" s="158" t="n">
        <f aca="false">SUMIF(Assumption!$I$446:$I$450,BF6,Assumption!$E$446:$E$450)</f>
        <v>0</v>
      </c>
      <c r="BG140" s="158" t="n">
        <f aca="false">SUMIF(Assumption!$I$446:$I$450,BG6,Assumption!$E$446:$E$450)</f>
        <v>0</v>
      </c>
      <c r="BH140" s="158" t="n">
        <f aca="false">SUMIF(Assumption!$I$446:$I$450,BH6,Assumption!$E$446:$E$450)</f>
        <v>0</v>
      </c>
      <c r="BI140" s="158" t="n">
        <f aca="false">SUMIF(Assumption!$I$446:$I$450,BI6,Assumption!$E$446:$E$450)</f>
        <v>0</v>
      </c>
      <c r="BJ140" s="158" t="n">
        <f aca="false">SUMIF(Assumption!$I$446:$I$450,BJ6,Assumption!$E$446:$E$450)</f>
        <v>0</v>
      </c>
      <c r="BK140" s="158" t="n">
        <f aca="false">SUMIF(Assumption!$I$446:$I$450,BK6,Assumption!$E$446:$E$450)</f>
        <v>0</v>
      </c>
      <c r="BL140" s="158" t="n">
        <f aca="false">SUMIF(Assumption!$I$446:$I$450,BL6,Assumption!$E$446:$E$450)</f>
        <v>0</v>
      </c>
      <c r="BM140" s="158" t="n">
        <f aca="false">SUMIF(Assumption!$I$446:$I$450,BM6,Assumption!$E$446:$E$450)</f>
        <v>0</v>
      </c>
      <c r="BN140" s="158" t="n">
        <f aca="false">SUMIF(Assumption!$I$446:$I$450,BN6,Assumption!$E$446:$E$450)</f>
        <v>0</v>
      </c>
      <c r="BO140" s="158" t="n">
        <f aca="false">SUMIF(Assumption!$I$446:$I$450,BO6,Assumption!$E$446:$E$450)</f>
        <v>0</v>
      </c>
      <c r="BP140" s="158" t="n">
        <f aca="false">SUMIF(Assumption!$I$446:$I$450,BP6,Assumption!$E$446:$E$450)</f>
        <v>0</v>
      </c>
      <c r="BQ140" s="158" t="n">
        <f aca="false">SUMIF(Assumption!$I$446:$I$450,BQ6,Assumption!$E$446:$E$450)</f>
        <v>0</v>
      </c>
      <c r="BR140" s="158" t="n">
        <f aca="false">SUMIF(Assumption!$I$446:$I$450,BR6,Assumption!$E$446:$E$450)</f>
        <v>0</v>
      </c>
      <c r="BS140" s="158" t="n">
        <f aca="false">SUMIF(Assumption!$I$446:$I$450,BS6,Assumption!$E$446:$E$450)</f>
        <v>0</v>
      </c>
      <c r="BT140" s="158" t="n">
        <f aca="false">SUMIF(Assumption!$I$446:$I$450,BT6,Assumption!$E$446:$E$450)</f>
        <v>0</v>
      </c>
      <c r="BU140" s="158" t="n">
        <f aca="false">SUMIF(Assumption!$I$446:$I$450,BU6,Assumption!$E$446:$E$450)</f>
        <v>0</v>
      </c>
      <c r="BV140" s="158" t="n">
        <f aca="false">SUMIF(Assumption!$I$446:$I$450,BV6,Assumption!$E$446:$E$450)</f>
        <v>0</v>
      </c>
      <c r="BW140" s="158" t="n">
        <f aca="false">SUMIF(Assumption!$I$446:$I$450,BW6,Assumption!$E$446:$E$450)</f>
        <v>0</v>
      </c>
      <c r="BX140" s="158" t="n">
        <f aca="false">SUMIF(Assumption!$I$446:$I$450,BX6,Assumption!$E$446:$E$450)</f>
        <v>0</v>
      </c>
      <c r="BY140" s="158" t="n">
        <f aca="false">SUMIF(Assumption!$I$446:$I$450,BY6,Assumption!$E$446:$E$450)</f>
        <v>0</v>
      </c>
      <c r="BZ140" s="158" t="n">
        <f aca="false">SUMIF(Assumption!$I$446:$I$450,BZ6,Assumption!$E$446:$E$450)</f>
        <v>0</v>
      </c>
      <c r="CA140" s="158" t="n">
        <f aca="false">SUMIF(Assumption!$I$446:$I$450,CA6,Assumption!$E$446:$E$450)</f>
        <v>0</v>
      </c>
      <c r="CB140" s="158" t="n">
        <f aca="false">SUMIF(Assumption!$I$446:$I$450,CB6,Assumption!$E$446:$E$450)</f>
        <v>0</v>
      </c>
      <c r="CC140" s="158" t="n">
        <f aca="false">SUMIF(Assumption!$I$446:$I$450,CC6,Assumption!$E$446:$E$450)</f>
        <v>0</v>
      </c>
      <c r="CD140" s="158" t="n">
        <f aca="false">SUMIF(Assumption!$I$446:$I$450,CD6,Assumption!$E$446:$E$450)</f>
        <v>0</v>
      </c>
      <c r="CE140" s="158" t="n">
        <f aca="false">SUMIF(Assumption!$I$446:$I$450,CE6,Assumption!$E$446:$E$450)</f>
        <v>0</v>
      </c>
      <c r="CF140" s="158" t="n">
        <f aca="false">SUMIF(Assumption!$I$446:$I$450,CF6,Assumption!$E$446:$E$450)</f>
        <v>0</v>
      </c>
      <c r="CG140" s="158" t="n">
        <f aca="false">SUMIF(Assumption!$I$446:$I$450,CG6,Assumption!$E$446:$E$450)</f>
        <v>0</v>
      </c>
      <c r="CH140" s="158" t="n">
        <f aca="false">SUMIF(Assumption!$I$446:$I$450,CH6,Assumption!$E$446:$E$450)</f>
        <v>0</v>
      </c>
      <c r="CI140" s="158" t="n">
        <f aca="false">SUMIF(Assumption!$I$446:$I$450,CI6,Assumption!$E$446:$E$450)</f>
        <v>0</v>
      </c>
      <c r="CJ140" s="158" t="n">
        <f aca="false">SUMIF(Assumption!$I$446:$I$450,CJ6,Assumption!$E$446:$E$450)</f>
        <v>0</v>
      </c>
      <c r="CK140" s="158" t="n">
        <f aca="false">SUMIF(Assumption!$I$446:$I$450,CK6,Assumption!$E$446:$E$450)</f>
        <v>0</v>
      </c>
      <c r="CL140" s="158" t="n">
        <f aca="false">SUMIF(Assumption!$I$446:$I$450,CL6,Assumption!$E$446:$E$450)</f>
        <v>0</v>
      </c>
      <c r="CM140" s="158" t="n">
        <f aca="false">SUMIF(Assumption!$I$446:$I$450,CM6,Assumption!$E$446:$E$450)</f>
        <v>0</v>
      </c>
      <c r="CN140" s="158" t="n">
        <f aca="false">SUMIF(Assumption!$I$446:$I$450,CN6,Assumption!$E$446:$E$450)</f>
        <v>0</v>
      </c>
      <c r="CO140" s="158" t="n">
        <f aca="false">SUMIF(Assumption!$I$446:$I$450,CO6,Assumption!$E$446:$E$450)</f>
        <v>0</v>
      </c>
      <c r="CP140" s="158" t="n">
        <f aca="false">SUMIF(Assumption!$I$446:$I$450,CP6,Assumption!$E$446:$E$450)</f>
        <v>0</v>
      </c>
      <c r="CQ140" s="158" t="n">
        <f aca="false">SUMIF(Assumption!$I$446:$I$450,CQ6,Assumption!$E$446:$E$450)</f>
        <v>0</v>
      </c>
      <c r="CR140" s="158" t="n">
        <f aca="false">SUMIF(Assumption!$I$446:$I$450,CR6,Assumption!$E$446:$E$450)</f>
        <v>0</v>
      </c>
      <c r="CS140" s="158" t="n">
        <f aca="false">SUMIF(Assumption!$I$446:$I$450,CS6,Assumption!$E$446:$E$450)</f>
        <v>0</v>
      </c>
      <c r="CT140" s="158" t="n">
        <f aca="false">SUMIF(Assumption!$I$446:$I$450,CT6,Assumption!$E$446:$E$450)</f>
        <v>0</v>
      </c>
      <c r="CU140" s="158" t="n">
        <f aca="false">SUMIF(Assumption!$I$446:$I$450,CU6,Assumption!$E$446:$E$450)</f>
        <v>0</v>
      </c>
      <c r="CV140" s="158" t="n">
        <f aca="false">SUMIF(Assumption!$I$446:$I$450,CV6,Assumption!$E$446:$E$450)</f>
        <v>0</v>
      </c>
      <c r="CW140" s="158" t="n">
        <f aca="false">SUMIF(Assumption!$I$446:$I$450,CW6,Assumption!$E$446:$E$450)</f>
        <v>0</v>
      </c>
      <c r="CX140" s="158" t="n">
        <f aca="false">SUMIF(Assumption!$I$446:$I$450,CX6,Assumption!$E$446:$E$450)</f>
        <v>0</v>
      </c>
      <c r="CY140" s="158" t="n">
        <f aca="false">SUMIF(Assumption!$I$446:$I$450,CY6,Assumption!$E$446:$E$450)</f>
        <v>0</v>
      </c>
      <c r="CZ140" s="158" t="n">
        <f aca="false">SUMIF(Assumption!$I$446:$I$450,CZ6,Assumption!$E$446:$E$450)</f>
        <v>0</v>
      </c>
      <c r="DA140" s="158" t="n">
        <f aca="false">SUMIF(Assumption!$I$446:$I$450,DA6,Assumption!$E$446:$E$450)</f>
        <v>0</v>
      </c>
      <c r="DB140" s="158" t="n">
        <f aca="false">SUMIF(Assumption!$I$446:$I$450,DB6,Assumption!$E$446:$E$450)</f>
        <v>0</v>
      </c>
      <c r="DC140" s="158" t="n">
        <f aca="false">SUMIF(Assumption!$I$446:$I$450,DC6,Assumption!$E$446:$E$450)</f>
        <v>0</v>
      </c>
      <c r="DD140" s="158" t="n">
        <f aca="false">SUMIF(Assumption!$I$446:$I$450,DD6,Assumption!$E$446:$E$450)</f>
        <v>0</v>
      </c>
      <c r="DE140" s="158" t="n">
        <f aca="false">SUMIF(Assumption!$I$446:$I$450,DE6,Assumption!$E$446:$E$450)</f>
        <v>0</v>
      </c>
      <c r="DF140" s="158" t="n">
        <f aca="false">SUMIF(Assumption!$I$446:$I$450,DF6,Assumption!$E$446:$E$450)</f>
        <v>0</v>
      </c>
      <c r="DG140" s="158" t="n">
        <f aca="false">SUMIF(Assumption!$I$446:$I$450,DG6,Assumption!$E$446:$E$450)</f>
        <v>0</v>
      </c>
      <c r="DH140" s="158" t="n">
        <f aca="false">SUMIF(Assumption!$I$446:$I$450,DH6,Assumption!$E$446:$E$450)</f>
        <v>0</v>
      </c>
      <c r="DI140" s="158" t="n">
        <f aca="false">SUMIF(Assumption!$I$446:$I$450,DI6,Assumption!$E$446:$E$450)</f>
        <v>0</v>
      </c>
      <c r="DJ140" s="158" t="n">
        <f aca="false">SUMIF(Assumption!$I$446:$I$450,DJ6,Assumption!$E$446:$E$450)</f>
        <v>0</v>
      </c>
      <c r="DK140" s="158" t="n">
        <f aca="false">SUMIF(Assumption!$I$446:$I$450,DK6,Assumption!$E$446:$E$450)</f>
        <v>0</v>
      </c>
      <c r="DL140" s="158" t="n">
        <f aca="false">SUMIF(Assumption!$I$446:$I$450,DL6,Assumption!$E$446:$E$450)</f>
        <v>0</v>
      </c>
      <c r="DM140" s="158" t="n">
        <f aca="false">SUMIF(Assumption!$I$446:$I$450,DM6,Assumption!$E$446:$E$450)</f>
        <v>0</v>
      </c>
      <c r="DN140" s="158" t="n">
        <f aca="false">SUMIF(Assumption!$I$446:$I$450,DN6,Assumption!$E$446:$E$450)</f>
        <v>0</v>
      </c>
      <c r="DO140" s="158" t="n">
        <f aca="false">SUMIF(Assumption!$I$446:$I$450,DO6,Assumption!$E$446:$E$450)</f>
        <v>0</v>
      </c>
      <c r="DP140" s="158" t="n">
        <f aca="false">SUMIF(Assumption!$I$446:$I$450,DP6,Assumption!$E$446:$E$450)</f>
        <v>0</v>
      </c>
      <c r="DQ140" s="158" t="n">
        <f aca="false">SUMIF(Assumption!$I$446:$I$450,DQ6,Assumption!$E$446:$E$450)</f>
        <v>0</v>
      </c>
      <c r="DR140" s="158" t="n">
        <f aca="false">SUMIF(Assumption!$I$446:$I$450,DR6,Assumption!$E$446:$E$450)</f>
        <v>0</v>
      </c>
      <c r="DS140" s="158" t="n">
        <f aca="false">SUMIF(Assumption!$I$446:$I$450,DS6,Assumption!$E$446:$E$450)</f>
        <v>0</v>
      </c>
      <c r="DT140" s="158" t="n">
        <f aca="false">SUMIF(Assumption!$I$446:$I$450,DT6,Assumption!$E$446:$E$450)</f>
        <v>0</v>
      </c>
      <c r="DU140" s="158" t="n">
        <f aca="false">SUMIF(Assumption!$I$446:$I$450,DU6,Assumption!$E$446:$E$450)</f>
        <v>0</v>
      </c>
      <c r="DV140" s="158" t="n">
        <f aca="false">SUMIF(Assumption!$I$446:$I$450,DV6,Assumption!$E$446:$E$450)</f>
        <v>0</v>
      </c>
      <c r="DW140" s="158" t="n">
        <f aca="false">SUMIF(Assumption!$I$446:$I$450,DW6,Assumption!$E$446:$E$450)</f>
        <v>0</v>
      </c>
      <c r="DX140" s="158" t="n">
        <f aca="false">SUMIF(Assumption!$I$446:$I$450,DX6,Assumption!$E$446:$E$450)</f>
        <v>0</v>
      </c>
      <c r="DY140" s="158" t="n">
        <f aca="false">SUMIF(Assumption!$I$446:$I$450,DY6,Assumption!$E$446:$E$450)</f>
        <v>0</v>
      </c>
      <c r="DZ140" s="158" t="n">
        <f aca="false">SUMIF(Assumption!$I$446:$I$450,DZ6,Assumption!$E$446:$E$450)</f>
        <v>0</v>
      </c>
      <c r="EA140" s="158" t="n">
        <f aca="false">SUMIF(Assumption!$I$446:$I$450,EA6,Assumption!$E$446:$E$450)</f>
        <v>0</v>
      </c>
      <c r="EB140" s="158" t="n">
        <f aca="false">SUMIF(Assumption!$I$446:$I$450,EB6,Assumption!$E$446:$E$450)</f>
        <v>0</v>
      </c>
      <c r="EC140" s="158" t="n">
        <f aca="false">SUMIF(Assumption!$I$446:$I$450,EC6,Assumption!$E$446:$E$450)</f>
        <v>0</v>
      </c>
      <c r="ED140" s="158" t="n">
        <f aca="false">SUMIF(Assumption!$I$446:$I$450,ED6,Assumption!$E$446:$E$450)</f>
        <v>0</v>
      </c>
      <c r="EE140" s="158" t="n">
        <f aca="false">SUMIF(Assumption!$I$446:$I$450,EE6,Assumption!$E$446:$E$450)</f>
        <v>0</v>
      </c>
      <c r="EF140" s="158" t="n">
        <f aca="false">SUMIF(Assumption!$I$446:$I$450,EF6,Assumption!$E$446:$E$450)</f>
        <v>0</v>
      </c>
    </row>
    <row r="141" customFormat="false" ht="15" hidden="false" customHeight="false" outlineLevel="0" collapsed="false">
      <c r="A141" s="35" t="s">
        <v>593</v>
      </c>
      <c r="B141" s="241" t="s">
        <v>116</v>
      </c>
      <c r="C141" s="242" t="n">
        <f aca="false">SUM(E141:EF141)</f>
        <v>201164.870175903</v>
      </c>
      <c r="E141" s="158" t="n">
        <f aca="false">SUMIF(Assumption!$I$452:$I$456,E6,Assumption!$E$452:$E$456)</f>
        <v>0</v>
      </c>
      <c r="F141" s="158" t="n">
        <f aca="false">SUMIF(Assumption!$I$452:$I$456,F6,Assumption!$E$452:$E$456)</f>
        <v>0</v>
      </c>
      <c r="G141" s="158" t="n">
        <f aca="false">SUMIF(Assumption!$I$452:$I$456,G6,Assumption!$E$452:$E$456)</f>
        <v>0</v>
      </c>
      <c r="H141" s="158" t="n">
        <f aca="false">SUMIF(Assumption!$I$452:$I$456,H6,Assumption!$E$452:$E$456)</f>
        <v>0</v>
      </c>
      <c r="I141" s="158" t="n">
        <f aca="false">SUMIF(Assumption!$I$452:$I$456,I6,Assumption!$E$452:$E$456)</f>
        <v>0</v>
      </c>
      <c r="J141" s="158" t="n">
        <f aca="false">SUMIF(Assumption!$I$452:$I$456,J6,Assumption!$E$452:$E$456)</f>
        <v>0</v>
      </c>
      <c r="K141" s="158" t="n">
        <f aca="false">SUMIF(Assumption!$I$452:$I$456,K6,Assumption!$E$452:$E$456)</f>
        <v>0</v>
      </c>
      <c r="L141" s="158" t="n">
        <f aca="false">SUMIF(Assumption!$I$452:$I$456,L6,Assumption!$E$452:$E$456)</f>
        <v>0</v>
      </c>
      <c r="M141" s="158" t="n">
        <f aca="false">SUMIF(Assumption!$I$452:$I$456,M6,Assumption!$E$452:$E$456)</f>
        <v>0</v>
      </c>
      <c r="N141" s="158" t="n">
        <f aca="false">SUMIF(Assumption!$I$452:$I$456,N6,Assumption!$E$452:$E$456)</f>
        <v>0</v>
      </c>
      <c r="O141" s="158" t="n">
        <f aca="false">SUMIF(Assumption!$I$452:$I$456,O6,Assumption!$E$452:$E$456)</f>
        <v>0</v>
      </c>
      <c r="P141" s="158" t="n">
        <f aca="false">SUMIF(Assumption!$I$452:$I$456,P6,Assumption!$E$452:$E$456)</f>
        <v>0</v>
      </c>
      <c r="Q141" s="158" t="n">
        <f aca="false">SUMIF(Assumption!$I$452:$I$456,Q6,Assumption!$E$452:$E$456)</f>
        <v>0</v>
      </c>
      <c r="R141" s="158" t="n">
        <f aca="false">SUMIF(Assumption!$I$452:$I$456,R6,Assumption!$E$452:$E$456)</f>
        <v>0</v>
      </c>
      <c r="S141" s="158" t="n">
        <f aca="false">SUMIF(Assumption!$I$452:$I$456,S6,Assumption!$E$452:$E$456)</f>
        <v>0</v>
      </c>
      <c r="T141" s="158" t="n">
        <f aca="false">SUMIF(Assumption!$I$452:$I$456,T6,Assumption!$E$452:$E$456)</f>
        <v>0</v>
      </c>
      <c r="U141" s="158" t="n">
        <f aca="false">SUMIF(Assumption!$I$452:$I$456,U6,Assumption!$E$452:$E$456)</f>
        <v>0</v>
      </c>
      <c r="V141" s="158" t="n">
        <f aca="false">SUMIF(Assumption!$I$452:$I$456,V6,Assumption!$E$452:$E$456)</f>
        <v>0</v>
      </c>
      <c r="W141" s="158" t="n">
        <f aca="false">SUMIF(Assumption!$I$452:$I$456,W6,Assumption!$E$452:$E$456)</f>
        <v>201164.870175903</v>
      </c>
      <c r="X141" s="158" t="n">
        <f aca="false">SUMIF(Assumption!$I$452:$I$456,X6,Assumption!$E$452:$E$456)</f>
        <v>0</v>
      </c>
      <c r="Y141" s="158" t="n">
        <f aca="false">SUMIF(Assumption!$I$452:$I$456,Y6,Assumption!$E$452:$E$456)</f>
        <v>0</v>
      </c>
      <c r="Z141" s="158" t="n">
        <f aca="false">SUMIF(Assumption!$I$452:$I$456,Z6,Assumption!$E$452:$E$456)</f>
        <v>0</v>
      </c>
      <c r="AA141" s="158" t="n">
        <f aca="false">SUMIF(Assumption!$I$452:$I$456,AA6,Assumption!$E$452:$E$456)</f>
        <v>0</v>
      </c>
      <c r="AB141" s="158" t="n">
        <f aca="false">SUMIF(Assumption!$I$452:$I$456,AB6,Assumption!$E$452:$E$456)</f>
        <v>0</v>
      </c>
      <c r="AC141" s="158" t="n">
        <f aca="false">SUMIF(Assumption!$I$452:$I$456,AC6,Assumption!$E$452:$E$456)</f>
        <v>0</v>
      </c>
      <c r="AD141" s="158" t="n">
        <f aca="false">SUMIF(Assumption!$I$452:$I$456,AD6,Assumption!$E$452:$E$456)</f>
        <v>0</v>
      </c>
      <c r="AE141" s="158" t="n">
        <f aca="false">SUMIF(Assumption!$I$452:$I$456,AE6,Assumption!$E$452:$E$456)</f>
        <v>0</v>
      </c>
      <c r="AF141" s="158" t="n">
        <f aca="false">SUMIF(Assumption!$I$452:$I$456,AF6,Assumption!$E$452:$E$456)</f>
        <v>0</v>
      </c>
      <c r="AG141" s="158" t="n">
        <f aca="false">SUMIF(Assumption!$I$452:$I$456,AG6,Assumption!$E$452:$E$456)</f>
        <v>0</v>
      </c>
      <c r="AH141" s="158" t="n">
        <f aca="false">SUMIF(Assumption!$I$452:$I$456,AH6,Assumption!$E$452:$E$456)</f>
        <v>0</v>
      </c>
      <c r="AI141" s="158" t="n">
        <f aca="false">SUMIF(Assumption!$I$452:$I$456,AI6,Assumption!$E$452:$E$456)</f>
        <v>0</v>
      </c>
      <c r="AJ141" s="158" t="n">
        <f aca="false">SUMIF(Assumption!$I$452:$I$456,AJ6,Assumption!$E$452:$E$456)</f>
        <v>0</v>
      </c>
      <c r="AK141" s="158" t="n">
        <f aca="false">SUMIF(Assumption!$I$452:$I$456,AK6,Assumption!$E$452:$E$456)</f>
        <v>0</v>
      </c>
      <c r="AL141" s="158" t="n">
        <f aca="false">SUMIF(Assumption!$I$452:$I$456,AL6,Assumption!$E$452:$E$456)</f>
        <v>0</v>
      </c>
      <c r="AM141" s="158" t="n">
        <f aca="false">SUMIF(Assumption!$I$452:$I$456,AM6,Assumption!$E$452:$E$456)</f>
        <v>0</v>
      </c>
      <c r="AN141" s="158" t="n">
        <f aca="false">SUMIF(Assumption!$I$452:$I$456,AN6,Assumption!$E$452:$E$456)</f>
        <v>0</v>
      </c>
      <c r="AO141" s="158" t="n">
        <f aca="false">SUMIF(Assumption!$I$452:$I$456,AO6,Assumption!$E$452:$E$456)</f>
        <v>0</v>
      </c>
      <c r="AP141" s="158" t="n">
        <f aca="false">SUMIF(Assumption!$I$452:$I$456,AP6,Assumption!$E$452:$E$456)</f>
        <v>0</v>
      </c>
      <c r="AQ141" s="158" t="n">
        <f aca="false">SUMIF(Assumption!$I$452:$I$456,AQ6,Assumption!$E$452:$E$456)</f>
        <v>0</v>
      </c>
      <c r="AR141" s="158" t="n">
        <f aca="false">SUMIF(Assumption!$I$452:$I$456,AR6,Assumption!$E$452:$E$456)</f>
        <v>0</v>
      </c>
      <c r="AS141" s="158" t="n">
        <f aca="false">SUMIF(Assumption!$I$452:$I$456,AS6,Assumption!$E$452:$E$456)</f>
        <v>0</v>
      </c>
      <c r="AT141" s="158" t="n">
        <f aca="false">SUMIF(Assumption!$I$452:$I$456,AT6,Assumption!$E$452:$E$456)</f>
        <v>0</v>
      </c>
      <c r="AU141" s="158" t="n">
        <f aca="false">SUMIF(Assumption!$I$452:$I$456,AU6,Assumption!$E$452:$E$456)</f>
        <v>0</v>
      </c>
      <c r="AV141" s="158" t="n">
        <f aca="false">SUMIF(Assumption!$I$452:$I$456,AV6,Assumption!$E$452:$E$456)</f>
        <v>0</v>
      </c>
      <c r="AW141" s="158" t="n">
        <f aca="false">SUMIF(Assumption!$I$452:$I$456,AW6,Assumption!$E$452:$E$456)</f>
        <v>0</v>
      </c>
      <c r="AX141" s="158" t="n">
        <f aca="false">SUMIF(Assumption!$I$452:$I$456,AX6,Assumption!$E$452:$E$456)</f>
        <v>0</v>
      </c>
      <c r="AY141" s="158" t="n">
        <f aca="false">SUMIF(Assumption!$I$452:$I$456,AY6,Assumption!$E$452:$E$456)</f>
        <v>0</v>
      </c>
      <c r="AZ141" s="158" t="n">
        <f aca="false">SUMIF(Assumption!$I$452:$I$456,AZ6,Assumption!$E$452:$E$456)</f>
        <v>0</v>
      </c>
      <c r="BA141" s="158" t="n">
        <f aca="false">SUMIF(Assumption!$I$452:$I$456,BA6,Assumption!$E$452:$E$456)</f>
        <v>0</v>
      </c>
      <c r="BB141" s="158" t="n">
        <f aca="false">SUMIF(Assumption!$I$452:$I$456,BB6,Assumption!$E$452:$E$456)</f>
        <v>0</v>
      </c>
      <c r="BC141" s="158" t="n">
        <f aca="false">SUMIF(Assumption!$I$452:$I$456,BC6,Assumption!$E$452:$E$456)</f>
        <v>0</v>
      </c>
      <c r="BD141" s="158" t="n">
        <f aca="false">SUMIF(Assumption!$I$452:$I$456,BD6,Assumption!$E$452:$E$456)</f>
        <v>0</v>
      </c>
      <c r="BE141" s="158" t="n">
        <f aca="false">SUMIF(Assumption!$I$452:$I$456,BE6,Assumption!$E$452:$E$456)</f>
        <v>0</v>
      </c>
      <c r="BF141" s="158" t="n">
        <f aca="false">SUMIF(Assumption!$I$452:$I$456,BF6,Assumption!$E$452:$E$456)</f>
        <v>0</v>
      </c>
      <c r="BG141" s="158" t="n">
        <f aca="false">SUMIF(Assumption!$I$452:$I$456,BG6,Assumption!$E$452:$E$456)</f>
        <v>0</v>
      </c>
      <c r="BH141" s="158" t="n">
        <f aca="false">SUMIF(Assumption!$I$452:$I$456,BH6,Assumption!$E$452:$E$456)</f>
        <v>0</v>
      </c>
      <c r="BI141" s="158" t="n">
        <f aca="false">SUMIF(Assumption!$I$452:$I$456,BI6,Assumption!$E$452:$E$456)</f>
        <v>0</v>
      </c>
      <c r="BJ141" s="158" t="n">
        <f aca="false">SUMIF(Assumption!$I$452:$I$456,BJ6,Assumption!$E$452:$E$456)</f>
        <v>0</v>
      </c>
      <c r="BK141" s="158" t="n">
        <f aca="false">SUMIF(Assumption!$I$452:$I$456,BK6,Assumption!$E$452:$E$456)</f>
        <v>0</v>
      </c>
      <c r="BL141" s="158" t="n">
        <f aca="false">SUMIF(Assumption!$I$452:$I$456,BL6,Assumption!$E$452:$E$456)</f>
        <v>0</v>
      </c>
      <c r="BM141" s="158" t="n">
        <f aca="false">SUMIF(Assumption!$I$452:$I$456,BM6,Assumption!$E$452:$E$456)</f>
        <v>0</v>
      </c>
      <c r="BN141" s="158" t="n">
        <f aca="false">SUMIF(Assumption!$I$452:$I$456,BN6,Assumption!$E$452:$E$456)</f>
        <v>0</v>
      </c>
      <c r="BO141" s="158" t="n">
        <f aca="false">SUMIF(Assumption!$I$452:$I$456,BO6,Assumption!$E$452:$E$456)</f>
        <v>0</v>
      </c>
      <c r="BP141" s="158" t="n">
        <f aca="false">SUMIF(Assumption!$I$452:$I$456,BP6,Assumption!$E$452:$E$456)</f>
        <v>0</v>
      </c>
      <c r="BQ141" s="158" t="n">
        <f aca="false">SUMIF(Assumption!$I$452:$I$456,BQ6,Assumption!$E$452:$E$456)</f>
        <v>0</v>
      </c>
      <c r="BR141" s="158" t="n">
        <f aca="false">SUMIF(Assumption!$I$452:$I$456,BR6,Assumption!$E$452:$E$456)</f>
        <v>0</v>
      </c>
      <c r="BS141" s="158" t="n">
        <f aca="false">SUMIF(Assumption!$I$452:$I$456,BS6,Assumption!$E$452:$E$456)</f>
        <v>0</v>
      </c>
      <c r="BT141" s="158" t="n">
        <f aca="false">SUMIF(Assumption!$I$452:$I$456,BT6,Assumption!$E$452:$E$456)</f>
        <v>0</v>
      </c>
      <c r="BU141" s="158" t="n">
        <f aca="false">SUMIF(Assumption!$I$452:$I$456,BU6,Assumption!$E$452:$E$456)</f>
        <v>0</v>
      </c>
      <c r="BV141" s="158" t="n">
        <f aca="false">SUMIF(Assumption!$I$452:$I$456,BV6,Assumption!$E$452:$E$456)</f>
        <v>0</v>
      </c>
      <c r="BW141" s="158" t="n">
        <f aca="false">SUMIF(Assumption!$I$452:$I$456,BW6,Assumption!$E$452:$E$456)</f>
        <v>0</v>
      </c>
      <c r="BX141" s="158" t="n">
        <f aca="false">SUMIF(Assumption!$I$452:$I$456,BX6,Assumption!$E$452:$E$456)</f>
        <v>0</v>
      </c>
      <c r="BY141" s="158" t="n">
        <f aca="false">SUMIF(Assumption!$I$452:$I$456,BY6,Assumption!$E$452:$E$456)</f>
        <v>0</v>
      </c>
      <c r="BZ141" s="158" t="n">
        <f aca="false">SUMIF(Assumption!$I$452:$I$456,BZ6,Assumption!$E$452:$E$456)</f>
        <v>0</v>
      </c>
      <c r="CA141" s="158" t="n">
        <f aca="false">SUMIF(Assumption!$I$452:$I$456,CA6,Assumption!$E$452:$E$456)</f>
        <v>0</v>
      </c>
      <c r="CB141" s="158" t="n">
        <f aca="false">SUMIF(Assumption!$I$452:$I$456,CB6,Assumption!$E$452:$E$456)</f>
        <v>0</v>
      </c>
      <c r="CC141" s="158" t="n">
        <f aca="false">SUMIF(Assumption!$I$452:$I$456,CC6,Assumption!$E$452:$E$456)</f>
        <v>0</v>
      </c>
      <c r="CD141" s="158" t="n">
        <f aca="false">SUMIF(Assumption!$I$452:$I$456,CD6,Assumption!$E$452:$E$456)</f>
        <v>0</v>
      </c>
      <c r="CE141" s="158" t="n">
        <f aca="false">SUMIF(Assumption!$I$452:$I$456,CE6,Assumption!$E$452:$E$456)</f>
        <v>0</v>
      </c>
      <c r="CF141" s="158" t="n">
        <f aca="false">SUMIF(Assumption!$I$452:$I$456,CF6,Assumption!$E$452:$E$456)</f>
        <v>0</v>
      </c>
      <c r="CG141" s="158" t="n">
        <f aca="false">SUMIF(Assumption!$I$452:$I$456,CG6,Assumption!$E$452:$E$456)</f>
        <v>0</v>
      </c>
      <c r="CH141" s="158" t="n">
        <f aca="false">SUMIF(Assumption!$I$452:$I$456,CH6,Assumption!$E$452:$E$456)</f>
        <v>0</v>
      </c>
      <c r="CI141" s="158" t="n">
        <f aca="false">SUMIF(Assumption!$I$452:$I$456,CI6,Assumption!$E$452:$E$456)</f>
        <v>0</v>
      </c>
      <c r="CJ141" s="158" t="n">
        <f aca="false">SUMIF(Assumption!$I$452:$I$456,CJ6,Assumption!$E$452:$E$456)</f>
        <v>0</v>
      </c>
      <c r="CK141" s="158" t="n">
        <f aca="false">SUMIF(Assumption!$I$452:$I$456,CK6,Assumption!$E$452:$E$456)</f>
        <v>0</v>
      </c>
      <c r="CL141" s="158" t="n">
        <f aca="false">SUMIF(Assumption!$I$452:$I$456,CL6,Assumption!$E$452:$E$456)</f>
        <v>0</v>
      </c>
      <c r="CM141" s="158" t="n">
        <f aca="false">SUMIF(Assumption!$I$452:$I$456,CM6,Assumption!$E$452:$E$456)</f>
        <v>0</v>
      </c>
      <c r="CN141" s="158" t="n">
        <f aca="false">SUMIF(Assumption!$I$452:$I$456,CN6,Assumption!$E$452:$E$456)</f>
        <v>0</v>
      </c>
      <c r="CO141" s="158" t="n">
        <f aca="false">SUMIF(Assumption!$I$452:$I$456,CO6,Assumption!$E$452:$E$456)</f>
        <v>0</v>
      </c>
      <c r="CP141" s="158" t="n">
        <f aca="false">SUMIF(Assumption!$I$452:$I$456,CP6,Assumption!$E$452:$E$456)</f>
        <v>0</v>
      </c>
      <c r="CQ141" s="158" t="n">
        <f aca="false">SUMIF(Assumption!$I$452:$I$456,CQ6,Assumption!$E$452:$E$456)</f>
        <v>0</v>
      </c>
      <c r="CR141" s="158" t="n">
        <f aca="false">SUMIF(Assumption!$I$452:$I$456,CR6,Assumption!$E$452:$E$456)</f>
        <v>0</v>
      </c>
      <c r="CS141" s="158" t="n">
        <f aca="false">SUMIF(Assumption!$I$452:$I$456,CS6,Assumption!$E$452:$E$456)</f>
        <v>0</v>
      </c>
      <c r="CT141" s="158" t="n">
        <f aca="false">SUMIF(Assumption!$I$452:$I$456,CT6,Assumption!$E$452:$E$456)</f>
        <v>0</v>
      </c>
      <c r="CU141" s="158" t="n">
        <f aca="false">SUMIF(Assumption!$I$452:$I$456,CU6,Assumption!$E$452:$E$456)</f>
        <v>0</v>
      </c>
      <c r="CV141" s="158" t="n">
        <f aca="false">SUMIF(Assumption!$I$452:$I$456,CV6,Assumption!$E$452:$E$456)</f>
        <v>0</v>
      </c>
      <c r="CW141" s="158" t="n">
        <f aca="false">SUMIF(Assumption!$I$452:$I$456,CW6,Assumption!$E$452:$E$456)</f>
        <v>0</v>
      </c>
      <c r="CX141" s="158" t="n">
        <f aca="false">SUMIF(Assumption!$I$452:$I$456,CX6,Assumption!$E$452:$E$456)</f>
        <v>0</v>
      </c>
      <c r="CY141" s="158" t="n">
        <f aca="false">SUMIF(Assumption!$I$452:$I$456,CY6,Assumption!$E$452:$E$456)</f>
        <v>0</v>
      </c>
      <c r="CZ141" s="158" t="n">
        <f aca="false">SUMIF(Assumption!$I$452:$I$456,CZ6,Assumption!$E$452:$E$456)</f>
        <v>0</v>
      </c>
      <c r="DA141" s="158" t="n">
        <f aca="false">SUMIF(Assumption!$I$452:$I$456,DA6,Assumption!$E$452:$E$456)</f>
        <v>0</v>
      </c>
      <c r="DB141" s="158" t="n">
        <f aca="false">SUMIF(Assumption!$I$452:$I$456,DB6,Assumption!$E$452:$E$456)</f>
        <v>0</v>
      </c>
      <c r="DC141" s="158" t="n">
        <f aca="false">SUMIF(Assumption!$I$452:$I$456,DC6,Assumption!$E$452:$E$456)</f>
        <v>0</v>
      </c>
      <c r="DD141" s="158" t="n">
        <f aca="false">SUMIF(Assumption!$I$452:$I$456,DD6,Assumption!$E$452:$E$456)</f>
        <v>0</v>
      </c>
      <c r="DE141" s="158" t="n">
        <f aca="false">SUMIF(Assumption!$I$452:$I$456,DE6,Assumption!$E$452:$E$456)</f>
        <v>0</v>
      </c>
      <c r="DF141" s="158" t="n">
        <f aca="false">SUMIF(Assumption!$I$452:$I$456,DF6,Assumption!$E$452:$E$456)</f>
        <v>0</v>
      </c>
      <c r="DG141" s="158" t="n">
        <f aca="false">SUMIF(Assumption!$I$452:$I$456,DG6,Assumption!$E$452:$E$456)</f>
        <v>0</v>
      </c>
      <c r="DH141" s="158" t="n">
        <f aca="false">SUMIF(Assumption!$I$452:$I$456,DH6,Assumption!$E$452:$E$456)</f>
        <v>0</v>
      </c>
      <c r="DI141" s="158" t="n">
        <f aca="false">SUMIF(Assumption!$I$452:$I$456,DI6,Assumption!$E$452:$E$456)</f>
        <v>0</v>
      </c>
      <c r="DJ141" s="158" t="n">
        <f aca="false">SUMIF(Assumption!$I$452:$I$456,DJ6,Assumption!$E$452:$E$456)</f>
        <v>0</v>
      </c>
      <c r="DK141" s="158" t="n">
        <f aca="false">SUMIF(Assumption!$I$452:$I$456,DK6,Assumption!$E$452:$E$456)</f>
        <v>0</v>
      </c>
      <c r="DL141" s="158" t="n">
        <f aca="false">SUMIF(Assumption!$I$452:$I$456,DL6,Assumption!$E$452:$E$456)</f>
        <v>0</v>
      </c>
      <c r="DM141" s="158" t="n">
        <f aca="false">SUMIF(Assumption!$I$452:$I$456,DM6,Assumption!$E$452:$E$456)</f>
        <v>0</v>
      </c>
      <c r="DN141" s="158" t="n">
        <f aca="false">SUMIF(Assumption!$I$452:$I$456,DN6,Assumption!$E$452:$E$456)</f>
        <v>0</v>
      </c>
      <c r="DO141" s="158" t="n">
        <f aca="false">SUMIF(Assumption!$I$452:$I$456,DO6,Assumption!$E$452:$E$456)</f>
        <v>0</v>
      </c>
      <c r="DP141" s="158" t="n">
        <f aca="false">SUMIF(Assumption!$I$452:$I$456,DP6,Assumption!$E$452:$E$456)</f>
        <v>0</v>
      </c>
      <c r="DQ141" s="158" t="n">
        <f aca="false">SUMIF(Assumption!$I$452:$I$456,DQ6,Assumption!$E$452:$E$456)</f>
        <v>0</v>
      </c>
      <c r="DR141" s="158" t="n">
        <f aca="false">SUMIF(Assumption!$I$452:$I$456,DR6,Assumption!$E$452:$E$456)</f>
        <v>0</v>
      </c>
      <c r="DS141" s="158" t="n">
        <f aca="false">SUMIF(Assumption!$I$452:$I$456,DS6,Assumption!$E$452:$E$456)</f>
        <v>0</v>
      </c>
      <c r="DT141" s="158" t="n">
        <f aca="false">SUMIF(Assumption!$I$452:$I$456,DT6,Assumption!$E$452:$E$456)</f>
        <v>0</v>
      </c>
      <c r="DU141" s="158" t="n">
        <f aca="false">SUMIF(Assumption!$I$452:$I$456,DU6,Assumption!$E$452:$E$456)</f>
        <v>0</v>
      </c>
      <c r="DV141" s="158" t="n">
        <f aca="false">SUMIF(Assumption!$I$452:$I$456,DV6,Assumption!$E$452:$E$456)</f>
        <v>0</v>
      </c>
      <c r="DW141" s="158" t="n">
        <f aca="false">SUMIF(Assumption!$I$452:$I$456,DW6,Assumption!$E$452:$E$456)</f>
        <v>0</v>
      </c>
      <c r="DX141" s="158" t="n">
        <f aca="false">SUMIF(Assumption!$I$452:$I$456,DX6,Assumption!$E$452:$E$456)</f>
        <v>0</v>
      </c>
      <c r="DY141" s="158" t="n">
        <f aca="false">SUMIF(Assumption!$I$452:$I$456,DY6,Assumption!$E$452:$E$456)</f>
        <v>0</v>
      </c>
      <c r="DZ141" s="158" t="n">
        <f aca="false">SUMIF(Assumption!$I$452:$I$456,DZ6,Assumption!$E$452:$E$456)</f>
        <v>0</v>
      </c>
      <c r="EA141" s="158" t="n">
        <f aca="false">SUMIF(Assumption!$I$452:$I$456,EA6,Assumption!$E$452:$E$456)</f>
        <v>0</v>
      </c>
      <c r="EB141" s="158" t="n">
        <f aca="false">SUMIF(Assumption!$I$452:$I$456,EB6,Assumption!$E$452:$E$456)</f>
        <v>0</v>
      </c>
      <c r="EC141" s="158" t="n">
        <f aca="false">SUMIF(Assumption!$I$452:$I$456,EC6,Assumption!$E$452:$E$456)</f>
        <v>0</v>
      </c>
      <c r="ED141" s="158" t="n">
        <f aca="false">SUMIF(Assumption!$I$452:$I$456,ED6,Assumption!$E$452:$E$456)</f>
        <v>0</v>
      </c>
      <c r="EE141" s="158" t="n">
        <f aca="false">SUMIF(Assumption!$I$452:$I$456,EE6,Assumption!$E$452:$E$456)</f>
        <v>0</v>
      </c>
      <c r="EF141" s="158" t="n">
        <f aca="false">SUMIF(Assumption!$I$452:$I$456,EF6,Assumption!$E$452:$E$456)</f>
        <v>0</v>
      </c>
    </row>
    <row r="142" customFormat="false" ht="15" hidden="false" customHeight="false" outlineLevel="0" collapsed="false">
      <c r="A142" s="247" t="s">
        <v>594</v>
      </c>
      <c r="B142" s="244" t="s">
        <v>116</v>
      </c>
      <c r="C142" s="245" t="n">
        <f aca="false">SUM(E142:EF142)</f>
        <v>287378.385965576</v>
      </c>
      <c r="D142" s="13"/>
      <c r="E142" s="246" t="n">
        <f aca="false">E140+E141</f>
        <v>15820.1801474049</v>
      </c>
      <c r="F142" s="246" t="n">
        <f aca="false">F140+F141</f>
        <v>0</v>
      </c>
      <c r="G142" s="246" t="n">
        <f aca="false">G140+G141</f>
        <v>0</v>
      </c>
      <c r="H142" s="246" t="n">
        <f aca="false">H140+H141</f>
        <v>0</v>
      </c>
      <c r="I142" s="246" t="n">
        <f aca="false">I140+I141</f>
        <v>0</v>
      </c>
      <c r="J142" s="246" t="n">
        <f aca="false">J140+J141</f>
        <v>0</v>
      </c>
      <c r="K142" s="246" t="n">
        <f aca="false">K140+K141</f>
        <v>0</v>
      </c>
      <c r="L142" s="246" t="n">
        <f aca="false">L140+L141</f>
        <v>0</v>
      </c>
      <c r="M142" s="246" t="n">
        <f aca="false">M140+M141</f>
        <v>0</v>
      </c>
      <c r="N142" s="246" t="n">
        <f aca="false">N140+N141</f>
        <v>0</v>
      </c>
      <c r="O142" s="246" t="n">
        <f aca="false">O140+O141</f>
        <v>0</v>
      </c>
      <c r="P142" s="246" t="n">
        <f aca="false">P140+P141</f>
        <v>0</v>
      </c>
      <c r="Q142" s="246" t="n">
        <f aca="false">Q140+Q141</f>
        <v>0</v>
      </c>
      <c r="R142" s="246" t="n">
        <f aca="false">R140+R141</f>
        <v>0</v>
      </c>
      <c r="S142" s="246" t="n">
        <f aca="false">S140+S141</f>
        <v>0</v>
      </c>
      <c r="T142" s="246" t="n">
        <f aca="false">T140+T141</f>
        <v>0</v>
      </c>
      <c r="U142" s="246" t="n">
        <f aca="false">U140+U141</f>
        <v>0</v>
      </c>
      <c r="V142" s="246" t="n">
        <f aca="false">V140+V141</f>
        <v>0</v>
      </c>
      <c r="W142" s="246" t="n">
        <f aca="false">W140+W141</f>
        <v>271558.205818171</v>
      </c>
      <c r="X142" s="246" t="n">
        <f aca="false">X140+X141</f>
        <v>0</v>
      </c>
      <c r="Y142" s="246" t="n">
        <f aca="false">Y140+Y141</f>
        <v>0</v>
      </c>
      <c r="Z142" s="246" t="n">
        <f aca="false">Z140+Z141</f>
        <v>0</v>
      </c>
      <c r="AA142" s="246" t="n">
        <f aca="false">AA140+AA141</f>
        <v>0</v>
      </c>
      <c r="AB142" s="246" t="n">
        <f aca="false">AB140+AB141</f>
        <v>0</v>
      </c>
      <c r="AC142" s="246" t="n">
        <f aca="false">AC140+AC141</f>
        <v>0</v>
      </c>
      <c r="AD142" s="246" t="n">
        <f aca="false">AD140+AD141</f>
        <v>0</v>
      </c>
      <c r="AE142" s="246" t="n">
        <f aca="false">AE140+AE141</f>
        <v>0</v>
      </c>
      <c r="AF142" s="246" t="n">
        <f aca="false">AF140+AF141</f>
        <v>0</v>
      </c>
      <c r="AG142" s="246" t="n">
        <f aca="false">AG140+AG141</f>
        <v>0</v>
      </c>
      <c r="AH142" s="246" t="n">
        <f aca="false">AH140+AH141</f>
        <v>0</v>
      </c>
      <c r="AI142" s="246" t="n">
        <f aca="false">AI140+AI141</f>
        <v>0</v>
      </c>
      <c r="AJ142" s="246" t="n">
        <f aca="false">AJ140+AJ141</f>
        <v>0</v>
      </c>
      <c r="AK142" s="246" t="n">
        <f aca="false">AK140+AK141</f>
        <v>0</v>
      </c>
      <c r="AL142" s="246" t="n">
        <f aca="false">AL140+AL141</f>
        <v>0</v>
      </c>
      <c r="AM142" s="246" t="n">
        <f aca="false">AM140+AM141</f>
        <v>0</v>
      </c>
      <c r="AN142" s="246" t="n">
        <f aca="false">AN140+AN141</f>
        <v>0</v>
      </c>
      <c r="AO142" s="246" t="n">
        <f aca="false">AO140+AO141</f>
        <v>0</v>
      </c>
      <c r="AP142" s="246" t="n">
        <f aca="false">AP140+AP141</f>
        <v>0</v>
      </c>
      <c r="AQ142" s="246" t="n">
        <f aca="false">AQ140+AQ141</f>
        <v>0</v>
      </c>
      <c r="AR142" s="246" t="n">
        <f aca="false">AR140+AR141</f>
        <v>0</v>
      </c>
      <c r="AS142" s="246" t="n">
        <f aca="false">AS140+AS141</f>
        <v>0</v>
      </c>
      <c r="AT142" s="246" t="n">
        <f aca="false">AT140+AT141</f>
        <v>0</v>
      </c>
      <c r="AU142" s="246" t="n">
        <f aca="false">AU140+AU141</f>
        <v>0</v>
      </c>
      <c r="AV142" s="246" t="n">
        <f aca="false">AV140+AV141</f>
        <v>0</v>
      </c>
      <c r="AW142" s="246" t="n">
        <f aca="false">AW140+AW141</f>
        <v>0</v>
      </c>
      <c r="AX142" s="246" t="n">
        <f aca="false">AX140+AX141</f>
        <v>0</v>
      </c>
      <c r="AY142" s="246" t="n">
        <f aca="false">AY140+AY141</f>
        <v>0</v>
      </c>
      <c r="AZ142" s="246" t="n">
        <f aca="false">AZ140+AZ141</f>
        <v>0</v>
      </c>
      <c r="BA142" s="246" t="n">
        <f aca="false">BA140+BA141</f>
        <v>0</v>
      </c>
      <c r="BB142" s="246" t="n">
        <f aca="false">BB140+BB141</f>
        <v>0</v>
      </c>
      <c r="BC142" s="246" t="n">
        <f aca="false">BC140+BC141</f>
        <v>0</v>
      </c>
      <c r="BD142" s="246" t="n">
        <f aca="false">BD140+BD141</f>
        <v>0</v>
      </c>
      <c r="BE142" s="246" t="n">
        <f aca="false">BE140+BE141</f>
        <v>0</v>
      </c>
      <c r="BF142" s="246" t="n">
        <f aca="false">BF140+BF141</f>
        <v>0</v>
      </c>
      <c r="BG142" s="246" t="n">
        <f aca="false">BG140+BG141</f>
        <v>0</v>
      </c>
      <c r="BH142" s="246" t="n">
        <f aca="false">BH140+BH141</f>
        <v>0</v>
      </c>
      <c r="BI142" s="246" t="n">
        <f aca="false">BI140+BI141</f>
        <v>0</v>
      </c>
      <c r="BJ142" s="246" t="n">
        <f aca="false">BJ140+BJ141</f>
        <v>0</v>
      </c>
      <c r="BK142" s="246" t="n">
        <f aca="false">BK140+BK141</f>
        <v>0</v>
      </c>
      <c r="BL142" s="246" t="n">
        <f aca="false">BL140+BL141</f>
        <v>0</v>
      </c>
      <c r="BM142" s="246" t="n">
        <f aca="false">BM140+BM141</f>
        <v>0</v>
      </c>
      <c r="BN142" s="246" t="n">
        <f aca="false">BN140+BN141</f>
        <v>0</v>
      </c>
      <c r="BO142" s="246" t="n">
        <f aca="false">BO140+BO141</f>
        <v>0</v>
      </c>
      <c r="BP142" s="246" t="n">
        <f aca="false">BP140+BP141</f>
        <v>0</v>
      </c>
      <c r="BQ142" s="246" t="n">
        <f aca="false">BQ140+BQ141</f>
        <v>0</v>
      </c>
      <c r="BR142" s="246" t="n">
        <f aca="false">BR140+BR141</f>
        <v>0</v>
      </c>
      <c r="BS142" s="246" t="n">
        <f aca="false">BS140+BS141</f>
        <v>0</v>
      </c>
      <c r="BT142" s="246" t="n">
        <f aca="false">BT140+BT141</f>
        <v>0</v>
      </c>
      <c r="BU142" s="246" t="n">
        <f aca="false">BU140+BU141</f>
        <v>0</v>
      </c>
      <c r="BV142" s="246" t="n">
        <f aca="false">BV140+BV141</f>
        <v>0</v>
      </c>
      <c r="BW142" s="246" t="n">
        <f aca="false">BW140+BW141</f>
        <v>0</v>
      </c>
      <c r="BX142" s="246" t="n">
        <f aca="false">BX140+BX141</f>
        <v>0</v>
      </c>
      <c r="BY142" s="246" t="n">
        <f aca="false">BY140+BY141</f>
        <v>0</v>
      </c>
      <c r="BZ142" s="246" t="n">
        <f aca="false">BZ140+BZ141</f>
        <v>0</v>
      </c>
      <c r="CA142" s="246" t="n">
        <f aca="false">CA140+CA141</f>
        <v>0</v>
      </c>
      <c r="CB142" s="246" t="n">
        <f aca="false">CB140+CB141</f>
        <v>0</v>
      </c>
      <c r="CC142" s="246" t="n">
        <f aca="false">CC140+CC141</f>
        <v>0</v>
      </c>
      <c r="CD142" s="246" t="n">
        <f aca="false">CD140+CD141</f>
        <v>0</v>
      </c>
      <c r="CE142" s="246" t="n">
        <f aca="false">CE140+CE141</f>
        <v>0</v>
      </c>
      <c r="CF142" s="246" t="n">
        <f aca="false">CF140+CF141</f>
        <v>0</v>
      </c>
      <c r="CG142" s="246" t="n">
        <f aca="false">CG140+CG141</f>
        <v>0</v>
      </c>
      <c r="CH142" s="246" t="n">
        <f aca="false">CH140+CH141</f>
        <v>0</v>
      </c>
      <c r="CI142" s="246" t="n">
        <f aca="false">CI140+CI141</f>
        <v>0</v>
      </c>
      <c r="CJ142" s="246" t="n">
        <f aca="false">CJ140+CJ141</f>
        <v>0</v>
      </c>
      <c r="CK142" s="246" t="n">
        <f aca="false">CK140+CK141</f>
        <v>0</v>
      </c>
      <c r="CL142" s="246" t="n">
        <f aca="false">CL140+CL141</f>
        <v>0</v>
      </c>
      <c r="CM142" s="246" t="n">
        <f aca="false">CM140+CM141</f>
        <v>0</v>
      </c>
      <c r="CN142" s="246" t="n">
        <f aca="false">CN140+CN141</f>
        <v>0</v>
      </c>
      <c r="CO142" s="246" t="n">
        <f aca="false">CO140+CO141</f>
        <v>0</v>
      </c>
      <c r="CP142" s="246" t="n">
        <f aca="false">CP140+CP141</f>
        <v>0</v>
      </c>
      <c r="CQ142" s="246" t="n">
        <f aca="false">CQ140+CQ141</f>
        <v>0</v>
      </c>
      <c r="CR142" s="246" t="n">
        <f aca="false">CR140+CR141</f>
        <v>0</v>
      </c>
      <c r="CS142" s="246" t="n">
        <f aca="false">CS140+CS141</f>
        <v>0</v>
      </c>
      <c r="CT142" s="246" t="n">
        <f aca="false">CT140+CT141</f>
        <v>0</v>
      </c>
      <c r="CU142" s="246" t="n">
        <f aca="false">CU140+CU141</f>
        <v>0</v>
      </c>
      <c r="CV142" s="246" t="n">
        <f aca="false">CV140+CV141</f>
        <v>0</v>
      </c>
      <c r="CW142" s="246" t="n">
        <f aca="false">CW140+CW141</f>
        <v>0</v>
      </c>
      <c r="CX142" s="246" t="n">
        <f aca="false">CX140+CX141</f>
        <v>0</v>
      </c>
      <c r="CY142" s="246" t="n">
        <f aca="false">CY140+CY141</f>
        <v>0</v>
      </c>
      <c r="CZ142" s="246" t="n">
        <f aca="false">CZ140+CZ141</f>
        <v>0</v>
      </c>
      <c r="DA142" s="246" t="n">
        <f aca="false">DA140+DA141</f>
        <v>0</v>
      </c>
      <c r="DB142" s="246" t="n">
        <f aca="false">DB140+DB141</f>
        <v>0</v>
      </c>
      <c r="DC142" s="246" t="n">
        <f aca="false">DC140+DC141</f>
        <v>0</v>
      </c>
      <c r="DD142" s="246" t="n">
        <f aca="false">DD140+DD141</f>
        <v>0</v>
      </c>
      <c r="DE142" s="246" t="n">
        <f aca="false">DE140+DE141</f>
        <v>0</v>
      </c>
      <c r="DF142" s="246" t="n">
        <f aca="false">DF140+DF141</f>
        <v>0</v>
      </c>
      <c r="DG142" s="246" t="n">
        <f aca="false">DG140+DG141</f>
        <v>0</v>
      </c>
      <c r="DH142" s="246" t="n">
        <f aca="false">DH140+DH141</f>
        <v>0</v>
      </c>
      <c r="DI142" s="246" t="n">
        <f aca="false">DI140+DI141</f>
        <v>0</v>
      </c>
      <c r="DJ142" s="246" t="n">
        <f aca="false">DJ140+DJ141</f>
        <v>0</v>
      </c>
      <c r="DK142" s="246" t="n">
        <f aca="false">DK140+DK141</f>
        <v>0</v>
      </c>
      <c r="DL142" s="246" t="n">
        <f aca="false">DL140+DL141</f>
        <v>0</v>
      </c>
      <c r="DM142" s="246" t="n">
        <f aca="false">DM140+DM141</f>
        <v>0</v>
      </c>
      <c r="DN142" s="246" t="n">
        <f aca="false">DN140+DN141</f>
        <v>0</v>
      </c>
      <c r="DO142" s="246" t="n">
        <f aca="false">DO140+DO141</f>
        <v>0</v>
      </c>
      <c r="DP142" s="246" t="n">
        <f aca="false">DP140+DP141</f>
        <v>0</v>
      </c>
      <c r="DQ142" s="246" t="n">
        <f aca="false">DQ140+DQ141</f>
        <v>0</v>
      </c>
      <c r="DR142" s="246" t="n">
        <f aca="false">DR140+DR141</f>
        <v>0</v>
      </c>
      <c r="DS142" s="246" t="n">
        <f aca="false">DS140+DS141</f>
        <v>0</v>
      </c>
      <c r="DT142" s="246" t="n">
        <f aca="false">DT140+DT141</f>
        <v>0</v>
      </c>
      <c r="DU142" s="246" t="n">
        <f aca="false">DU140+DU141</f>
        <v>0</v>
      </c>
      <c r="DV142" s="246" t="n">
        <f aca="false">DV140+DV141</f>
        <v>0</v>
      </c>
      <c r="DW142" s="246" t="n">
        <f aca="false">DW140+DW141</f>
        <v>0</v>
      </c>
      <c r="DX142" s="246" t="n">
        <f aca="false">DX140+DX141</f>
        <v>0</v>
      </c>
      <c r="DY142" s="246" t="n">
        <f aca="false">DY140+DY141</f>
        <v>0</v>
      </c>
      <c r="DZ142" s="246" t="n">
        <f aca="false">DZ140+DZ141</f>
        <v>0</v>
      </c>
      <c r="EA142" s="246" t="n">
        <f aca="false">EA140+EA141</f>
        <v>0</v>
      </c>
      <c r="EB142" s="246" t="n">
        <f aca="false">EB140+EB141</f>
        <v>0</v>
      </c>
      <c r="EC142" s="246" t="n">
        <f aca="false">EC140+EC141</f>
        <v>0</v>
      </c>
      <c r="ED142" s="246" t="n">
        <f aca="false">ED140+ED141</f>
        <v>0</v>
      </c>
      <c r="EE142" s="246" t="n">
        <f aca="false">EE140+EE141</f>
        <v>0</v>
      </c>
      <c r="EF142" s="246" t="n">
        <f aca="false">EF140+EF141</f>
        <v>0</v>
      </c>
    </row>
    <row r="144" customFormat="false" ht="15" hidden="false" customHeight="false" outlineLevel="0" collapsed="false">
      <c r="A144" s="176" t="s">
        <v>595</v>
      </c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86"/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86"/>
      <c r="DC144" s="86"/>
      <c r="DD144" s="86"/>
      <c r="DE144" s="86"/>
      <c r="DF144" s="86"/>
      <c r="DG144" s="86"/>
      <c r="DH144" s="86"/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</row>
    <row r="145" customFormat="false" ht="15" hidden="false" customHeight="false" outlineLevel="0" collapsed="false">
      <c r="A145" s="35" t="s">
        <v>596</v>
      </c>
      <c r="B145" s="241" t="s">
        <v>116</v>
      </c>
      <c r="C145" s="242" t="n">
        <f aca="false">SUM(E145:EF145)</f>
        <v>1824235.87564974</v>
      </c>
      <c r="E145" s="158" t="n">
        <f aca="false">IF(E6=Assumption!$E$22,Assumption!$E$268,0)</f>
        <v>0</v>
      </c>
      <c r="F145" s="158" t="n">
        <f aca="false">IF(F6=Assumption!$E$22,Assumption!$E$268,0)</f>
        <v>0</v>
      </c>
      <c r="G145" s="158" t="n">
        <f aca="false">IF(G6=Assumption!$E$22,Assumption!$E$268,0)</f>
        <v>0</v>
      </c>
      <c r="H145" s="158" t="n">
        <f aca="false">IF(H6=Assumption!$E$22,Assumption!$E$268,0)</f>
        <v>0</v>
      </c>
      <c r="I145" s="158" t="n">
        <f aca="false">IF(I6=Assumption!$E$22,Assumption!$E$268,0)</f>
        <v>0</v>
      </c>
      <c r="J145" s="158" t="n">
        <f aca="false">IF(J6=Assumption!$E$22,Assumption!$E$268,0)</f>
        <v>0</v>
      </c>
      <c r="K145" s="158" t="n">
        <f aca="false">IF(K6=Assumption!$E$22,Assumption!$E$268,0)</f>
        <v>0</v>
      </c>
      <c r="L145" s="158" t="n">
        <f aca="false">IF(L6=Assumption!$E$22,Assumption!$E$268,0)</f>
        <v>0</v>
      </c>
      <c r="M145" s="158" t="n">
        <f aca="false">IF(M6=Assumption!$E$22,Assumption!$E$268,0)</f>
        <v>0</v>
      </c>
      <c r="N145" s="158" t="n">
        <f aca="false">IF(N6=Assumption!$E$22,Assumption!$E$268,0)</f>
        <v>0</v>
      </c>
      <c r="O145" s="158" t="n">
        <f aca="false">IF(O6=Assumption!$E$22,Assumption!$E$268,0)</f>
        <v>0</v>
      </c>
      <c r="P145" s="158" t="n">
        <f aca="false">IF(P6=Assumption!$E$22,Assumption!$E$268,0)</f>
        <v>0</v>
      </c>
      <c r="Q145" s="158" t="n">
        <f aca="false">IF(Q6=Assumption!$E$22,Assumption!$E$268,0)</f>
        <v>0</v>
      </c>
      <c r="R145" s="158" t="n">
        <f aca="false">IF(R6=Assumption!$E$22,Assumption!$E$268,0)</f>
        <v>0</v>
      </c>
      <c r="S145" s="158" t="n">
        <f aca="false">IF(S6=Assumption!$E$22,Assumption!$E$268,0)</f>
        <v>0</v>
      </c>
      <c r="T145" s="158" t="n">
        <f aca="false">IF(T6=Assumption!$E$22,Assumption!$E$268,0)</f>
        <v>0</v>
      </c>
      <c r="U145" s="158" t="n">
        <f aca="false">IF(U6=Assumption!$E$22,Assumption!$E$268,0)</f>
        <v>0</v>
      </c>
      <c r="V145" s="158" t="n">
        <f aca="false">IF(V6=Assumption!$E$22,Assumption!$E$268,0)</f>
        <v>0</v>
      </c>
      <c r="W145" s="158" t="n">
        <f aca="false">IF(W6=Assumption!$E$22,Assumption!$E$268,0)</f>
        <v>0</v>
      </c>
      <c r="X145" s="158" t="n">
        <f aca="false">IF(X6=Assumption!$E$22,Assumption!$E$268,0)</f>
        <v>0</v>
      </c>
      <c r="Y145" s="158" t="n">
        <f aca="false">IF(Y6=Assumption!$E$22,Assumption!$E$268,0)</f>
        <v>0</v>
      </c>
      <c r="Z145" s="158" t="n">
        <f aca="false">IF(Z6=Assumption!$E$22,Assumption!$E$268,0)</f>
        <v>0</v>
      </c>
      <c r="AA145" s="158" t="n">
        <f aca="false">IF(AA6=Assumption!$E$22,Assumption!$E$268,0)</f>
        <v>0</v>
      </c>
      <c r="AB145" s="158" t="n">
        <f aca="false">IF(AB6=Assumption!$E$22,Assumption!$E$268,0)</f>
        <v>0</v>
      </c>
      <c r="AC145" s="158" t="n">
        <f aca="false">IF(AC6=Assumption!$E$22,Assumption!$E$268,0)</f>
        <v>0</v>
      </c>
      <c r="AD145" s="158" t="n">
        <f aca="false">IF(AD6=Assumption!$E$22,Assumption!$E$268,0)</f>
        <v>0</v>
      </c>
      <c r="AE145" s="158" t="n">
        <f aca="false">IF(AE6=Assumption!$E$22,Assumption!$E$268,0)</f>
        <v>0</v>
      </c>
      <c r="AF145" s="158" t="n">
        <f aca="false">IF(AF6=Assumption!$E$22,Assumption!$E$268,0)</f>
        <v>0</v>
      </c>
      <c r="AG145" s="158" t="n">
        <f aca="false">IF(AG6=Assumption!$E$22,Assumption!$E$268,0)</f>
        <v>0</v>
      </c>
      <c r="AH145" s="158" t="n">
        <f aca="false">IF(AH6=Assumption!$E$22,Assumption!$E$268,0)</f>
        <v>0</v>
      </c>
      <c r="AI145" s="158" t="n">
        <f aca="false">IF(AI6=Assumption!$E$22,Assumption!$E$268,0)</f>
        <v>0</v>
      </c>
      <c r="AJ145" s="158" t="n">
        <f aca="false">IF(AJ6=Assumption!$E$22,Assumption!$E$268,0)</f>
        <v>0</v>
      </c>
      <c r="AK145" s="158" t="n">
        <f aca="false">IF(AK6=Assumption!$E$22,Assumption!$E$268,0)</f>
        <v>0</v>
      </c>
      <c r="AL145" s="158" t="n">
        <f aca="false">IF(AL6=Assumption!$E$22,Assumption!$E$268,0)</f>
        <v>0</v>
      </c>
      <c r="AM145" s="158" t="n">
        <f aca="false">IF(AM6=Assumption!$E$22,Assumption!$E$268,0)</f>
        <v>0</v>
      </c>
      <c r="AN145" s="158" t="n">
        <f aca="false">IF(AN6=Assumption!$E$22,Assumption!$E$268,0)</f>
        <v>0</v>
      </c>
      <c r="AO145" s="158" t="n">
        <f aca="false">IF(AO6=Assumption!$E$22,Assumption!$E$268,0)</f>
        <v>0</v>
      </c>
      <c r="AP145" s="158" t="n">
        <f aca="false">IF(AP6=Assumption!$E$22,Assumption!$E$268,0)</f>
        <v>0</v>
      </c>
      <c r="AQ145" s="158" t="n">
        <f aca="false">IF(AQ6=Assumption!$E$22,Assumption!$E$268,0)</f>
        <v>0</v>
      </c>
      <c r="AR145" s="158" t="n">
        <f aca="false">IF(AR6=Assumption!$E$22,Assumption!$E$268,0)</f>
        <v>0</v>
      </c>
      <c r="AS145" s="158" t="n">
        <f aca="false">IF(AS6=Assumption!$E$22,Assumption!$E$268,0)</f>
        <v>0</v>
      </c>
      <c r="AT145" s="158" t="n">
        <f aca="false">IF(AT6=Assumption!$E$22,Assumption!$E$268,0)</f>
        <v>0</v>
      </c>
      <c r="AU145" s="158" t="n">
        <f aca="false">IF(AU6=Assumption!$E$22,Assumption!$E$268,0)</f>
        <v>0</v>
      </c>
      <c r="AV145" s="158" t="n">
        <f aca="false">IF(AV6=Assumption!$E$22,Assumption!$E$268,0)</f>
        <v>0</v>
      </c>
      <c r="AW145" s="158" t="n">
        <f aca="false">IF(AW6=Assumption!$E$22,Assumption!$E$268,0)</f>
        <v>0</v>
      </c>
      <c r="AX145" s="158" t="n">
        <f aca="false">IF(AX6=Assumption!$E$22,Assumption!$E$268,0)</f>
        <v>0</v>
      </c>
      <c r="AY145" s="158" t="n">
        <f aca="false">IF(AY6=Assumption!$E$22,Assumption!$E$268,0)</f>
        <v>0</v>
      </c>
      <c r="AZ145" s="158" t="n">
        <f aca="false">IF(AZ6=Assumption!$E$22,Assumption!$E$268,0)</f>
        <v>0</v>
      </c>
      <c r="BA145" s="158" t="n">
        <f aca="false">IF(BA6=Assumption!$E$22,Assumption!$E$268,0)</f>
        <v>0</v>
      </c>
      <c r="BB145" s="158" t="n">
        <f aca="false">IF(BB6=Assumption!$E$22,Assumption!$E$268,0)</f>
        <v>0</v>
      </c>
      <c r="BC145" s="158" t="n">
        <f aca="false">IF(BC6=Assumption!$E$22,Assumption!$E$268,0)</f>
        <v>0</v>
      </c>
      <c r="BD145" s="158" t="n">
        <f aca="false">IF(BD6=Assumption!$E$22,Assumption!$E$268,0)</f>
        <v>0</v>
      </c>
      <c r="BE145" s="158" t="n">
        <f aca="false">IF(BE6=Assumption!$E$22,Assumption!$E$268,0)</f>
        <v>0</v>
      </c>
      <c r="BF145" s="158" t="n">
        <f aca="false">IF(BF6=Assumption!$E$22,Assumption!$E$268,0)</f>
        <v>0</v>
      </c>
      <c r="BG145" s="158" t="n">
        <f aca="false">IF(BG6=Assumption!$E$22,Assumption!$E$268,0)</f>
        <v>0</v>
      </c>
      <c r="BH145" s="158" t="n">
        <f aca="false">IF(BH6=Assumption!$E$22,Assumption!$E$268,0)</f>
        <v>0</v>
      </c>
      <c r="BI145" s="158" t="n">
        <f aca="false">IF(BI6=Assumption!$E$22,Assumption!$E$268,0)</f>
        <v>0</v>
      </c>
      <c r="BJ145" s="158" t="n">
        <f aca="false">IF(BJ6=Assumption!$E$22,Assumption!$E$268,0)</f>
        <v>0</v>
      </c>
      <c r="BK145" s="158" t="n">
        <f aca="false">IF(BK6=Assumption!$E$22,Assumption!$E$268,0)</f>
        <v>0</v>
      </c>
      <c r="BL145" s="158" t="n">
        <f aca="false">IF(BL6=Assumption!$E$22,Assumption!$E$268,0)</f>
        <v>0</v>
      </c>
      <c r="BM145" s="158" t="n">
        <f aca="false">IF(BM6=Assumption!$E$22,Assumption!$E$268,0)</f>
        <v>0</v>
      </c>
      <c r="BN145" s="158" t="n">
        <f aca="false">IF(BN6=Assumption!$E$22,Assumption!$E$268,0)</f>
        <v>0</v>
      </c>
      <c r="BO145" s="158" t="n">
        <f aca="false">IF(BO6=Assumption!$E$22,Assumption!$E$268,0)</f>
        <v>0</v>
      </c>
      <c r="BP145" s="158" t="n">
        <f aca="false">IF(BP6=Assumption!$E$22,Assumption!$E$268,0)</f>
        <v>0</v>
      </c>
      <c r="BQ145" s="158" t="n">
        <f aca="false">IF(BQ6=Assumption!$E$22,Assumption!$E$268,0)</f>
        <v>0</v>
      </c>
      <c r="BR145" s="158" t="n">
        <f aca="false">IF(BR6=Assumption!$E$22,Assumption!$E$268,0)</f>
        <v>0</v>
      </c>
      <c r="BS145" s="158" t="n">
        <f aca="false">IF(BS6=Assumption!$E$22,Assumption!$E$268,0)</f>
        <v>0</v>
      </c>
      <c r="BT145" s="158" t="n">
        <f aca="false">IF(BT6=Assumption!$E$22,Assumption!$E$268,0)</f>
        <v>0</v>
      </c>
      <c r="BU145" s="158" t="n">
        <f aca="false">IF(BU6=Assumption!$E$22,Assumption!$E$268,0)</f>
        <v>0</v>
      </c>
      <c r="BV145" s="158" t="n">
        <f aca="false">IF(BV6=Assumption!$E$22,Assumption!$E$268,0)</f>
        <v>0</v>
      </c>
      <c r="BW145" s="158" t="n">
        <f aca="false">IF(BW6=Assumption!$E$22,Assumption!$E$268,0)</f>
        <v>0</v>
      </c>
      <c r="BX145" s="158" t="n">
        <f aca="false">IF(BX6=Assumption!$E$22,Assumption!$E$268,0)</f>
        <v>0</v>
      </c>
      <c r="BY145" s="158" t="n">
        <f aca="false">IF(BY6=Assumption!$E$22,Assumption!$E$268,0)</f>
        <v>0</v>
      </c>
      <c r="BZ145" s="158" t="n">
        <f aca="false">IF(BZ6=Assumption!$E$22,Assumption!$E$268,0)</f>
        <v>0</v>
      </c>
      <c r="CA145" s="158" t="n">
        <f aca="false">IF(CA6=Assumption!$E$22,Assumption!$E$268,0)</f>
        <v>0</v>
      </c>
      <c r="CB145" s="158" t="n">
        <f aca="false">IF(CB6=Assumption!$E$22,Assumption!$E$268,0)</f>
        <v>0</v>
      </c>
      <c r="CC145" s="158" t="n">
        <f aca="false">IF(CC6=Assumption!$E$22,Assumption!$E$268,0)</f>
        <v>0</v>
      </c>
      <c r="CD145" s="158" t="n">
        <f aca="false">IF(CD6=Assumption!$E$22,Assumption!$E$268,0)</f>
        <v>0</v>
      </c>
      <c r="CE145" s="158" t="n">
        <f aca="false">IF(CE6=Assumption!$E$22,Assumption!$E$268,0)</f>
        <v>0</v>
      </c>
      <c r="CF145" s="158" t="n">
        <f aca="false">IF(CF6=Assumption!$E$22,Assumption!$E$268,0)</f>
        <v>0</v>
      </c>
      <c r="CG145" s="158" t="n">
        <f aca="false">IF(CG6=Assumption!$E$22,Assumption!$E$268,0)</f>
        <v>0</v>
      </c>
      <c r="CH145" s="158" t="n">
        <f aca="false">IF(CH6=Assumption!$E$22,Assumption!$E$268,0)</f>
        <v>0</v>
      </c>
      <c r="CI145" s="158" t="n">
        <f aca="false">IF(CI6=Assumption!$E$22,Assumption!$E$268,0)</f>
        <v>0</v>
      </c>
      <c r="CJ145" s="158" t="n">
        <f aca="false">IF(CJ6=Assumption!$E$22,Assumption!$E$268,0)</f>
        <v>0</v>
      </c>
      <c r="CK145" s="158" t="n">
        <f aca="false">IF(CK6=Assumption!$E$22,Assumption!$E$268,0)</f>
        <v>0</v>
      </c>
      <c r="CL145" s="158" t="n">
        <f aca="false">IF(CL6=Assumption!$E$22,Assumption!$E$268,0)</f>
        <v>0</v>
      </c>
      <c r="CM145" s="158" t="n">
        <f aca="false">IF(CM6=Assumption!$E$22,Assumption!$E$268,0)</f>
        <v>0</v>
      </c>
      <c r="CN145" s="158" t="n">
        <f aca="false">IF(CN6=Assumption!$E$22,Assumption!$E$268,0)</f>
        <v>0</v>
      </c>
      <c r="CO145" s="158" t="n">
        <f aca="false">IF(CO6=Assumption!$E$22,Assumption!$E$268,0)</f>
        <v>0</v>
      </c>
      <c r="CP145" s="158" t="n">
        <f aca="false">IF(CP6=Assumption!$E$22,Assumption!$E$268,0)</f>
        <v>0</v>
      </c>
      <c r="CQ145" s="158" t="n">
        <f aca="false">IF(CQ6=Assumption!$E$22,Assumption!$E$268,0)</f>
        <v>0</v>
      </c>
      <c r="CR145" s="158" t="n">
        <f aca="false">IF(CR6=Assumption!$E$22,Assumption!$E$268,0)</f>
        <v>0</v>
      </c>
      <c r="CS145" s="158" t="n">
        <f aca="false">IF(CS6=Assumption!$E$22,Assumption!$E$268,0)</f>
        <v>0</v>
      </c>
      <c r="CT145" s="158" t="n">
        <f aca="false">IF(CT6=Assumption!$E$22,Assumption!$E$268,0)</f>
        <v>0</v>
      </c>
      <c r="CU145" s="158" t="n">
        <f aca="false">IF(CU6=Assumption!$E$22,Assumption!$E$268,0)</f>
        <v>0</v>
      </c>
      <c r="CV145" s="158" t="n">
        <f aca="false">IF(CV6=Assumption!$E$22,Assumption!$E$268,0)</f>
        <v>0</v>
      </c>
      <c r="CW145" s="158" t="n">
        <f aca="false">IF(CW6=Assumption!$E$22,Assumption!$E$268,0)</f>
        <v>0</v>
      </c>
      <c r="CX145" s="158" t="n">
        <f aca="false">IF(CX6=Assumption!$E$22,Assumption!$E$268,0)</f>
        <v>0</v>
      </c>
      <c r="CY145" s="158" t="n">
        <f aca="false">IF(CY6=Assumption!$E$22,Assumption!$E$268,0)</f>
        <v>0</v>
      </c>
      <c r="CZ145" s="158" t="n">
        <f aca="false">IF(CZ6=Assumption!$E$22,Assumption!$E$268,0)</f>
        <v>0</v>
      </c>
      <c r="DA145" s="158" t="n">
        <f aca="false">IF(DA6=Assumption!$E$22,Assumption!$E$268,0)</f>
        <v>0</v>
      </c>
      <c r="DB145" s="158" t="n">
        <f aca="false">IF(DB6=Assumption!$E$22,Assumption!$E$268,0)</f>
        <v>0</v>
      </c>
      <c r="DC145" s="158" t="n">
        <f aca="false">IF(DC6=Assumption!$E$22,Assumption!$E$268,0)</f>
        <v>0</v>
      </c>
      <c r="DD145" s="158" t="n">
        <f aca="false">IF(DD6=Assumption!$E$22,Assumption!$E$268,0)</f>
        <v>0</v>
      </c>
      <c r="DE145" s="158" t="n">
        <f aca="false">IF(DE6=Assumption!$E$22,Assumption!$E$268,0)</f>
        <v>0</v>
      </c>
      <c r="DF145" s="158" t="n">
        <f aca="false">IF(DF6=Assumption!$E$22,Assumption!$E$268,0)</f>
        <v>0</v>
      </c>
      <c r="DG145" s="158" t="n">
        <f aca="false">IF(DG6=Assumption!$E$22,Assumption!$E$268,0)</f>
        <v>0</v>
      </c>
      <c r="DH145" s="158" t="n">
        <f aca="false">IF(DH6=Assumption!$E$22,Assumption!$E$268,0)</f>
        <v>0</v>
      </c>
      <c r="DI145" s="158" t="n">
        <f aca="false">IF(DI6=Assumption!$E$22,Assumption!$E$268,0)</f>
        <v>0</v>
      </c>
      <c r="DJ145" s="158" t="n">
        <f aca="false">IF(DJ6=Assumption!$E$22,Assumption!$E$268,0)</f>
        <v>0</v>
      </c>
      <c r="DK145" s="158" t="n">
        <f aca="false">IF(DK6=Assumption!$E$22,Assumption!$E$268,0)</f>
        <v>0</v>
      </c>
      <c r="DL145" s="158" t="n">
        <f aca="false">IF(DL6=Assumption!$E$22,Assumption!$E$268,0)</f>
        <v>0</v>
      </c>
      <c r="DM145" s="158" t="n">
        <f aca="false">IF(DM6=Assumption!$E$22,Assumption!$E$268,0)</f>
        <v>0</v>
      </c>
      <c r="DN145" s="158" t="n">
        <f aca="false">IF(DN6=Assumption!$E$22,Assumption!$E$268,0)</f>
        <v>0</v>
      </c>
      <c r="DO145" s="158" t="n">
        <f aca="false">IF(DO6=Assumption!$E$22,Assumption!$E$268,0)</f>
        <v>0</v>
      </c>
      <c r="DP145" s="158" t="n">
        <f aca="false">IF(DP6=Assumption!$E$22,Assumption!$E$268,0)</f>
        <v>0</v>
      </c>
      <c r="DQ145" s="158" t="n">
        <f aca="false">IF(DQ6=Assumption!$E$22,Assumption!$E$268,0)</f>
        <v>0</v>
      </c>
      <c r="DR145" s="158" t="n">
        <f aca="false">IF(DR6=Assumption!$E$22,Assumption!$E$268,0)</f>
        <v>0</v>
      </c>
      <c r="DS145" s="158" t="n">
        <f aca="false">IF(DS6=Assumption!$E$22,Assumption!$E$268,0)</f>
        <v>0</v>
      </c>
      <c r="DT145" s="158" t="n">
        <f aca="false">IF(DT6=Assumption!$E$22,Assumption!$E$268,0)</f>
        <v>1824235.87564974</v>
      </c>
      <c r="DU145" s="158" t="n">
        <f aca="false">IF(DU6=Assumption!$E$22,Assumption!$E$268,0)</f>
        <v>0</v>
      </c>
      <c r="DV145" s="158" t="n">
        <f aca="false">IF(DV6=Assumption!$E$22,Assumption!$E$268,0)</f>
        <v>0</v>
      </c>
      <c r="DW145" s="158" t="n">
        <f aca="false">IF(DW6=Assumption!$E$22,Assumption!$E$268,0)</f>
        <v>0</v>
      </c>
      <c r="DX145" s="158" t="n">
        <f aca="false">IF(DX6=Assumption!$E$22,Assumption!$E$268,0)</f>
        <v>0</v>
      </c>
      <c r="DY145" s="158" t="n">
        <f aca="false">IF(DY6=Assumption!$E$22,Assumption!$E$268,0)</f>
        <v>0</v>
      </c>
      <c r="DZ145" s="158" t="n">
        <f aca="false">IF(DZ6=Assumption!$E$22,Assumption!$E$268,0)</f>
        <v>0</v>
      </c>
      <c r="EA145" s="158" t="n">
        <f aca="false">IF(EA6=Assumption!$E$22,Assumption!$E$268,0)</f>
        <v>0</v>
      </c>
      <c r="EB145" s="158" t="n">
        <f aca="false">IF(EB6=Assumption!$E$22,Assumption!$E$268,0)</f>
        <v>0</v>
      </c>
      <c r="EC145" s="158" t="n">
        <f aca="false">IF(EC6=Assumption!$E$22,Assumption!$E$268,0)</f>
        <v>0</v>
      </c>
      <c r="ED145" s="158" t="n">
        <f aca="false">IF(ED6=Assumption!$E$22,Assumption!$E$268,0)</f>
        <v>0</v>
      </c>
      <c r="EE145" s="158" t="n">
        <f aca="false">IF(EE6=Assumption!$E$22,Assumption!$E$268,0)</f>
        <v>0</v>
      </c>
      <c r="EF145" s="158" t="n">
        <f aca="false">IF(EF6=Assumption!$E$22,Assumption!$E$268,0)</f>
        <v>0</v>
      </c>
    </row>
    <row r="147" customFormat="false" ht="15" hidden="false" customHeight="false" outlineLevel="0" collapsed="false">
      <c r="A147" s="176" t="s">
        <v>597</v>
      </c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  <c r="BL147" s="86"/>
      <c r="BM147" s="86"/>
      <c r="BN147" s="86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86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  <c r="DB147" s="86"/>
      <c r="DC147" s="86"/>
      <c r="DD147" s="86"/>
      <c r="DE147" s="86"/>
      <c r="DF147" s="86"/>
      <c r="DG147" s="86"/>
      <c r="DH147" s="86"/>
      <c r="DI147" s="86"/>
      <c r="DJ147" s="86"/>
      <c r="DK147" s="86"/>
      <c r="DL147" s="86"/>
      <c r="DM147" s="86"/>
      <c r="DN147" s="86"/>
      <c r="DO147" s="86"/>
      <c r="DP147" s="86"/>
      <c r="DQ147" s="86"/>
      <c r="DR147" s="86"/>
      <c r="DS147" s="86"/>
      <c r="DT147" s="86"/>
      <c r="DU147" s="86"/>
      <c r="DV147" s="86"/>
      <c r="DW147" s="86"/>
      <c r="DX147" s="86"/>
      <c r="DY147" s="86"/>
      <c r="DZ147" s="86"/>
      <c r="EA147" s="86"/>
      <c r="EB147" s="86"/>
      <c r="EC147" s="86"/>
      <c r="ED147" s="86"/>
      <c r="EE147" s="86"/>
      <c r="EF147" s="86"/>
    </row>
    <row r="148" customFormat="false" ht="15" hidden="false" customHeight="false" outlineLevel="0" collapsed="false">
      <c r="A148" s="35" t="s">
        <v>598</v>
      </c>
      <c r="B148" s="241" t="s">
        <v>116</v>
      </c>
      <c r="E148" s="158" t="n">
        <f aca="false">0</f>
        <v>0</v>
      </c>
      <c r="F148" s="158" t="n">
        <f aca="false">E159</f>
        <v>13781.8916972522</v>
      </c>
      <c r="G148" s="158" t="n">
        <f aca="false">F159</f>
        <v>13723.3869335295</v>
      </c>
      <c r="H148" s="158" t="n">
        <f aca="false">G159</f>
        <v>13664.7359078975</v>
      </c>
      <c r="I148" s="158" t="n">
        <f aca="false">H159</f>
        <v>2605.93825470144</v>
      </c>
      <c r="J148" s="158" t="n">
        <f aca="false">I159</f>
        <v>2519.49360737239</v>
      </c>
      <c r="K148" s="158" t="n">
        <f aca="false">J159</f>
        <v>2432.83284842502</v>
      </c>
      <c r="L148" s="158" t="n">
        <f aca="false">K159</f>
        <v>2345.95543758027</v>
      </c>
      <c r="M148" s="158" t="n">
        <f aca="false">L159</f>
        <v>2258.86083320842</v>
      </c>
      <c r="N148" s="158" t="n">
        <f aca="false">M159</f>
        <v>2171.54849232563</v>
      </c>
      <c r="O148" s="158" t="n">
        <f aca="false">N159</f>
        <v>2084.01787059064</v>
      </c>
      <c r="P148" s="158" t="n">
        <f aca="false">O159</f>
        <v>1996.26842230131</v>
      </c>
      <c r="Q148" s="158" t="n">
        <f aca="false">P159</f>
        <v>1908.29960039126</v>
      </c>
      <c r="R148" s="158" t="n">
        <f aca="false">Q159</f>
        <v>69880.2708564264</v>
      </c>
      <c r="S148" s="158" t="n">
        <f aca="false">R159</f>
        <v>69962.0120406017</v>
      </c>
      <c r="T148" s="158" t="n">
        <f aca="false">S159</f>
        <v>70043.9575777374</v>
      </c>
      <c r="U148" s="158" t="n">
        <f aca="false">T159</f>
        <v>70126.1079787159</v>
      </c>
      <c r="V148" s="158" t="n">
        <f aca="false">U159</f>
        <v>70208.4637556969</v>
      </c>
      <c r="W148" s="158" t="n">
        <f aca="false">V159</f>
        <v>70291.0254221204</v>
      </c>
      <c r="X148" s="158" t="n">
        <f aca="false">W159</f>
        <v>101558.248520083</v>
      </c>
      <c r="Y148" s="158" t="n">
        <f aca="false">X159</f>
        <v>96062.8172763069</v>
      </c>
      <c r="Z148" s="158" t="n">
        <f aca="false">Y159</f>
        <v>87702.9610742074</v>
      </c>
      <c r="AA148" s="158" t="n">
        <f aca="false">Z159</f>
        <v>76511.5993653224</v>
      </c>
      <c r="AB148" s="158" t="n">
        <f aca="false">AA159</f>
        <v>62537.4519479104</v>
      </c>
      <c r="AC148" s="158" t="n">
        <f aca="false">AB159</f>
        <v>45844.7664196244</v>
      </c>
      <c r="AD148" s="158" t="n">
        <f aca="false">AC159</f>
        <v>162633.278792217</v>
      </c>
      <c r="AE148" s="158" t="n">
        <f aca="false">AD159</f>
        <v>141096.790078104</v>
      </c>
      <c r="AF148" s="158" t="n">
        <f aca="false">AE159</f>
        <v>117124.508085008</v>
      </c>
      <c r="AG148" s="158" t="n">
        <f aca="false">AF159</f>
        <v>90838.364482285</v>
      </c>
      <c r="AH148" s="158" t="n">
        <f aca="false">AG159</f>
        <v>62373.2006643614</v>
      </c>
      <c r="AI148" s="158" t="n">
        <f aca="false">AH159</f>
        <v>31876.013587142</v>
      </c>
      <c r="AJ148" s="158" t="n">
        <f aca="false">AI159</f>
        <v>500</v>
      </c>
      <c r="AK148" s="158" t="n">
        <f aca="false">AJ159</f>
        <v>500</v>
      </c>
      <c r="AL148" s="158" t="n">
        <f aca="false">AK159</f>
        <v>500</v>
      </c>
      <c r="AM148" s="158" t="n">
        <f aca="false">AL159</f>
        <v>500</v>
      </c>
      <c r="AN148" s="158" t="n">
        <f aca="false">AM159</f>
        <v>500</v>
      </c>
      <c r="AO148" s="158" t="n">
        <f aca="false">AN159</f>
        <v>500</v>
      </c>
      <c r="AP148" s="158" t="n">
        <f aca="false">AO159</f>
        <v>96049.1485362359</v>
      </c>
      <c r="AQ148" s="158" t="n">
        <f aca="false">AP159</f>
        <v>55287.1781061264</v>
      </c>
      <c r="AR148" s="158" t="n">
        <f aca="false">AQ159</f>
        <v>14207.8644218383</v>
      </c>
      <c r="AS148" s="158" t="n">
        <f aca="false">AR159</f>
        <v>500</v>
      </c>
      <c r="AT148" s="158" t="n">
        <f aca="false">AS159</f>
        <v>500</v>
      </c>
      <c r="AU148" s="158" t="n">
        <f aca="false">AT159</f>
        <v>500</v>
      </c>
      <c r="AV148" s="158" t="n">
        <f aca="false">AU159</f>
        <v>500</v>
      </c>
      <c r="AW148" s="158" t="n">
        <f aca="false">AV159</f>
        <v>500</v>
      </c>
      <c r="AX148" s="158" t="n">
        <f aca="false">AW159</f>
        <v>500</v>
      </c>
      <c r="AY148" s="158" t="n">
        <f aca="false">AX159</f>
        <v>500</v>
      </c>
      <c r="AZ148" s="158" t="n">
        <f aca="false">AY159</f>
        <v>500</v>
      </c>
      <c r="BA148" s="158" t="n">
        <f aca="false">AZ159</f>
        <v>500</v>
      </c>
      <c r="BB148" s="158" t="n">
        <f aca="false">BA159</f>
        <v>102916.409197014</v>
      </c>
      <c r="BC148" s="158" t="n">
        <f aca="false">BB159</f>
        <v>71429.3997667721</v>
      </c>
      <c r="BD148" s="158" t="n">
        <f aca="false">BC159</f>
        <v>41976.977669148</v>
      </c>
      <c r="BE148" s="158" t="n">
        <f aca="false">BD159</f>
        <v>14704.8554209242</v>
      </c>
      <c r="BF148" s="158" t="n">
        <f aca="false">BE159</f>
        <v>500</v>
      </c>
      <c r="BG148" s="158" t="n">
        <f aca="false">BF159</f>
        <v>500</v>
      </c>
      <c r="BH148" s="158" t="n">
        <f aca="false">BG159</f>
        <v>500</v>
      </c>
      <c r="BI148" s="158" t="n">
        <f aca="false">BH159</f>
        <v>500</v>
      </c>
      <c r="BJ148" s="158" t="n">
        <f aca="false">BI159</f>
        <v>500</v>
      </c>
      <c r="BK148" s="158" t="n">
        <f aca="false">BJ159</f>
        <v>500</v>
      </c>
      <c r="BL148" s="158" t="n">
        <f aca="false">BK159</f>
        <v>500</v>
      </c>
      <c r="BM148" s="158" t="n">
        <f aca="false">BL159</f>
        <v>83893.5155897173</v>
      </c>
      <c r="BN148" s="158" t="n">
        <f aca="false">BM159</f>
        <v>288275.68654024</v>
      </c>
      <c r="BO148" s="158" t="n">
        <f aca="false">BN159</f>
        <v>288275.686540239</v>
      </c>
      <c r="BP148" s="158" t="n">
        <f aca="false">BO159</f>
        <v>288275.686540239</v>
      </c>
      <c r="BQ148" s="158" t="n">
        <f aca="false">BP159</f>
        <v>288275.686540239</v>
      </c>
      <c r="BR148" s="158" t="n">
        <f aca="false">BQ159</f>
        <v>288275.686540239</v>
      </c>
      <c r="BS148" s="158" t="n">
        <f aca="false">BR159</f>
        <v>288275.686540239</v>
      </c>
      <c r="BT148" s="158" t="n">
        <f aca="false">BS159</f>
        <v>288275.686540239</v>
      </c>
      <c r="BU148" s="158" t="n">
        <f aca="false">BT159</f>
        <v>288275.686540239</v>
      </c>
      <c r="BV148" s="158" t="n">
        <f aca="false">BU159</f>
        <v>288275.686540239</v>
      </c>
      <c r="BW148" s="158" t="n">
        <f aca="false">BV159</f>
        <v>288275.686540239</v>
      </c>
      <c r="BX148" s="158" t="n">
        <f aca="false">BW159</f>
        <v>288275.686540239</v>
      </c>
      <c r="BY148" s="158" t="n">
        <f aca="false">BX159</f>
        <v>288275.686540239</v>
      </c>
      <c r="BZ148" s="158" t="n">
        <f aca="false">BY159</f>
        <v>471626.086540239</v>
      </c>
      <c r="CA148" s="158" t="n">
        <f aca="false">BZ159</f>
        <v>471626.086540239</v>
      </c>
      <c r="CB148" s="158" t="n">
        <f aca="false">CA159</f>
        <v>471626.086540239</v>
      </c>
      <c r="CC148" s="158" t="n">
        <f aca="false">CB159</f>
        <v>471626.086540239</v>
      </c>
      <c r="CD148" s="158" t="n">
        <f aca="false">CC159</f>
        <v>471626.086540239</v>
      </c>
      <c r="CE148" s="158" t="n">
        <f aca="false">CD159</f>
        <v>471626.086540239</v>
      </c>
      <c r="CF148" s="158" t="n">
        <f aca="false">CE159</f>
        <v>471626.08654024</v>
      </c>
      <c r="CG148" s="158" t="n">
        <f aca="false">CF159</f>
        <v>471626.08654024</v>
      </c>
      <c r="CH148" s="158" t="n">
        <f aca="false">CG159</f>
        <v>471626.08654024</v>
      </c>
      <c r="CI148" s="158" t="n">
        <f aca="false">CH159</f>
        <v>471626.08654024</v>
      </c>
      <c r="CJ148" s="158" t="n">
        <f aca="false">CI159</f>
        <v>471626.08654024</v>
      </c>
      <c r="CK148" s="158" t="n">
        <f aca="false">CJ159</f>
        <v>471626.08654024</v>
      </c>
      <c r="CL148" s="158" t="n">
        <f aca="false">CK159</f>
        <v>484826.08654024</v>
      </c>
      <c r="CM148" s="158" t="n">
        <f aca="false">CL159</f>
        <v>484826.08654024</v>
      </c>
      <c r="CN148" s="158" t="n">
        <f aca="false">CM159</f>
        <v>484826.08654024</v>
      </c>
      <c r="CO148" s="158" t="n">
        <f aca="false">CN159</f>
        <v>484826.08654024</v>
      </c>
      <c r="CP148" s="158" t="n">
        <f aca="false">CO159</f>
        <v>484826.08654024</v>
      </c>
      <c r="CQ148" s="158" t="n">
        <f aca="false">CP159</f>
        <v>484826.08654024</v>
      </c>
      <c r="CR148" s="158" t="n">
        <f aca="false">CQ159</f>
        <v>484826.08654024</v>
      </c>
      <c r="CS148" s="158" t="n">
        <f aca="false">CR159</f>
        <v>484826.08654024</v>
      </c>
      <c r="CT148" s="158" t="n">
        <f aca="false">CS159</f>
        <v>484826.08654024</v>
      </c>
      <c r="CU148" s="158" t="n">
        <f aca="false">CT159</f>
        <v>484826.08654024</v>
      </c>
      <c r="CV148" s="158" t="n">
        <f aca="false">CU159</f>
        <v>484826.08654024</v>
      </c>
      <c r="CW148" s="158" t="n">
        <f aca="false">CV159</f>
        <v>484826.08654024</v>
      </c>
      <c r="CX148" s="158" t="n">
        <f aca="false">CW159</f>
        <v>484826.08654024</v>
      </c>
      <c r="CY148" s="158" t="n">
        <f aca="false">CX159</f>
        <v>484826.08654024</v>
      </c>
      <c r="CZ148" s="158" t="n">
        <f aca="false">CY159</f>
        <v>484826.08654024</v>
      </c>
      <c r="DA148" s="158" t="n">
        <f aca="false">CZ159</f>
        <v>484826.08654024</v>
      </c>
      <c r="DB148" s="158" t="n">
        <f aca="false">DA159</f>
        <v>484826.08654024</v>
      </c>
      <c r="DC148" s="158" t="n">
        <f aca="false">DB159</f>
        <v>484826.08654024</v>
      </c>
      <c r="DD148" s="158" t="n">
        <f aca="false">DC159</f>
        <v>484826.08654024</v>
      </c>
      <c r="DE148" s="158" t="n">
        <f aca="false">DD159</f>
        <v>484826.08654024</v>
      </c>
      <c r="DF148" s="158" t="n">
        <f aca="false">DE159</f>
        <v>484826.08654024</v>
      </c>
      <c r="DG148" s="158" t="n">
        <f aca="false">DF159</f>
        <v>484826.08654024</v>
      </c>
      <c r="DH148" s="158" t="n">
        <f aca="false">DG159</f>
        <v>484826.08654024</v>
      </c>
      <c r="DI148" s="158" t="n">
        <f aca="false">DH159</f>
        <v>484826.08654024</v>
      </c>
      <c r="DJ148" s="158" t="n">
        <f aca="false">DI159</f>
        <v>484826.08654024</v>
      </c>
      <c r="DK148" s="158" t="n">
        <f aca="false">DJ159</f>
        <v>484826.08654024</v>
      </c>
      <c r="DL148" s="158" t="n">
        <f aca="false">DK159</f>
        <v>484826.08654024</v>
      </c>
      <c r="DM148" s="158" t="n">
        <f aca="false">DL159</f>
        <v>484826.08654024</v>
      </c>
      <c r="DN148" s="158" t="n">
        <f aca="false">DM159</f>
        <v>484826.08654024</v>
      </c>
      <c r="DO148" s="158" t="n">
        <f aca="false">DN159</f>
        <v>484826.08654024</v>
      </c>
      <c r="DP148" s="158" t="n">
        <f aca="false">DO159</f>
        <v>484826.08654024</v>
      </c>
      <c r="DQ148" s="158" t="n">
        <f aca="false">DP159</f>
        <v>484826.08654024</v>
      </c>
      <c r="DR148" s="158" t="n">
        <f aca="false">DQ159</f>
        <v>484826.08654024</v>
      </c>
      <c r="DS148" s="158" t="n">
        <f aca="false">DR159</f>
        <v>484826.08654024</v>
      </c>
      <c r="DT148" s="158" t="n">
        <f aca="false">DS159</f>
        <v>484826.08654024</v>
      </c>
      <c r="DU148" s="158" t="n">
        <f aca="false">DT159</f>
        <v>600549.464905738</v>
      </c>
      <c r="DV148" s="158" t="n">
        <f aca="false">DU159</f>
        <v>601940.743684628</v>
      </c>
      <c r="DW148" s="158" t="n">
        <f aca="false">DV159</f>
        <v>603335.500660465</v>
      </c>
      <c r="DX148" s="158" t="n">
        <f aca="false">DW159</f>
        <v>0</v>
      </c>
      <c r="DY148" s="158" t="n">
        <f aca="false">DX159</f>
        <v>0</v>
      </c>
      <c r="DZ148" s="158" t="n">
        <f aca="false">DY159</f>
        <v>0</v>
      </c>
      <c r="EA148" s="158" t="n">
        <f aca="false">DZ159</f>
        <v>0</v>
      </c>
      <c r="EB148" s="158" t="n">
        <f aca="false">EA159</f>
        <v>0</v>
      </c>
      <c r="EC148" s="158" t="n">
        <f aca="false">EB159</f>
        <v>0</v>
      </c>
      <c r="ED148" s="158" t="n">
        <f aca="false">EC159</f>
        <v>0</v>
      </c>
      <c r="EE148" s="158" t="n">
        <f aca="false">ED159</f>
        <v>0</v>
      </c>
      <c r="EF148" s="158" t="n">
        <f aca="false">EE159</f>
        <v>0</v>
      </c>
    </row>
    <row r="149" customFormat="false" ht="15" hidden="false" customHeight="false" outlineLevel="0" collapsed="false">
      <c r="A149" s="35" t="s">
        <v>599</v>
      </c>
      <c r="B149" s="241" t="s">
        <v>116</v>
      </c>
      <c r="C149" s="242" t="n">
        <f aca="false">SUM(E149:EF149)</f>
        <v>74857.9760791555</v>
      </c>
      <c r="E149" s="158" t="n">
        <f aca="false">MAX(0,E148)*Assumption!$D$537/12</f>
        <v>0</v>
      </c>
      <c r="F149" s="158" t="n">
        <f aca="false">MAX(0,F148)*Assumption!$D$537/12</f>
        <v>34.4547292431304</v>
      </c>
      <c r="G149" s="158" t="n">
        <f aca="false">MAX(0,G148)*Assumption!$D$537/12</f>
        <v>34.3084673338237</v>
      </c>
      <c r="H149" s="158" t="n">
        <f aca="false">MAX(0,H148)*Assumption!$D$537/12</f>
        <v>34.1618397697438</v>
      </c>
      <c r="I149" s="158" t="n">
        <f aca="false">MAX(0,I148)*Assumption!$D$537/12</f>
        <v>6.5148456367536</v>
      </c>
      <c r="J149" s="158" t="n">
        <f aca="false">MAX(0,J148)*Assumption!$D$537/12</f>
        <v>6.29873401843097</v>
      </c>
      <c r="K149" s="158" t="n">
        <f aca="false">MAX(0,K148)*Assumption!$D$537/12</f>
        <v>6.08208212106254</v>
      </c>
      <c r="L149" s="158" t="n">
        <f aca="false">MAX(0,L148)*Assumption!$D$537/12</f>
        <v>5.86488859395068</v>
      </c>
      <c r="M149" s="158" t="n">
        <f aca="false">MAX(0,M148)*Assumption!$D$537/12</f>
        <v>5.64715208302105</v>
      </c>
      <c r="N149" s="158" t="n">
        <f aca="false">MAX(0,N148)*Assumption!$D$537/12</f>
        <v>5.42887123081409</v>
      </c>
      <c r="O149" s="158" t="n">
        <f aca="false">MAX(0,O148)*Assumption!$D$537/12</f>
        <v>5.21004467647661</v>
      </c>
      <c r="P149" s="158" t="n">
        <f aca="false">MAX(0,P148)*Assumption!$D$537/12</f>
        <v>4.99067105575329</v>
      </c>
      <c r="Q149" s="158" t="n">
        <f aca="false">MAX(0,Q148)*Assumption!$D$537/12</f>
        <v>4.77074900097816</v>
      </c>
      <c r="R149" s="158" t="n">
        <f aca="false">MAX(0,R148)*Assumption!$D$537/12</f>
        <v>174.700677141066</v>
      </c>
      <c r="S149" s="158" t="n">
        <f aca="false">MAX(0,S148)*Assumption!$D$537/12</f>
        <v>174.905030101504</v>
      </c>
      <c r="T149" s="158" t="n">
        <f aca="false">MAX(0,T148)*Assumption!$D$537/12</f>
        <v>175.109893944344</v>
      </c>
      <c r="U149" s="158" t="n">
        <f aca="false">MAX(0,U148)*Assumption!$D$537/12</f>
        <v>175.31526994679</v>
      </c>
      <c r="V149" s="158" t="n">
        <f aca="false">MAX(0,V148)*Assumption!$D$537/12</f>
        <v>175.521159389242</v>
      </c>
      <c r="W149" s="158" t="n">
        <f aca="false">MAX(0,W148)*Assumption!$D$537/12</f>
        <v>175.727563555301</v>
      </c>
      <c r="X149" s="158" t="n">
        <f aca="false">MAX(0,X148)*Assumption!$D$537/12</f>
        <v>253.895621300208</v>
      </c>
      <c r="Y149" s="158" t="n">
        <f aca="false">MAX(0,Y148)*Assumption!$D$537/12</f>
        <v>240.157043190767</v>
      </c>
      <c r="Z149" s="158" t="n">
        <f aca="false">MAX(0,Z148)*Assumption!$D$537/12</f>
        <v>219.257402685518</v>
      </c>
      <c r="AA149" s="158" t="n">
        <f aca="false">MAX(0,AA148)*Assumption!$D$537/12</f>
        <v>191.278998413306</v>
      </c>
      <c r="AB149" s="158" t="n">
        <f aca="false">MAX(0,AB148)*Assumption!$D$537/12</f>
        <v>156.343629869776</v>
      </c>
      <c r="AC149" s="158" t="n">
        <f aca="false">MAX(0,AC148)*Assumption!$D$537/12</f>
        <v>114.611916049061</v>
      </c>
      <c r="AD149" s="158" t="n">
        <f aca="false">MAX(0,AD148)*Assumption!$D$537/12</f>
        <v>406.583196980542</v>
      </c>
      <c r="AE149" s="158" t="n">
        <f aca="false">MAX(0,AE148)*Assumption!$D$537/12</f>
        <v>352.74197519526</v>
      </c>
      <c r="AF149" s="158" t="n">
        <f aca="false">MAX(0,AF148)*Assumption!$D$537/12</f>
        <v>292.81127021252</v>
      </c>
      <c r="AG149" s="158" t="n">
        <f aca="false">MAX(0,AG148)*Assumption!$D$537/12</f>
        <v>227.095911205712</v>
      </c>
      <c r="AH149" s="158" t="n">
        <f aca="false">MAX(0,AH148)*Assumption!$D$537/12</f>
        <v>155.933001660904</v>
      </c>
      <c r="AI149" s="158" t="n">
        <f aca="false">MAX(0,AI148)*Assumption!$D$537/12</f>
        <v>79.6900339678551</v>
      </c>
      <c r="AJ149" s="158" t="n">
        <f aca="false">MAX(0,AJ148)*Assumption!$D$537/12</f>
        <v>1.25</v>
      </c>
      <c r="AK149" s="158" t="n">
        <f aca="false">MAX(0,AK148)*Assumption!$D$537/12</f>
        <v>1.25</v>
      </c>
      <c r="AL149" s="158" t="n">
        <f aca="false">MAX(0,AL148)*Assumption!$D$537/12</f>
        <v>1.25</v>
      </c>
      <c r="AM149" s="158" t="n">
        <f aca="false">MAX(0,AM148)*Assumption!$D$537/12</f>
        <v>1.25</v>
      </c>
      <c r="AN149" s="158" t="n">
        <f aca="false">MAX(0,AN148)*Assumption!$D$537/12</f>
        <v>1.25</v>
      </c>
      <c r="AO149" s="158" t="n">
        <f aca="false">MAX(0,AO148)*Assumption!$D$537/12</f>
        <v>1.25</v>
      </c>
      <c r="AP149" s="158" t="n">
        <f aca="false">MAX(0,AP148)*Assumption!$D$537/12</f>
        <v>240.12287134059</v>
      </c>
      <c r="AQ149" s="158" t="n">
        <f aca="false">MAX(0,AQ148)*Assumption!$D$537/12</f>
        <v>138.217945265316</v>
      </c>
      <c r="AR149" s="158" t="n">
        <f aca="false">MAX(0,AR148)*Assumption!$D$537/12</f>
        <v>35.5196610545957</v>
      </c>
      <c r="AS149" s="158" t="n">
        <f aca="false">MAX(0,AS148)*Assumption!$D$537/12</f>
        <v>1.25</v>
      </c>
      <c r="AT149" s="158" t="n">
        <f aca="false">MAX(0,AT148)*Assumption!$D$537/12</f>
        <v>1.25</v>
      </c>
      <c r="AU149" s="158" t="n">
        <f aca="false">MAX(0,AU148)*Assumption!$D$537/12</f>
        <v>1.25</v>
      </c>
      <c r="AV149" s="158" t="n">
        <f aca="false">MAX(0,AV148)*Assumption!$D$537/12</f>
        <v>1.25</v>
      </c>
      <c r="AW149" s="158" t="n">
        <f aca="false">MAX(0,AW148)*Assumption!$D$537/12</f>
        <v>1.25</v>
      </c>
      <c r="AX149" s="158" t="n">
        <f aca="false">MAX(0,AX148)*Assumption!$D$537/12</f>
        <v>1.25</v>
      </c>
      <c r="AY149" s="158" t="n">
        <f aca="false">MAX(0,AY148)*Assumption!$D$537/12</f>
        <v>1.25</v>
      </c>
      <c r="AZ149" s="158" t="n">
        <f aca="false">MAX(0,AZ148)*Assumption!$D$537/12</f>
        <v>1.25</v>
      </c>
      <c r="BA149" s="158" t="n">
        <f aca="false">MAX(0,BA148)*Assumption!$D$537/12</f>
        <v>1.25</v>
      </c>
      <c r="BB149" s="158" t="n">
        <f aca="false">MAX(0,BB148)*Assumption!$D$537/12</f>
        <v>257.291022992536</v>
      </c>
      <c r="BC149" s="158" t="n">
        <f aca="false">MAX(0,BC148)*Assumption!$D$537/12</f>
        <v>178.57349941693</v>
      </c>
      <c r="BD149" s="158" t="n">
        <f aca="false">MAX(0,BD148)*Assumption!$D$537/12</f>
        <v>104.94244417287</v>
      </c>
      <c r="BE149" s="158" t="n">
        <f aca="false">MAX(0,BE148)*Assumption!$D$537/12</f>
        <v>36.7621385523106</v>
      </c>
      <c r="BF149" s="158" t="n">
        <f aca="false">MAX(0,BF148)*Assumption!$D$537/12</f>
        <v>1.25</v>
      </c>
      <c r="BG149" s="158" t="n">
        <f aca="false">MAX(0,BG148)*Assumption!$D$537/12</f>
        <v>1.25</v>
      </c>
      <c r="BH149" s="158" t="n">
        <f aca="false">MAX(0,BH148)*Assumption!$D$537/12</f>
        <v>1.25</v>
      </c>
      <c r="BI149" s="158" t="n">
        <f aca="false">MAX(0,BI148)*Assumption!$D$537/12</f>
        <v>1.25</v>
      </c>
      <c r="BJ149" s="158" t="n">
        <f aca="false">MAX(0,BJ148)*Assumption!$D$537/12</f>
        <v>1.25</v>
      </c>
      <c r="BK149" s="158" t="n">
        <f aca="false">MAX(0,BK148)*Assumption!$D$537/12</f>
        <v>1.25</v>
      </c>
      <c r="BL149" s="158" t="n">
        <f aca="false">MAX(0,BL148)*Assumption!$D$537/12</f>
        <v>1.25</v>
      </c>
      <c r="BM149" s="158" t="n">
        <f aca="false">MAX(0,BM148)*Assumption!$D$537/12</f>
        <v>209.733788974293</v>
      </c>
      <c r="BN149" s="158" t="n">
        <f aca="false">MAX(0,BN148)*Assumption!$D$537/12</f>
        <v>720.689216350599</v>
      </c>
      <c r="BO149" s="158" t="n">
        <f aca="false">MAX(0,BO148)*Assumption!$D$537/12</f>
        <v>720.689216350599</v>
      </c>
      <c r="BP149" s="158" t="n">
        <f aca="false">MAX(0,BP148)*Assumption!$D$537/12</f>
        <v>720.689216350599</v>
      </c>
      <c r="BQ149" s="158" t="n">
        <f aca="false">MAX(0,BQ148)*Assumption!$D$537/12</f>
        <v>720.689216350599</v>
      </c>
      <c r="BR149" s="158" t="n">
        <f aca="false">MAX(0,BR148)*Assumption!$D$537/12</f>
        <v>720.689216350599</v>
      </c>
      <c r="BS149" s="158" t="n">
        <f aca="false">MAX(0,BS148)*Assumption!$D$537/12</f>
        <v>720.689216350599</v>
      </c>
      <c r="BT149" s="158" t="n">
        <f aca="false">MAX(0,BT148)*Assumption!$D$537/12</f>
        <v>720.689216350598</v>
      </c>
      <c r="BU149" s="158" t="n">
        <f aca="false">MAX(0,BU148)*Assumption!$D$537/12</f>
        <v>720.689216350598</v>
      </c>
      <c r="BV149" s="158" t="n">
        <f aca="false">MAX(0,BV148)*Assumption!$D$537/12</f>
        <v>720.689216350598</v>
      </c>
      <c r="BW149" s="158" t="n">
        <f aca="false">MAX(0,BW148)*Assumption!$D$537/12</f>
        <v>720.689216350598</v>
      </c>
      <c r="BX149" s="158" t="n">
        <f aca="false">MAX(0,BX148)*Assumption!$D$537/12</f>
        <v>720.689216350598</v>
      </c>
      <c r="BY149" s="158" t="n">
        <f aca="false">MAX(0,BY148)*Assumption!$D$537/12</f>
        <v>720.689216350598</v>
      </c>
      <c r="BZ149" s="158" t="n">
        <f aca="false">MAX(0,BZ148)*Assumption!$D$537/12</f>
        <v>1179.0652163506</v>
      </c>
      <c r="CA149" s="158" t="n">
        <f aca="false">MAX(0,CA148)*Assumption!$D$537/12</f>
        <v>1179.0652163506</v>
      </c>
      <c r="CB149" s="158" t="n">
        <f aca="false">MAX(0,CB148)*Assumption!$D$537/12</f>
        <v>1179.0652163506</v>
      </c>
      <c r="CC149" s="158" t="n">
        <f aca="false">MAX(0,CC148)*Assumption!$D$537/12</f>
        <v>1179.0652163506</v>
      </c>
      <c r="CD149" s="158" t="n">
        <f aca="false">MAX(0,CD148)*Assumption!$D$537/12</f>
        <v>1179.0652163506</v>
      </c>
      <c r="CE149" s="158" t="n">
        <f aca="false">MAX(0,CE148)*Assumption!$D$537/12</f>
        <v>1179.0652163506</v>
      </c>
      <c r="CF149" s="158" t="n">
        <f aca="false">MAX(0,CF148)*Assumption!$D$537/12</f>
        <v>1179.0652163506</v>
      </c>
      <c r="CG149" s="158" t="n">
        <f aca="false">MAX(0,CG148)*Assumption!$D$537/12</f>
        <v>1179.0652163506</v>
      </c>
      <c r="CH149" s="158" t="n">
        <f aca="false">MAX(0,CH148)*Assumption!$D$537/12</f>
        <v>1179.0652163506</v>
      </c>
      <c r="CI149" s="158" t="n">
        <f aca="false">MAX(0,CI148)*Assumption!$D$537/12</f>
        <v>1179.0652163506</v>
      </c>
      <c r="CJ149" s="158" t="n">
        <f aca="false">MAX(0,CJ148)*Assumption!$D$537/12</f>
        <v>1179.0652163506</v>
      </c>
      <c r="CK149" s="158" t="n">
        <f aca="false">MAX(0,CK148)*Assumption!$D$537/12</f>
        <v>1179.0652163506</v>
      </c>
      <c r="CL149" s="158" t="n">
        <f aca="false">MAX(0,CL148)*Assumption!$D$537/12</f>
        <v>1212.0652163506</v>
      </c>
      <c r="CM149" s="158" t="n">
        <f aca="false">MAX(0,CM148)*Assumption!$D$537/12</f>
        <v>1212.0652163506</v>
      </c>
      <c r="CN149" s="158" t="n">
        <f aca="false">MAX(0,CN148)*Assumption!$D$537/12</f>
        <v>1212.0652163506</v>
      </c>
      <c r="CO149" s="158" t="n">
        <f aca="false">MAX(0,CO148)*Assumption!$D$537/12</f>
        <v>1212.0652163506</v>
      </c>
      <c r="CP149" s="158" t="n">
        <f aca="false">MAX(0,CP148)*Assumption!$D$537/12</f>
        <v>1212.0652163506</v>
      </c>
      <c r="CQ149" s="158" t="n">
        <f aca="false">MAX(0,CQ148)*Assumption!$D$537/12</f>
        <v>1212.0652163506</v>
      </c>
      <c r="CR149" s="158" t="n">
        <f aca="false">MAX(0,CR148)*Assumption!$D$537/12</f>
        <v>1212.0652163506</v>
      </c>
      <c r="CS149" s="158" t="n">
        <f aca="false">MAX(0,CS148)*Assumption!$D$537/12</f>
        <v>1212.0652163506</v>
      </c>
      <c r="CT149" s="158" t="n">
        <f aca="false">MAX(0,CT148)*Assumption!$D$537/12</f>
        <v>1212.0652163506</v>
      </c>
      <c r="CU149" s="158" t="n">
        <f aca="false">MAX(0,CU148)*Assumption!$D$537/12</f>
        <v>1212.0652163506</v>
      </c>
      <c r="CV149" s="158" t="n">
        <f aca="false">MAX(0,CV148)*Assumption!$D$537/12</f>
        <v>1212.0652163506</v>
      </c>
      <c r="CW149" s="158" t="n">
        <f aca="false">MAX(0,CW148)*Assumption!$D$537/12</f>
        <v>1212.0652163506</v>
      </c>
      <c r="CX149" s="158" t="n">
        <f aca="false">MAX(0,CX148)*Assumption!$D$537/12</f>
        <v>1212.0652163506</v>
      </c>
      <c r="CY149" s="158" t="n">
        <f aca="false">MAX(0,CY148)*Assumption!$D$537/12</f>
        <v>1212.0652163506</v>
      </c>
      <c r="CZ149" s="158" t="n">
        <f aca="false">MAX(0,CZ148)*Assumption!$D$537/12</f>
        <v>1212.0652163506</v>
      </c>
      <c r="DA149" s="158" t="n">
        <f aca="false">MAX(0,DA148)*Assumption!$D$537/12</f>
        <v>1212.0652163506</v>
      </c>
      <c r="DB149" s="158" t="n">
        <f aca="false">MAX(0,DB148)*Assumption!$D$537/12</f>
        <v>1212.0652163506</v>
      </c>
      <c r="DC149" s="158" t="n">
        <f aca="false">MAX(0,DC148)*Assumption!$D$537/12</f>
        <v>1212.0652163506</v>
      </c>
      <c r="DD149" s="158" t="n">
        <f aca="false">MAX(0,DD148)*Assumption!$D$537/12</f>
        <v>1212.0652163506</v>
      </c>
      <c r="DE149" s="158" t="n">
        <f aca="false">MAX(0,DE148)*Assumption!$D$537/12</f>
        <v>1212.0652163506</v>
      </c>
      <c r="DF149" s="158" t="n">
        <f aca="false">MAX(0,DF148)*Assumption!$D$537/12</f>
        <v>1212.0652163506</v>
      </c>
      <c r="DG149" s="158" t="n">
        <f aca="false">MAX(0,DG148)*Assumption!$D$537/12</f>
        <v>1212.0652163506</v>
      </c>
      <c r="DH149" s="158" t="n">
        <f aca="false">MAX(0,DH148)*Assumption!$D$537/12</f>
        <v>1212.0652163506</v>
      </c>
      <c r="DI149" s="158" t="n">
        <f aca="false">MAX(0,DI148)*Assumption!$D$537/12</f>
        <v>1212.0652163506</v>
      </c>
      <c r="DJ149" s="158" t="n">
        <f aca="false">MAX(0,DJ148)*Assumption!$D$537/12</f>
        <v>1212.0652163506</v>
      </c>
      <c r="DK149" s="158" t="n">
        <f aca="false">MAX(0,DK148)*Assumption!$D$537/12</f>
        <v>1212.0652163506</v>
      </c>
      <c r="DL149" s="158" t="n">
        <f aca="false">MAX(0,DL148)*Assumption!$D$537/12</f>
        <v>1212.0652163506</v>
      </c>
      <c r="DM149" s="158" t="n">
        <f aca="false">MAX(0,DM148)*Assumption!$D$537/12</f>
        <v>1212.0652163506</v>
      </c>
      <c r="DN149" s="158" t="n">
        <f aca="false">MAX(0,DN148)*Assumption!$D$537/12</f>
        <v>1212.0652163506</v>
      </c>
      <c r="DO149" s="158" t="n">
        <f aca="false">MAX(0,DO148)*Assumption!$D$537/12</f>
        <v>1212.0652163506</v>
      </c>
      <c r="DP149" s="158" t="n">
        <f aca="false">MAX(0,DP148)*Assumption!$D$537/12</f>
        <v>1212.0652163506</v>
      </c>
      <c r="DQ149" s="158" t="n">
        <f aca="false">MAX(0,DQ148)*Assumption!$D$537/12</f>
        <v>1212.0652163506</v>
      </c>
      <c r="DR149" s="158" t="n">
        <f aca="false">MAX(0,DR148)*Assumption!$D$537/12</f>
        <v>1212.0652163506</v>
      </c>
      <c r="DS149" s="158" t="n">
        <f aca="false">MAX(0,DS148)*Assumption!$D$537/12</f>
        <v>1212.0652163506</v>
      </c>
      <c r="DT149" s="158" t="n">
        <f aca="false">MAX(0,DT148)*Assumption!$D$537/12</f>
        <v>1212.0652163506</v>
      </c>
      <c r="DU149" s="158" t="n">
        <f aca="false">MAX(0,DU148)*Assumption!$D$537/12</f>
        <v>1501.37366226434</v>
      </c>
      <c r="DV149" s="158" t="n">
        <f aca="false">MAX(0,DV148)*Assumption!$D$537/12</f>
        <v>1504.85185921157</v>
      </c>
      <c r="DW149" s="158" t="n">
        <f aca="false">MAX(0,DW148)*Assumption!$D$537/12</f>
        <v>1508.33875165116</v>
      </c>
      <c r="DX149" s="158" t="n">
        <f aca="false">MAX(0,DX148)*Assumption!$D$537/12</f>
        <v>0</v>
      </c>
      <c r="DY149" s="158" t="n">
        <f aca="false">MAX(0,DY148)*Assumption!$D$537/12</f>
        <v>0</v>
      </c>
      <c r="DZ149" s="158" t="n">
        <f aca="false">MAX(0,DZ148)*Assumption!$D$537/12</f>
        <v>0</v>
      </c>
      <c r="EA149" s="158" t="n">
        <f aca="false">MAX(0,EA148)*Assumption!$D$537/12</f>
        <v>0</v>
      </c>
      <c r="EB149" s="158" t="n">
        <f aca="false">MAX(0,EB148)*Assumption!$D$537/12</f>
        <v>0</v>
      </c>
      <c r="EC149" s="158" t="n">
        <f aca="false">MAX(0,EC148)*Assumption!$D$537/12</f>
        <v>0</v>
      </c>
      <c r="ED149" s="158" t="n">
        <f aca="false">MAX(0,ED148)*Assumption!$D$537/12</f>
        <v>0</v>
      </c>
      <c r="EE149" s="158" t="n">
        <f aca="false">MAX(0,EE148)*Assumption!$D$537/12</f>
        <v>0</v>
      </c>
      <c r="EF149" s="158" t="n">
        <f aca="false">MAX(0,EF148)*Assumption!$D$537/12</f>
        <v>0</v>
      </c>
    </row>
    <row r="150" customFormat="false" ht="15" hidden="false" customHeight="false" outlineLevel="0" collapsed="false">
      <c r="A150" s="35" t="s">
        <v>600</v>
      </c>
      <c r="B150" s="241" t="s">
        <v>116</v>
      </c>
      <c r="C150" s="242" t="n">
        <f aca="false">SUM(E150:EF150)</f>
        <v>4910958.83033959</v>
      </c>
      <c r="E150" s="158" t="n">
        <f aca="false">E142+E84+E41+E127+E134+E149+E145</f>
        <v>15820.1801474049</v>
      </c>
      <c r="F150" s="158" t="n">
        <f aca="false">F142+F84+F41+F127+F134+F149+F145</f>
        <v>34.4547292431304</v>
      </c>
      <c r="G150" s="158" t="n">
        <f aca="false">G142+G84+G41+G127+G134+G149+G145</f>
        <v>34.3084673338237</v>
      </c>
      <c r="H150" s="158" t="n">
        <f aca="false">H142+H84+H41+H127+H134+H149+H145</f>
        <v>34.1618397697438</v>
      </c>
      <c r="I150" s="158" t="n">
        <f aca="false">I142+I84+I41+I127+I134+I149+I145</f>
        <v>6.5148456367536</v>
      </c>
      <c r="J150" s="158" t="n">
        <f aca="false">J142+J84+J41+J127+J134+J149+J145</f>
        <v>6.29873401843097</v>
      </c>
      <c r="K150" s="158" t="n">
        <f aca="false">K142+K84+K41+K127+K134+K149+K145</f>
        <v>6.08208212106254</v>
      </c>
      <c r="L150" s="158" t="n">
        <f aca="false">L142+L84+L41+L127+L134+L149+L145</f>
        <v>5.86488859395068</v>
      </c>
      <c r="M150" s="158" t="n">
        <f aca="false">M142+M84+M41+M127+M134+M149+M145</f>
        <v>5.64715208302105</v>
      </c>
      <c r="N150" s="158" t="n">
        <f aca="false">N142+N84+N41+N127+N134+N149+N145</f>
        <v>5.42887123081409</v>
      </c>
      <c r="O150" s="158" t="n">
        <f aca="false">O142+O84+O41+O127+O134+O149+O145</f>
        <v>5.21004467647661</v>
      </c>
      <c r="P150" s="158" t="n">
        <f aca="false">P142+P84+P41+P127+P134+P149+P145</f>
        <v>4.99067105575329</v>
      </c>
      <c r="Q150" s="158" t="n">
        <f aca="false">Q142+Q84+Q41+Q127+Q134+Q149+Q145</f>
        <v>68064.930749001</v>
      </c>
      <c r="R150" s="158" t="n">
        <f aca="false">R142+R84+R41+R127+R134+R149+R145</f>
        <v>174.700677141066</v>
      </c>
      <c r="S150" s="158" t="n">
        <f aca="false">S142+S84+S41+S127+S134+S149+S145</f>
        <v>174.905030101504</v>
      </c>
      <c r="T150" s="158" t="n">
        <f aca="false">T142+T84+T41+T127+T134+T149+T145</f>
        <v>175.109893944344</v>
      </c>
      <c r="U150" s="158" t="n">
        <f aca="false">U142+U84+U41+U127+U134+U149+U145</f>
        <v>175.31526994679</v>
      </c>
      <c r="V150" s="158" t="n">
        <f aca="false">V142+V84+V41+V127+V134+V149+V145</f>
        <v>175.521159389242</v>
      </c>
      <c r="W150" s="158" t="n">
        <f aca="false">W142+W84+W41+W127+W134+W149+W145</f>
        <v>271733.933381726</v>
      </c>
      <c r="X150" s="158" t="n">
        <f aca="false">X142+X84+X41+X127+X134+X149+X145</f>
        <v>253.895621300208</v>
      </c>
      <c r="Y150" s="158" t="n">
        <f aca="false">Y142+Y84+Y41+Y127+Y134+Y149+Y145</f>
        <v>240.157043190767</v>
      </c>
      <c r="Z150" s="158" t="n">
        <f aca="false">Z142+Z84+Z41+Z127+Z134+Z149+Z145</f>
        <v>219.257402685518</v>
      </c>
      <c r="AA150" s="158" t="n">
        <f aca="false">AA142+AA84+AA41+AA127+AA134+AA149+AA145</f>
        <v>191.278998413306</v>
      </c>
      <c r="AB150" s="158" t="n">
        <f aca="false">AB142+AB84+AB41+AB127+AB134+AB149+AB145</f>
        <v>156.343629869776</v>
      </c>
      <c r="AC150" s="158" t="n">
        <f aca="false">AC142+AC84+AC41+AC127+AC134+AC149+AC145</f>
        <v>136234.931916049</v>
      </c>
      <c r="AD150" s="158" t="n">
        <f aca="false">AD142+AD84+AD41+AD127+AD134+AD149+AD145</f>
        <v>406.583196980542</v>
      </c>
      <c r="AE150" s="158" t="n">
        <f aca="false">AE142+AE84+AE41+AE127+AE134+AE149+AE145</f>
        <v>352.74197519526</v>
      </c>
      <c r="AF150" s="158" t="n">
        <f aca="false">AF142+AF84+AF41+AF127+AF134+AF149+AF145</f>
        <v>292.81127021252</v>
      </c>
      <c r="AG150" s="158" t="n">
        <f aca="false">AG142+AG84+AG41+AG127+AG134+AG149+AG145</f>
        <v>227.095911205712</v>
      </c>
      <c r="AH150" s="158" t="n">
        <f aca="false">AH142+AH84+AH41+AH127+AH134+AH149+AH145</f>
        <v>155.933001660904</v>
      </c>
      <c r="AI150" s="158" t="n">
        <f aca="false">AI142+AI84+AI41+AI127+AI134+AI149+AI145</f>
        <v>79.6900339678551</v>
      </c>
      <c r="AJ150" s="158" t="n">
        <f aca="false">AJ142+AJ84+AJ41+AJ127+AJ134+AJ149+AJ145</f>
        <v>1.25</v>
      </c>
      <c r="AK150" s="158" t="n">
        <f aca="false">AK142+AK84+AK41+AK127+AK134+AK149+AK145</f>
        <v>1.25</v>
      </c>
      <c r="AL150" s="158" t="n">
        <f aca="false">AL142+AL84+AL41+AL127+AL134+AL149+AL145</f>
        <v>1.25</v>
      </c>
      <c r="AM150" s="158" t="n">
        <f aca="false">AM142+AM84+AM41+AM127+AM134+AM149+AM145</f>
        <v>1.25</v>
      </c>
      <c r="AN150" s="158" t="n">
        <f aca="false">AN142+AN84+AN41+AN127+AN134+AN149+AN145</f>
        <v>1.25</v>
      </c>
      <c r="AO150" s="158" t="n">
        <f aca="false">AO142+AO84+AO41+AO127+AO134+AO149+AO145</f>
        <v>136121.57</v>
      </c>
      <c r="AP150" s="158" t="n">
        <f aca="false">AP142+AP84+AP41+AP127+AP134+AP149+AP145</f>
        <v>240.12287134059</v>
      </c>
      <c r="AQ150" s="158" t="n">
        <f aca="false">AQ142+AQ84+AQ41+AQ127+AQ134+AQ149+AQ145</f>
        <v>138.217945265316</v>
      </c>
      <c r="AR150" s="158" t="n">
        <f aca="false">AR142+AR84+AR41+AR127+AR134+AR149+AR145</f>
        <v>35.5196610545957</v>
      </c>
      <c r="AS150" s="158" t="n">
        <f aca="false">AS142+AS84+AS41+AS127+AS134+AS149+AS145</f>
        <v>1.25</v>
      </c>
      <c r="AT150" s="158" t="n">
        <f aca="false">AT142+AT84+AT41+AT127+AT134+AT149+AT145</f>
        <v>1.25</v>
      </c>
      <c r="AU150" s="158" t="n">
        <f aca="false">AU142+AU84+AU41+AU127+AU134+AU149+AU145</f>
        <v>1.25</v>
      </c>
      <c r="AV150" s="158" t="n">
        <f aca="false">AV142+AV84+AV41+AV127+AV134+AV149+AV145</f>
        <v>1.25</v>
      </c>
      <c r="AW150" s="158" t="n">
        <f aca="false">AW142+AW84+AW41+AW127+AW134+AW149+AW145</f>
        <v>1.25</v>
      </c>
      <c r="AX150" s="158" t="n">
        <f aca="false">AX142+AX84+AX41+AX127+AX134+AX149+AX145</f>
        <v>1.25</v>
      </c>
      <c r="AY150" s="158" t="n">
        <f aca="false">AY142+AY84+AY41+AY127+AY134+AY149+AY145</f>
        <v>1.25</v>
      </c>
      <c r="AZ150" s="158" t="n">
        <f aca="false">AZ142+AZ84+AZ41+AZ127+AZ134+AZ149+AZ145</f>
        <v>1.25</v>
      </c>
      <c r="BA150" s="158" t="n">
        <f aca="false">BA142+BA84+BA41+BA127+BA134+BA149+BA145</f>
        <v>136121.57</v>
      </c>
      <c r="BB150" s="158" t="n">
        <f aca="false">BB142+BB84+BB41+BB127+BB134+BB149+BB145</f>
        <v>257.291022992536</v>
      </c>
      <c r="BC150" s="158" t="n">
        <f aca="false">BC142+BC84+BC41+BC127+BC134+BC149+BC145</f>
        <v>178.57349941693</v>
      </c>
      <c r="BD150" s="158" t="n">
        <f aca="false">BD142+BD84+BD41+BD127+BD134+BD149+BD145</f>
        <v>104.94244417287</v>
      </c>
      <c r="BE150" s="158" t="n">
        <f aca="false">BE142+BE84+BE41+BE127+BE134+BE149+BE145</f>
        <v>36.7621385523106</v>
      </c>
      <c r="BF150" s="158" t="n">
        <f aca="false">BF142+BF84+BF41+BF127+BF134+BF149+BF145</f>
        <v>1.25</v>
      </c>
      <c r="BG150" s="158" t="n">
        <f aca="false">BG142+BG84+BG41+BG127+BG134+BG149+BG145</f>
        <v>1.25</v>
      </c>
      <c r="BH150" s="158" t="n">
        <f aca="false">BH142+BH84+BH41+BH127+BH134+BH149+BH145</f>
        <v>1.25</v>
      </c>
      <c r="BI150" s="158" t="n">
        <f aca="false">BI142+BI84+BI41+BI127+BI134+BI149+BI145</f>
        <v>1.25</v>
      </c>
      <c r="BJ150" s="158" t="n">
        <f aca="false">BJ142+BJ84+BJ41+BJ127+BJ134+BJ149+BJ145</f>
        <v>1.25</v>
      </c>
      <c r="BK150" s="158" t="n">
        <f aca="false">BK142+BK84+BK41+BK127+BK134+BK149+BK145</f>
        <v>1.25</v>
      </c>
      <c r="BL150" s="158" t="n">
        <f aca="false">BL142+BL84+BL41+BL127+BL134+BL149+BL145</f>
        <v>759669.53</v>
      </c>
      <c r="BM150" s="158" t="n">
        <f aca="false">BM142+BM84+BM41+BM127+BM134+BM149+BM145</f>
        <v>283886.167206778</v>
      </c>
      <c r="BN150" s="158" t="n">
        <f aca="false">BN142+BN84+BN41+BN127+BN134+BN149+BN145</f>
        <v>15053.7549919666</v>
      </c>
      <c r="BO150" s="158" t="n">
        <f aca="false">BO142+BO84+BO41+BO127+BO134+BO149+BO145</f>
        <v>15416.6426341538</v>
      </c>
      <c r="BP150" s="158" t="n">
        <f aca="false">BP142+BP84+BP41+BP127+BP134+BP149+BP145</f>
        <v>15053.7549919666</v>
      </c>
      <c r="BQ150" s="158" t="n">
        <f aca="false">BQ142+BQ84+BQ41+BQ127+BQ134+BQ149+BQ145</f>
        <v>15416.6426341538</v>
      </c>
      <c r="BR150" s="158" t="n">
        <f aca="false">BR142+BR84+BR41+BR127+BR134+BR149+BR145</f>
        <v>15416.6426341538</v>
      </c>
      <c r="BS150" s="158" t="n">
        <f aca="false">BS142+BS84+BS41+BS127+BS134+BS149+BS145</f>
        <v>15053.7549919666</v>
      </c>
      <c r="BT150" s="158" t="n">
        <f aca="false">BT142+BT84+BT41+BT127+BT134+BT149+BT145</f>
        <v>15416.6426341538</v>
      </c>
      <c r="BU150" s="158" t="n">
        <f aca="false">BU142+BU84+BU41+BU127+BU134+BU149+BU145</f>
        <v>15053.7549919666</v>
      </c>
      <c r="BV150" s="158" t="n">
        <f aca="false">BV142+BV84+BV41+BV127+BV134+BV149+BV145</f>
        <v>15416.6426341538</v>
      </c>
      <c r="BW150" s="158" t="n">
        <f aca="false">BW142+BW84+BW41+BW127+BW134+BW149+BW145</f>
        <v>15416.6426341538</v>
      </c>
      <c r="BX150" s="158" t="n">
        <f aca="false">BX142+BX84+BX41+BX127+BX134+BX149+BX145</f>
        <v>14690.8673497794</v>
      </c>
      <c r="BY150" s="158" t="n">
        <f aca="false">BY142+BY84+BY41+BY127+BY134+BY149+BY145</f>
        <v>201470.46894954</v>
      </c>
      <c r="BZ150" s="158" t="n">
        <f aca="false">BZ142+BZ84+BZ41+BZ127+BZ134+BZ149+BZ145</f>
        <v>18151.3541091202</v>
      </c>
      <c r="CA150" s="158" t="n">
        <f aca="false">CA142+CA84+CA41+CA127+CA134+CA149+CA145</f>
        <v>18578.4449495405</v>
      </c>
      <c r="CB150" s="158" t="n">
        <f aca="false">CB142+CB84+CB41+CB127+CB134+CB149+CB145</f>
        <v>18151.3541091202</v>
      </c>
      <c r="CC150" s="158" t="n">
        <f aca="false">CC142+CC84+CC41+CC127+CC134+CC149+CC145</f>
        <v>18578.4449495405</v>
      </c>
      <c r="CD150" s="158" t="n">
        <f aca="false">CD142+CD84+CD41+CD127+CD134+CD149+CD145</f>
        <v>18578.4449495405</v>
      </c>
      <c r="CE150" s="158" t="n">
        <f aca="false">CE142+CE84+CE41+CE127+CE134+CE149+CE145</f>
        <v>18151.3541091202</v>
      </c>
      <c r="CF150" s="158" t="n">
        <f aca="false">CF142+CF84+CF41+CF127+CF134+CF149+CF145</f>
        <v>18578.4449495405</v>
      </c>
      <c r="CG150" s="158" t="n">
        <f aca="false">CG142+CG84+CG41+CG127+CG134+CG149+CG145</f>
        <v>18151.3541091202</v>
      </c>
      <c r="CH150" s="158" t="n">
        <f aca="false">CH142+CH84+CH41+CH127+CH134+CH149+CH145</f>
        <v>18578.4449495405</v>
      </c>
      <c r="CI150" s="158" t="n">
        <f aca="false">CI142+CI84+CI41+CI127+CI134+CI149+CI145</f>
        <v>18578.4449495405</v>
      </c>
      <c r="CJ150" s="158" t="n">
        <f aca="false">CJ142+CJ84+CJ41+CJ127+CJ134+CJ149+CJ145</f>
        <v>17297.1724282796</v>
      </c>
      <c r="CK150" s="158" t="n">
        <f aca="false">CK142+CK84+CK41+CK127+CK134+CK149+CK145</f>
        <v>32126.4325442043</v>
      </c>
      <c r="CL150" s="158" t="n">
        <f aca="false">CL142+CL84+CL41+CL127+CL134+CL149+CL145</f>
        <v>18523.7998869756</v>
      </c>
      <c r="CM150" s="158" t="n">
        <f aca="false">CM142+CM84+CM41+CM127+CM134+CM149+CM145</f>
        <v>18959.4325442043</v>
      </c>
      <c r="CN150" s="158" t="n">
        <f aca="false">CN142+CN84+CN41+CN127+CN134+CN149+CN145</f>
        <v>18523.7998869756</v>
      </c>
      <c r="CO150" s="158" t="n">
        <f aca="false">CO142+CO84+CO41+CO127+CO134+CO149+CO145</f>
        <v>18959.4325442043</v>
      </c>
      <c r="CP150" s="158" t="n">
        <f aca="false">CP142+CP84+CP41+CP127+CP134+CP149+CP145</f>
        <v>18959.4325442043</v>
      </c>
      <c r="CQ150" s="158" t="n">
        <f aca="false">CQ142+CQ84+CQ41+CQ127+CQ134+CQ149+CQ145</f>
        <v>18523.7998869756</v>
      </c>
      <c r="CR150" s="158" t="n">
        <f aca="false">CR142+CR84+CR41+CR127+CR134+CR149+CR145</f>
        <v>18959.4325442043</v>
      </c>
      <c r="CS150" s="158" t="n">
        <f aca="false">CS142+CS84+CS41+CS127+CS134+CS149+CS145</f>
        <v>18523.7998869756</v>
      </c>
      <c r="CT150" s="158" t="n">
        <f aca="false">CT142+CT84+CT41+CT127+CT134+CT149+CT145</f>
        <v>18959.4325442043</v>
      </c>
      <c r="CU150" s="158" t="n">
        <f aca="false">CU142+CU84+CU41+CU127+CU134+CU149+CU145</f>
        <v>18959.4325442043</v>
      </c>
      <c r="CV150" s="158" t="n">
        <f aca="false">CV142+CV84+CV41+CV127+CV134+CV149+CV145</f>
        <v>17652.5345725181</v>
      </c>
      <c r="CW150" s="158" t="n">
        <f aca="false">CW142+CW84+CW41+CW127+CW134+CW149+CW145</f>
        <v>19314.3798907614</v>
      </c>
      <c r="CX150" s="158" t="n">
        <f aca="false">CX142+CX84+CX41+CX127+CX134+CX149+CX145</f>
        <v>18870.0345803881</v>
      </c>
      <c r="CY150" s="158" t="n">
        <f aca="false">CY142+CY84+CY41+CY127+CY134+CY149+CY145</f>
        <v>19314.3798907614</v>
      </c>
      <c r="CZ150" s="158" t="n">
        <f aca="false">CZ142+CZ84+CZ41+CZ127+CZ134+CZ149+CZ145</f>
        <v>18870.0345803881</v>
      </c>
      <c r="DA150" s="158" t="n">
        <f aca="false">DA142+DA84+DA41+DA127+DA134+DA149+DA145</f>
        <v>19314.3798907614</v>
      </c>
      <c r="DB150" s="158" t="n">
        <f aca="false">DB142+DB84+DB41+DB127+DB134+DB149+DB145</f>
        <v>19314.3798907614</v>
      </c>
      <c r="DC150" s="158" t="n">
        <f aca="false">DC142+DC84+DC41+DC127+DC134+DC149+DC145</f>
        <v>18870.0345803881</v>
      </c>
      <c r="DD150" s="158" t="n">
        <f aca="false">DD142+DD84+DD41+DD127+DD134+DD149+DD145</f>
        <v>19314.3798907614</v>
      </c>
      <c r="DE150" s="158" t="n">
        <f aca="false">DE142+DE84+DE41+DE127+DE134+DE149+DE145</f>
        <v>18870.0345803881</v>
      </c>
      <c r="DF150" s="158" t="n">
        <f aca="false">DF142+DF84+DF41+DF127+DF134+DF149+DF145</f>
        <v>19314.3798907614</v>
      </c>
      <c r="DG150" s="158" t="n">
        <f aca="false">DG142+DG84+DG41+DG127+DG134+DG149+DG145</f>
        <v>19314.3798907614</v>
      </c>
      <c r="DH150" s="158" t="n">
        <f aca="false">DH142+DH84+DH41+DH127+DH134+DH149+DH145</f>
        <v>17981.3439596415</v>
      </c>
      <c r="DI150" s="158" t="n">
        <f aca="false">DI142+DI84+DI41+DI127+DI134+DI149+DI145</f>
        <v>19676.4261842496</v>
      </c>
      <c r="DJ150" s="158" t="n">
        <f aca="false">DJ142+DJ84+DJ41+DJ127+DJ134+DJ149+DJ145</f>
        <v>19223.1939676688</v>
      </c>
      <c r="DK150" s="158" t="n">
        <f aca="false">DK142+DK84+DK41+DK127+DK134+DK149+DK145</f>
        <v>19676.4261842496</v>
      </c>
      <c r="DL150" s="158" t="n">
        <f aca="false">DL142+DL84+DL41+DL127+DL134+DL149+DL145</f>
        <v>19223.1939676688</v>
      </c>
      <c r="DM150" s="158" t="n">
        <f aca="false">DM142+DM84+DM41+DM127+DM134+DM149+DM145</f>
        <v>19676.4261842496</v>
      </c>
      <c r="DN150" s="158" t="n">
        <f aca="false">DN142+DN84+DN41+DN127+DN134+DN149+DN145</f>
        <v>19676.4261842496</v>
      </c>
      <c r="DO150" s="158" t="n">
        <f aca="false">DO142+DO84+DO41+DO127+DO134+DO149+DO145</f>
        <v>19223.1939676688</v>
      </c>
      <c r="DP150" s="158" t="n">
        <f aca="false">DP142+DP84+DP41+DP127+DP134+DP149+DP145</f>
        <v>19676.4261842496</v>
      </c>
      <c r="DQ150" s="158" t="n">
        <f aca="false">DQ142+DQ84+DQ41+DQ127+DQ134+DQ149+DQ145</f>
        <v>19223.1939676688</v>
      </c>
      <c r="DR150" s="158" t="n">
        <f aca="false">DR142+DR84+DR41+DR127+DR134+DR149+DR145</f>
        <v>19676.4261842496</v>
      </c>
      <c r="DS150" s="158" t="n">
        <f aca="false">DS142+DS84+DS41+DS127+DS134+DS149+DS145</f>
        <v>19676.4261842496</v>
      </c>
      <c r="DT150" s="158" t="n">
        <f aca="false">DT142+DT84+DT41+DT127+DT134+DT149+DT145</f>
        <v>1843005.83740083</v>
      </c>
      <c r="DU150" s="158" t="n">
        <f aca="false">DU142+DU84+DU41+DU127+DU134+DU149+DU145</f>
        <v>1501.37366226434</v>
      </c>
      <c r="DV150" s="158" t="n">
        <f aca="false">DV142+DV84+DV41+DV127+DV134+DV149+DV145</f>
        <v>1504.85185921157</v>
      </c>
      <c r="DW150" s="158" t="n">
        <f aca="false">DW142+DW84+DW41+DW127+DW134+DW149+DW145</f>
        <v>1508.33875165116</v>
      </c>
      <c r="DX150" s="158" t="n">
        <f aca="false">DX142+DX84+DX41+DX127+DX134+DX149+DX145</f>
        <v>0</v>
      </c>
      <c r="DY150" s="158" t="n">
        <f aca="false">DY142+DY84+DY41+DY127+DY134+DY149+DY145</f>
        <v>0</v>
      </c>
      <c r="DZ150" s="158" t="n">
        <f aca="false">DZ142+DZ84+DZ41+DZ127+DZ134+DZ149+DZ145</f>
        <v>0</v>
      </c>
      <c r="EA150" s="158" t="n">
        <f aca="false">EA142+EA84+EA41+EA127+EA134+EA149+EA145</f>
        <v>0</v>
      </c>
      <c r="EB150" s="158" t="n">
        <f aca="false">EB142+EB84+EB41+EB127+EB134+EB149+EB145</f>
        <v>0</v>
      </c>
      <c r="EC150" s="158" t="n">
        <f aca="false">EC142+EC84+EC41+EC127+EC134+EC149+EC145</f>
        <v>0</v>
      </c>
      <c r="ED150" s="158" t="n">
        <f aca="false">ED142+ED84+ED41+ED127+ED134+ED149+ED145</f>
        <v>0</v>
      </c>
      <c r="EE150" s="158" t="n">
        <f aca="false">EE142+EE84+EE41+EE127+EE134+EE149+EE145</f>
        <v>0</v>
      </c>
      <c r="EF150" s="158" t="n">
        <f aca="false">EF142+EF84+EF41+EF127+EF134+EF149+EF145</f>
        <v>0</v>
      </c>
    </row>
    <row r="151" customFormat="false" ht="15" hidden="false" customHeight="false" outlineLevel="0" collapsed="false">
      <c r="A151" s="35" t="s">
        <v>601</v>
      </c>
      <c r="B151" s="241" t="s">
        <v>116</v>
      </c>
      <c r="C151" s="242" t="n">
        <f aca="false">SUM(E151:EF151)</f>
        <v>4174699.25437572</v>
      </c>
      <c r="E151" s="158" t="n">
        <f aca="false">E56+E74+E100+E112+E128+E129+E130+E135+E136+E85</f>
        <v>2038.28845015278</v>
      </c>
      <c r="F151" s="158" t="n">
        <f aca="false">F56+F74+F100+F112+F128+F129+F130+F135+F136+F85</f>
        <v>92.959492965805</v>
      </c>
      <c r="G151" s="158" t="n">
        <f aca="false">G56+G74+G100+G112+G128+G129+G130+G135+G136+G85</f>
        <v>92.959492965805</v>
      </c>
      <c r="H151" s="158" t="n">
        <f aca="false">H56+H74+H100+H112+H128+H129+H130+H135+H136+H85</f>
        <v>11092.9594929658</v>
      </c>
      <c r="I151" s="158" t="n">
        <f aca="false">I56+I74+I100+I112+I128+I129+I130+I135+I136+I85</f>
        <v>92.959492965805</v>
      </c>
      <c r="J151" s="158" t="n">
        <f aca="false">J56+J74+J100+J112+J128+J129+J130+J135+J136+J85</f>
        <v>92.959492965805</v>
      </c>
      <c r="K151" s="158" t="n">
        <f aca="false">K56+K74+K100+K112+K128+K129+K130+K135+K136+K85</f>
        <v>92.959492965805</v>
      </c>
      <c r="L151" s="158" t="n">
        <f aca="false">L56+L74+L100+L112+L128+L129+L130+L135+L136+L85</f>
        <v>92.959492965805</v>
      </c>
      <c r="M151" s="158" t="n">
        <f aca="false">M56+M74+M100+M112+M128+M129+M130+M135+M136+M85</f>
        <v>92.959492965805</v>
      </c>
      <c r="N151" s="158" t="n">
        <f aca="false">N56+N74+N100+N112+N128+N129+N130+N135+N136+N85</f>
        <v>92.959492965805</v>
      </c>
      <c r="O151" s="158" t="n">
        <f aca="false">O56+O74+O100+O112+O128+O129+O130+O135+O136+O85</f>
        <v>92.959492965805</v>
      </c>
      <c r="P151" s="158" t="n">
        <f aca="false">P56+P74+P100+P112+P128+P129+P130+P135+P136+P85</f>
        <v>92.959492965805</v>
      </c>
      <c r="Q151" s="158" t="n">
        <f aca="false">Q56+Q74+Q100+Q112+Q128+Q129+Q130+Q135+Q136+Q85</f>
        <v>92.959492965805</v>
      </c>
      <c r="R151" s="158" t="n">
        <f aca="false">R56+R74+R100+R112+R128+R129+R130+R135+R136+R85</f>
        <v>92.959492965805</v>
      </c>
      <c r="S151" s="158" t="n">
        <f aca="false">S56+S74+S100+S112+S128+S129+S130+S135+S136+S85</f>
        <v>92.959492965805</v>
      </c>
      <c r="T151" s="158" t="n">
        <f aca="false">T56+T74+T100+T112+T128+T129+T130+T135+T136+T85</f>
        <v>92.959492965805</v>
      </c>
      <c r="U151" s="158" t="n">
        <f aca="false">U56+U74+U100+U112+U128+U129+U130+U135+U136+U85</f>
        <v>92.959492965805</v>
      </c>
      <c r="V151" s="158" t="n">
        <f aca="false">V56+V74+V100+V112+V128+V129+V130+V135+V136+V85</f>
        <v>92.959492965805</v>
      </c>
      <c r="W151" s="158" t="n">
        <f aca="false">W56+W74+W100+W112+W128+W129+W130+W135+W136+W85</f>
        <v>240466.710283763</v>
      </c>
      <c r="X151" s="158" t="n">
        <f aca="false">X56+X74+X100+X112+X128+X129+X130+X135+X136+X85</f>
        <v>5749.32686507643</v>
      </c>
      <c r="Y151" s="158" t="n">
        <f aca="false">Y56+Y74+Y100+Y112+Y128+Y129+Y130+Y135+Y136+Y85</f>
        <v>8600.01324529027</v>
      </c>
      <c r="Z151" s="158" t="n">
        <f aca="false">Z56+Z74+Z100+Z112+Z128+Z129+Z130+Z135+Z136+Z85</f>
        <v>11410.6191115705</v>
      </c>
      <c r="AA151" s="158" t="n">
        <f aca="false">AA56+AA74+AA100+AA112+AA128+AA129+AA130+AA135+AA136+AA85</f>
        <v>14165.4264158253</v>
      </c>
      <c r="AB151" s="158" t="n">
        <f aca="false">AB56+AB74+AB100+AB112+AB128+AB129+AB130+AB135+AB136+AB85</f>
        <v>16849.0291581558</v>
      </c>
      <c r="AC151" s="158" t="n">
        <f aca="false">AC56+AC74+AC100+AC112+AC128+AC129+AC130+AC135+AC136+AC85</f>
        <v>19446.4195434565</v>
      </c>
      <c r="AD151" s="158" t="n">
        <f aca="false">AD56+AD74+AD100+AD112+AD128+AD129+AD130+AD135+AD136+AD85</f>
        <v>21943.0719110936</v>
      </c>
      <c r="AE151" s="158" t="n">
        <f aca="false">AE56+AE74+AE100+AE112+AE128+AE129+AE130+AE135+AE136+AE85</f>
        <v>24325.0239682911</v>
      </c>
      <c r="AF151" s="158" t="n">
        <f aca="false">AF56+AF74+AF100+AF112+AF128+AF129+AF130+AF135+AF136+AF85</f>
        <v>26578.9548729356</v>
      </c>
      <c r="AG151" s="158" t="n">
        <f aca="false">AG56+AG74+AG100+AG112+AG128+AG129+AG130+AG135+AG136+AG85</f>
        <v>28692.2597291293</v>
      </c>
      <c r="AH151" s="158" t="n">
        <f aca="false">AH56+AH74+AH100+AH112+AH128+AH129+AH130+AH135+AH136+AH85</f>
        <v>30653.1200788803</v>
      </c>
      <c r="AI151" s="158" t="n">
        <f aca="false">AI56+AI74+AI100+AI112+AI128+AI129+AI130+AI135+AI136+AI85</f>
        <v>32450.569995714</v>
      </c>
      <c r="AJ151" s="158" t="n">
        <f aca="false">AJ56+AJ74+AJ100+AJ112+AJ128+AJ129+AJ130+AJ135+AJ136+AJ85</f>
        <v>34081.438569673</v>
      </c>
      <c r="AK151" s="158" t="n">
        <f aca="false">AK56+AK74+AK100+AK112+AK128+AK129+AK130+AK135+AK136+AK85</f>
        <v>35758.6027904749</v>
      </c>
      <c r="AL151" s="158" t="n">
        <f aca="false">AL56+AL74+AL100+AL112+AL128+AL129+AL130+AL135+AL136+AL85</f>
        <v>37256.7617653045</v>
      </c>
      <c r="AM151" s="158" t="n">
        <f aca="false">AM56+AM74+AM100+AM112+AM128+AM129+AM130+AM135+AM136+AM85</f>
        <v>38567.6821850614</v>
      </c>
      <c r="AN151" s="158" t="n">
        <f aca="false">AN56+AN74+AN100+AN112+AN128+AN129+AN130+AN135+AN136+AN85</f>
        <v>39684.1788575372</v>
      </c>
      <c r="AO151" s="158" t="n">
        <f aca="false">AO56+AO74+AO100+AO112+AO128+AO129+AO130+AO135+AO136+AO85</f>
        <v>40572.4214637641</v>
      </c>
      <c r="AP151" s="158" t="n">
        <f aca="false">AP56+AP74+AP100+AP112+AP128+AP129+AP130+AP135+AP136+AP85</f>
        <v>41002.0933014501</v>
      </c>
      <c r="AQ151" s="158" t="n">
        <f aca="false">AQ56+AQ74+AQ100+AQ112+AQ128+AQ129+AQ130+AQ135+AQ136+AQ85</f>
        <v>41217.5316295534</v>
      </c>
      <c r="AR151" s="158" t="n">
        <f aca="false">AR56+AR74+AR100+AR112+AR128+AR129+AR130+AR135+AR136+AR85</f>
        <v>41217.5316295533</v>
      </c>
      <c r="AS151" s="158" t="n">
        <f aca="false">AS56+AS74+AS100+AS112+AS128+AS129+AS130+AS135+AS136+AS85</f>
        <v>41157.7801375479</v>
      </c>
      <c r="AT151" s="158" t="n">
        <f aca="false">AT56+AT74+AT100+AT112+AT128+AT129+AT130+AT135+AT136+AT85</f>
        <v>40961.3286373081</v>
      </c>
      <c r="AU151" s="158" t="n">
        <f aca="false">AU56+AU74+AU100+AU112+AU128+AU129+AU130+AU135+AU136+AU85</f>
        <v>40551.933301525</v>
      </c>
      <c r="AV151" s="158" t="n">
        <f aca="false">AV56+AV74+AV100+AV112+AV128+AV129+AV130+AV135+AV136+AV85</f>
        <v>39926.5998565816</v>
      </c>
      <c r="AW151" s="158" t="n">
        <f aca="false">AW56+AW74+AW100+AW112+AW128+AW129+AW130+AW135+AW136+AW85</f>
        <v>39072.9901424842</v>
      </c>
      <c r="AX151" s="158" t="n">
        <f aca="false">AX56+AX74+AX100+AX112+AX128+AX129+AX130+AX135+AX136+AX85</f>
        <v>38017.511558501</v>
      </c>
      <c r="AY151" s="158" t="n">
        <f aca="false">AY56+AY74+AY100+AY112+AY128+AY129+AY130+AY135+AY136+AY85</f>
        <v>36766.1499497656</v>
      </c>
      <c r="AZ151" s="158" t="n">
        <f aca="false">AZ56+AZ74+AZ100+AZ112+AZ128+AZ129+AZ130+AZ135+AZ136+AZ85</f>
        <v>35325.9870346461</v>
      </c>
      <c r="BA151" s="158" t="n">
        <f aca="false">BA56+BA74+BA100+BA112+BA128+BA129+BA130+BA135+BA136+BA85</f>
        <v>33705.1608029856</v>
      </c>
      <c r="BB151" s="158" t="n">
        <f aca="false">BB56+BB74+BB100+BB112+BB128+BB129+BB130+BB135+BB136+BB85</f>
        <v>31744.3004532348</v>
      </c>
      <c r="BC151" s="158" t="n">
        <f aca="false">BC56+BC74+BC100+BC112+BC128+BC129+BC130+BC135+BC136+BC85</f>
        <v>29630.9955970411</v>
      </c>
      <c r="BD151" s="158" t="n">
        <f aca="false">BD56+BD74+BD100+BD112+BD128+BD129+BD130+BD135+BD136+BD85</f>
        <v>27377.0646923966</v>
      </c>
      <c r="BE151" s="158" t="n">
        <f aca="false">BE56+BE74+BE100+BE112+BE128+BE129+BE130+BE135+BE136+BE85</f>
        <v>24995.1126351989</v>
      </c>
      <c r="BF151" s="158" t="n">
        <f aca="false">BF56+BF74+BF100+BF112+BF128+BF129+BF130+BF135+BF136+BF85</f>
        <v>22552.2277429406</v>
      </c>
      <c r="BG151" s="158" t="n">
        <f aca="false">BG56+BG74+BG100+BG112+BG128+BG129+BG130+BG135+BG136+BG85</f>
        <v>20067.5922463546</v>
      </c>
      <c r="BH151" s="158" t="n">
        <f aca="false">BH56+BH74+BH100+BH112+BH128+BH129+BH130+BH135+BH136+BH85</f>
        <v>17484.3212152557</v>
      </c>
      <c r="BI151" s="158" t="n">
        <f aca="false">BI56+BI74+BI100+BI112+BI128+BI129+BI130+BI135+BI136+BI85</f>
        <v>14816.9292670774</v>
      </c>
      <c r="BJ151" s="158" t="n">
        <f aca="false">BJ56+BJ74+BJ100+BJ112+BJ128+BJ129+BJ130+BJ135+BJ136+BJ85</f>
        <v>12080.4017971325</v>
      </c>
      <c r="BK151" s="158" t="n">
        <f aca="false">BK56+BK74+BK100+BK112+BK128+BK129+BK130+BK135+BK136+BK85</f>
        <v>9290.11117590428</v>
      </c>
      <c r="BL151" s="158" t="n">
        <f aca="false">BL56+BL74+BL100+BL112+BL128+BL129+BL130+BL135+BL136+BL85</f>
        <v>43656.7271822201</v>
      </c>
      <c r="BM151" s="158" t="n">
        <f aca="false">BM56+BM74+BM100+BM112+BM128+BM129+BM130+BM135+BM136+BM85</f>
        <v>74059.8039745455</v>
      </c>
      <c r="BN151" s="158" t="n">
        <f aca="false">BN56+BN74+BN100+BN112+BN128+BN129+BN130+BN135+BN136+BN85</f>
        <v>14173.6438475653</v>
      </c>
      <c r="BO151" s="158" t="n">
        <f aca="false">BO56+BO74+BO100+BO112+BO128+BO129+BO130+BO135+BO136+BO85</f>
        <v>14454.2898174365</v>
      </c>
      <c r="BP151" s="158" t="n">
        <f aca="false">BP56+BP74+BP100+BP112+BP128+BP129+BP130+BP135+BP136+BP85</f>
        <v>14173.6438475653</v>
      </c>
      <c r="BQ151" s="158" t="n">
        <f aca="false">BQ56+BQ74+BQ100+BQ112+BQ128+BQ129+BQ130+BQ135+BQ136+BQ85</f>
        <v>14454.2898174365</v>
      </c>
      <c r="BR151" s="158" t="n">
        <f aca="false">BR56+BR74+BR100+BR112+BR128+BR129+BR130+BR135+BR136+BR85</f>
        <v>14454.2898174365</v>
      </c>
      <c r="BS151" s="158" t="n">
        <f aca="false">BS56+BS74+BS100+BS112+BS128+BS129+BS130+BS135+BS136+BS85</f>
        <v>14173.6438475653</v>
      </c>
      <c r="BT151" s="158" t="n">
        <f aca="false">BT56+BT74+BT100+BT112+BT128+BT129+BT130+BT135+BT136+BT85</f>
        <v>14454.2898174365</v>
      </c>
      <c r="BU151" s="158" t="n">
        <f aca="false">BU56+BU74+BU100+BU112+BU128+BU129+BU130+BU135+BU136+BU85</f>
        <v>14173.6438475653</v>
      </c>
      <c r="BV151" s="158" t="n">
        <f aca="false">BV56+BV74+BV100+BV112+BV128+BV129+BV130+BV135+BV136+BV85</f>
        <v>14454.2898174365</v>
      </c>
      <c r="BW151" s="158" t="n">
        <f aca="false">BW56+BW74+BW100+BW112+BW128+BW129+BW130+BW135+BW136+BW85</f>
        <v>14454.2898174365</v>
      </c>
      <c r="BX151" s="158" t="n">
        <f aca="false">BX56+BX74+BX100+BX112+BX128+BX129+BX130+BX135+BX136+BX85</f>
        <v>13892.997877694</v>
      </c>
      <c r="BY151" s="158" t="n">
        <f aca="false">BY56+BY74+BY100+BY112+BY128+BY129+BY130+BY135+BY136+BY85</f>
        <v>16161.8772628828</v>
      </c>
      <c r="BZ151" s="158" t="n">
        <f aca="false">BZ56+BZ74+BZ100+BZ112+BZ128+BZ129+BZ130+BZ135+BZ136+BZ85</f>
        <v>15885.0557444958</v>
      </c>
      <c r="CA151" s="158" t="n">
        <f aca="false">CA56+CA74+CA100+CA112+CA128+CA129+CA130+CA135+CA136+CA85</f>
        <v>16215.3544628828</v>
      </c>
      <c r="CB151" s="158" t="n">
        <f aca="false">CB56+CB74+CB100+CB112+CB128+CB129+CB130+CB135+CB136+CB85</f>
        <v>15885.0557444958</v>
      </c>
      <c r="CC151" s="158" t="n">
        <f aca="false">CC56+CC74+CC100+CC112+CC128+CC129+CC130+CC135+CC136+CC85</f>
        <v>16215.3544628828</v>
      </c>
      <c r="CD151" s="158" t="n">
        <f aca="false">CD56+CD74+CD100+CD112+CD128+CD129+CD130+CD135+CD136+CD85</f>
        <v>16215.3544628828</v>
      </c>
      <c r="CE151" s="158" t="n">
        <f aca="false">CE56+CE74+CE100+CE112+CE128+CE129+CE130+CE135+CE136+CE85</f>
        <v>15885.0557444958</v>
      </c>
      <c r="CF151" s="158" t="n">
        <f aca="false">CF56+CF74+CF100+CF112+CF128+CF129+CF130+CF135+CF136+CF85</f>
        <v>16215.3544628828</v>
      </c>
      <c r="CG151" s="158" t="n">
        <f aca="false">CG56+CG74+CG100+CG112+CG128+CG129+CG130+CG135+CG136+CG85</f>
        <v>15885.0557444958</v>
      </c>
      <c r="CH151" s="158" t="n">
        <f aca="false">CH56+CH74+CH100+CH112+CH128+CH129+CH130+CH135+CH136+CH85</f>
        <v>16215.3544628828</v>
      </c>
      <c r="CI151" s="158" t="n">
        <f aca="false">CI56+CI74+CI100+CI112+CI128+CI129+CI130+CI135+CI136+CI85</f>
        <v>16215.3544628828</v>
      </c>
      <c r="CJ151" s="158" t="n">
        <f aca="false">CJ56+CJ74+CJ100+CJ112+CJ128+CJ129+CJ130+CJ135+CJ136+CJ85</f>
        <v>15224.458307722</v>
      </c>
      <c r="CK151" s="158" t="n">
        <f aca="false">CK56+CK74+CK100+CK112+CK128+CK129+CK130+CK135+CK136+CK85</f>
        <v>16465.7490777146</v>
      </c>
      <c r="CL151" s="158" t="n">
        <f aca="false">CL56+CL74+CL100+CL112+CL128+CL129+CL130+CL135+CL136+CL85</f>
        <v>16132.6943849599</v>
      </c>
      <c r="CM151" s="158" t="n">
        <f aca="false">CM56+CM74+CM100+CM112+CM128+CM129+CM130+CM135+CM136+CM85</f>
        <v>16469.5990777146</v>
      </c>
      <c r="CN151" s="158" t="n">
        <f aca="false">CN56+CN74+CN100+CN112+CN128+CN129+CN130+CN135+CN136+CN85</f>
        <v>16132.6943849599</v>
      </c>
      <c r="CO151" s="158" t="n">
        <f aca="false">CO56+CO74+CO100+CO112+CO128+CO129+CO130+CO135+CO136+CO85</f>
        <v>16469.5990777146</v>
      </c>
      <c r="CP151" s="158" t="n">
        <f aca="false">CP56+CP74+CP100+CP112+CP128+CP129+CP130+CP135+CP136+CP85</f>
        <v>16469.5990777146</v>
      </c>
      <c r="CQ151" s="158" t="n">
        <f aca="false">CQ56+CQ74+CQ100+CQ112+CQ128+CQ129+CQ130+CQ135+CQ136+CQ85</f>
        <v>16132.6943849599</v>
      </c>
      <c r="CR151" s="158" t="n">
        <f aca="false">CR56+CR74+CR100+CR112+CR128+CR129+CR130+CR135+CR136+CR85</f>
        <v>16469.5990777146</v>
      </c>
      <c r="CS151" s="158" t="n">
        <f aca="false">CS56+CS74+CS100+CS112+CS128+CS129+CS130+CS135+CS136+CS85</f>
        <v>16132.6943849599</v>
      </c>
      <c r="CT151" s="158" t="n">
        <f aca="false">CT56+CT74+CT100+CT112+CT128+CT129+CT130+CT135+CT136+CT85</f>
        <v>16469.5990777146</v>
      </c>
      <c r="CU151" s="158" t="n">
        <f aca="false">CU56+CU74+CU100+CU112+CU128+CU129+CU130+CU135+CU136+CU85</f>
        <v>16469.5990777146</v>
      </c>
      <c r="CV151" s="158" t="n">
        <f aca="false">CV56+CV74+CV100+CV112+CV128+CV129+CV130+CV135+CV136+CV85</f>
        <v>15458.8849994507</v>
      </c>
      <c r="CW151" s="158" t="n">
        <f aca="false">CW56+CW74+CW100+CW112+CW128+CW129+CW130+CW135+CW136+CW85</f>
        <v>16725.0015848431</v>
      </c>
      <c r="CX151" s="158" t="n">
        <f aca="false">CX56+CX74+CX100+CX112+CX128+CX129+CX130+CX135+CX136+CX85</f>
        <v>16381.3587982333</v>
      </c>
      <c r="CY151" s="158" t="n">
        <f aca="false">CY56+CY74+CY100+CY112+CY128+CY129+CY130+CY135+CY136+CY85</f>
        <v>16725.0015848431</v>
      </c>
      <c r="CZ151" s="158" t="n">
        <f aca="false">CZ56+CZ74+CZ100+CZ112+CZ128+CZ129+CZ130+CZ135+CZ136+CZ85</f>
        <v>16381.3587982333</v>
      </c>
      <c r="DA151" s="158" t="n">
        <f aca="false">DA56+DA74+DA100+DA112+DA128+DA129+DA130+DA135+DA136+DA85</f>
        <v>16725.0015848431</v>
      </c>
      <c r="DB151" s="158" t="n">
        <f aca="false">DB56+DB74+DB100+DB112+DB128+DB129+DB130+DB135+DB136+DB85</f>
        <v>16725.0015848431</v>
      </c>
      <c r="DC151" s="158" t="n">
        <f aca="false">DC56+DC74+DC100+DC112+DC128+DC129+DC130+DC135+DC136+DC85</f>
        <v>16381.3587982333</v>
      </c>
      <c r="DD151" s="158" t="n">
        <f aca="false">DD56+DD74+DD100+DD112+DD128+DD129+DD130+DD135+DD136+DD85</f>
        <v>16725.0015848431</v>
      </c>
      <c r="DE151" s="158" t="n">
        <f aca="false">DE56+DE74+DE100+DE112+DE128+DE129+DE130+DE135+DE136+DE85</f>
        <v>16381.3587982333</v>
      </c>
      <c r="DF151" s="158" t="n">
        <f aca="false">DF56+DF74+DF100+DF112+DF128+DF129+DF130+DF135+DF136+DF85</f>
        <v>16725.0015848431</v>
      </c>
      <c r="DG151" s="158" t="n">
        <f aca="false">DG56+DG74+DG100+DG112+DG128+DG129+DG130+DG135+DG136+DG85</f>
        <v>16725.0015848431</v>
      </c>
      <c r="DH151" s="158" t="n">
        <f aca="false">DH56+DH74+DH100+DH112+DH128+DH129+DH130+DH135+DH136+DH85</f>
        <v>15694.0732250139</v>
      </c>
      <c r="DI151" s="158" t="n">
        <f aca="false">DI56+DI74+DI100+DI112+DI128+DI129+DI130+DI135+DI136+DI85</f>
        <v>16985.5121421141</v>
      </c>
      <c r="DJ151" s="158" t="n">
        <f aca="false">DJ56+DJ74+DJ100+DJ112+DJ128+DJ129+DJ130+DJ135+DJ136+DJ85</f>
        <v>16634.9964997722</v>
      </c>
      <c r="DK151" s="158" t="n">
        <f aca="false">DK56+DK74+DK100+DK112+DK128+DK129+DK130+DK135+DK136+DK85</f>
        <v>16985.5121421141</v>
      </c>
      <c r="DL151" s="158" t="n">
        <f aca="false">DL56+DL74+DL100+DL112+DL128+DL129+DL130+DL135+DL136+DL85</f>
        <v>16634.9964997722</v>
      </c>
      <c r="DM151" s="158" t="n">
        <f aca="false">DM56+DM74+DM100+DM112+DM128+DM129+DM130+DM135+DM136+DM85</f>
        <v>16985.5121421141</v>
      </c>
      <c r="DN151" s="158" t="n">
        <f aca="false">DN56+DN74+DN100+DN112+DN128+DN129+DN130+DN135+DN136+DN85</f>
        <v>16985.5121421141</v>
      </c>
      <c r="DO151" s="158" t="n">
        <f aca="false">DO56+DO74+DO100+DO112+DO128+DO129+DO130+DO135+DO136+DO85</f>
        <v>16634.9964997722</v>
      </c>
      <c r="DP151" s="158" t="n">
        <f aca="false">DP56+DP74+DP100+DP112+DP128+DP129+DP130+DP135+DP136+DP85</f>
        <v>16985.5121421141</v>
      </c>
      <c r="DQ151" s="158" t="n">
        <f aca="false">DQ56+DQ74+DQ100+DQ112+DQ128+DQ129+DQ130+DQ135+DQ136+DQ85</f>
        <v>16634.9964997722</v>
      </c>
      <c r="DR151" s="158" t="n">
        <f aca="false">DR56+DR74+DR100+DR112+DR128+DR129+DR130+DR135+DR136+DR85</f>
        <v>16985.5121421141</v>
      </c>
      <c r="DS151" s="158" t="n">
        <f aca="false">DS56+DS74+DS100+DS112+DS128+DS129+DS130+DS135+DS136+DS85</f>
        <v>16985.5121421141</v>
      </c>
      <c r="DT151" s="158" t="n">
        <f aca="false">DT56+DT74+DT100+DT112+DT128+DT129+DT130+DT135+DT136+DT85</f>
        <v>1727282.45903533</v>
      </c>
      <c r="DU151" s="158" t="n">
        <f aca="false">DU56+DU74+DU100+DU112+DU128+DU129+DU130+DU135+DU136+DU85</f>
        <v>110.094883374248</v>
      </c>
      <c r="DV151" s="158" t="n">
        <f aca="false">DV56+DV74+DV100+DV112+DV128+DV129+DV130+DV135+DV136+DV85</f>
        <v>110.094883374248</v>
      </c>
      <c r="DW151" s="158" t="n">
        <f aca="false">DW56+DW74+DW100+DW112+DW128+DW129+DW130+DW135+DW136+DW85</f>
        <v>110.094883374248</v>
      </c>
      <c r="DX151" s="158" t="n">
        <f aca="false">DX56+DX74+DX100+DX112+DX128+DX129+DX130+DX135+DX136+DX85</f>
        <v>0</v>
      </c>
      <c r="DY151" s="158" t="n">
        <f aca="false">DY56+DY74+DY100+DY112+DY128+DY129+DY130+DY135+DY136+DY85</f>
        <v>0</v>
      </c>
      <c r="DZ151" s="158" t="n">
        <f aca="false">DZ56+DZ74+DZ100+DZ112+DZ128+DZ129+DZ130+DZ135+DZ136+DZ85</f>
        <v>0</v>
      </c>
      <c r="EA151" s="158" t="n">
        <f aca="false">EA56+EA74+EA100+EA112+EA128+EA129+EA130+EA135+EA136+EA85</f>
        <v>0</v>
      </c>
      <c r="EB151" s="158" t="n">
        <f aca="false">EB56+EB74+EB100+EB112+EB128+EB129+EB130+EB135+EB136+EB85</f>
        <v>0</v>
      </c>
      <c r="EC151" s="158" t="n">
        <f aca="false">EC56+EC74+EC100+EC112+EC128+EC129+EC130+EC135+EC136+EC85</f>
        <v>0</v>
      </c>
      <c r="ED151" s="158" t="n">
        <f aca="false">ED56+ED74+ED100+ED112+ED128+ED129+ED130+ED135+ED136+ED85</f>
        <v>0</v>
      </c>
      <c r="EE151" s="158" t="n">
        <f aca="false">EE56+EE74+EE100+EE112+EE128+EE129+EE130+EE135+EE136+EE85</f>
        <v>0</v>
      </c>
      <c r="EF151" s="158" t="n">
        <f aca="false">EF56+EF74+EF100+EF112+EF128+EF129+EF130+EF135+EF136+EF85</f>
        <v>0</v>
      </c>
    </row>
    <row r="152" customFormat="false" ht="15" hidden="false" customHeight="false" outlineLevel="0" collapsed="false">
      <c r="A152" s="112" t="s">
        <v>602</v>
      </c>
      <c r="B152" s="241" t="s">
        <v>116</v>
      </c>
      <c r="E152" s="158" t="n">
        <f aca="false">E148+E150-E151</f>
        <v>13781.8916972522</v>
      </c>
      <c r="F152" s="158" t="n">
        <f aca="false">F148+F150-F151</f>
        <v>13723.3869335295</v>
      </c>
      <c r="G152" s="158" t="n">
        <f aca="false">G148+G150-G151</f>
        <v>13664.7359078975</v>
      </c>
      <c r="H152" s="158" t="n">
        <f aca="false">H148+H150-H151</f>
        <v>2605.93825470144</v>
      </c>
      <c r="I152" s="158" t="n">
        <f aca="false">I148+I150-I151</f>
        <v>2519.49360737239</v>
      </c>
      <c r="J152" s="158" t="n">
        <f aca="false">J148+J150-J151</f>
        <v>2432.83284842502</v>
      </c>
      <c r="K152" s="158" t="n">
        <f aca="false">K148+K150-K151</f>
        <v>2345.95543758027</v>
      </c>
      <c r="L152" s="158" t="n">
        <f aca="false">L148+L150-L151</f>
        <v>2258.86083320842</v>
      </c>
      <c r="M152" s="158" t="n">
        <f aca="false">M148+M150-M151</f>
        <v>2171.54849232563</v>
      </c>
      <c r="N152" s="158" t="n">
        <f aca="false">N148+N150-N151</f>
        <v>2084.01787059064</v>
      </c>
      <c r="O152" s="158" t="n">
        <f aca="false">O148+O150-O151</f>
        <v>1996.26842230131</v>
      </c>
      <c r="P152" s="158" t="n">
        <f aca="false">P148+P150-P151</f>
        <v>1908.29960039126</v>
      </c>
      <c r="Q152" s="158" t="n">
        <f aca="false">Q148+Q150-Q151</f>
        <v>69880.2708564264</v>
      </c>
      <c r="R152" s="158" t="n">
        <f aca="false">R148+R150-R151</f>
        <v>69962.0120406017</v>
      </c>
      <c r="S152" s="158" t="n">
        <f aca="false">S148+S150-S151</f>
        <v>70043.9575777374</v>
      </c>
      <c r="T152" s="158" t="n">
        <f aca="false">T148+T150-T151</f>
        <v>70126.1079787159</v>
      </c>
      <c r="U152" s="158" t="n">
        <f aca="false">U148+U150-U151</f>
        <v>70208.4637556969</v>
      </c>
      <c r="V152" s="158" t="n">
        <f aca="false">V148+V150-V151</f>
        <v>70291.0254221204</v>
      </c>
      <c r="W152" s="158" t="n">
        <f aca="false">W148+W150-W151</f>
        <v>101558.248520083</v>
      </c>
      <c r="X152" s="158" t="n">
        <f aca="false">X148+X150-X151</f>
        <v>96062.8172763069</v>
      </c>
      <c r="Y152" s="158" t="n">
        <f aca="false">Y148+Y150-Y151</f>
        <v>87702.9610742074</v>
      </c>
      <c r="Z152" s="158" t="n">
        <f aca="false">Z148+Z150-Z151</f>
        <v>76511.5993653224</v>
      </c>
      <c r="AA152" s="158" t="n">
        <f aca="false">AA148+AA150-AA151</f>
        <v>62537.4519479104</v>
      </c>
      <c r="AB152" s="158" t="n">
        <f aca="false">AB148+AB150-AB151</f>
        <v>45844.7664196244</v>
      </c>
      <c r="AC152" s="158" t="n">
        <f aca="false">AC148+AC150-AC151</f>
        <v>162633.278792217</v>
      </c>
      <c r="AD152" s="158" t="n">
        <f aca="false">AD148+AD150-AD151</f>
        <v>141096.790078104</v>
      </c>
      <c r="AE152" s="158" t="n">
        <f aca="false">AE148+AE150-AE151</f>
        <v>117124.508085008</v>
      </c>
      <c r="AF152" s="158" t="n">
        <f aca="false">AF148+AF150-AF151</f>
        <v>90838.364482285</v>
      </c>
      <c r="AG152" s="158" t="n">
        <f aca="false">AG148+AG150-AG151</f>
        <v>62373.2006643614</v>
      </c>
      <c r="AH152" s="158" t="n">
        <f aca="false">AH148+AH150-AH151</f>
        <v>31876.013587142</v>
      </c>
      <c r="AI152" s="158" t="n">
        <f aca="false">AI148+AI150-AI151</f>
        <v>-494.866374604113</v>
      </c>
      <c r="AJ152" s="158" t="n">
        <f aca="false">AJ148+AJ150-AJ151</f>
        <v>-33580.188569673</v>
      </c>
      <c r="AK152" s="158" t="n">
        <f aca="false">AK148+AK150-AK151</f>
        <v>-35257.3527904749</v>
      </c>
      <c r="AL152" s="158" t="n">
        <f aca="false">AL148+AL150-AL151</f>
        <v>-36755.5117653045</v>
      </c>
      <c r="AM152" s="158" t="n">
        <f aca="false">AM148+AM150-AM151</f>
        <v>-38066.4321850614</v>
      </c>
      <c r="AN152" s="158" t="n">
        <f aca="false">AN148+AN150-AN151</f>
        <v>-39182.9288575372</v>
      </c>
      <c r="AO152" s="158" t="n">
        <f aca="false">AO148+AO150-AO151</f>
        <v>96049.1485362359</v>
      </c>
      <c r="AP152" s="158" t="n">
        <f aca="false">AP148+AP150-AP151</f>
        <v>55287.1781061264</v>
      </c>
      <c r="AQ152" s="158" t="n">
        <f aca="false">AQ148+AQ150-AQ151</f>
        <v>14207.8644218383</v>
      </c>
      <c r="AR152" s="158" t="n">
        <f aca="false">AR148+AR150-AR151</f>
        <v>-26974.1475466604</v>
      </c>
      <c r="AS152" s="158" t="n">
        <f aca="false">AS148+AS150-AS151</f>
        <v>-40656.5301375479</v>
      </c>
      <c r="AT152" s="158" t="n">
        <f aca="false">AT148+AT150-AT151</f>
        <v>-40460.0786373081</v>
      </c>
      <c r="AU152" s="158" t="n">
        <f aca="false">AU148+AU150-AU151</f>
        <v>-40050.683301525</v>
      </c>
      <c r="AV152" s="158" t="n">
        <f aca="false">AV148+AV150-AV151</f>
        <v>-39425.3498565816</v>
      </c>
      <c r="AW152" s="158" t="n">
        <f aca="false">AW148+AW150-AW151</f>
        <v>-38571.7401424842</v>
      </c>
      <c r="AX152" s="158" t="n">
        <f aca="false">AX148+AX150-AX151</f>
        <v>-37516.261558501</v>
      </c>
      <c r="AY152" s="158" t="n">
        <f aca="false">AY148+AY150-AY151</f>
        <v>-36264.8999497656</v>
      </c>
      <c r="AZ152" s="158" t="n">
        <f aca="false">AZ148+AZ150-AZ151</f>
        <v>-34824.7370346461</v>
      </c>
      <c r="BA152" s="158" t="n">
        <f aca="false">BA148+BA150-BA151</f>
        <v>102916.409197014</v>
      </c>
      <c r="BB152" s="158" t="n">
        <f aca="false">BB148+BB150-BB151</f>
        <v>71429.3997667721</v>
      </c>
      <c r="BC152" s="158" t="n">
        <f aca="false">BC148+BC150-BC151</f>
        <v>41976.977669148</v>
      </c>
      <c r="BD152" s="158" t="n">
        <f aca="false">BD148+BD150-BD151</f>
        <v>14704.8554209242</v>
      </c>
      <c r="BE152" s="158" t="n">
        <f aca="false">BE148+BE150-BE151</f>
        <v>-10253.4950757223</v>
      </c>
      <c r="BF152" s="158" t="n">
        <f aca="false">BF148+BF150-BF151</f>
        <v>-22050.9777429406</v>
      </c>
      <c r="BG152" s="158" t="n">
        <f aca="false">BG148+BG150-BG151</f>
        <v>-19566.3422463546</v>
      </c>
      <c r="BH152" s="158" t="n">
        <f aca="false">BH148+BH150-BH151</f>
        <v>-16983.0712152557</v>
      </c>
      <c r="BI152" s="158" t="n">
        <f aca="false">BI148+BI150-BI151</f>
        <v>-14315.6792670774</v>
      </c>
      <c r="BJ152" s="158" t="n">
        <f aca="false">BJ148+BJ150-BJ151</f>
        <v>-11579.1517971325</v>
      </c>
      <c r="BK152" s="158" t="n">
        <f aca="false">BK148+BK150-BK151</f>
        <v>-8788.86117590428</v>
      </c>
      <c r="BL152" s="158" t="n">
        <f aca="false">BL148+BL150-BL151</f>
        <v>716512.80281778</v>
      </c>
      <c r="BM152" s="158" t="n">
        <f aca="false">BM148+BM150-BM151</f>
        <v>293719.878821949</v>
      </c>
      <c r="BN152" s="158" t="n">
        <f aca="false">BN148+BN150-BN151</f>
        <v>289155.797684641</v>
      </c>
      <c r="BO152" s="158" t="n">
        <f aca="false">BO148+BO150-BO151</f>
        <v>289238.039356957</v>
      </c>
      <c r="BP152" s="158" t="n">
        <f aca="false">BP148+BP150-BP151</f>
        <v>289155.797684641</v>
      </c>
      <c r="BQ152" s="158" t="n">
        <f aca="false">BQ148+BQ150-BQ151</f>
        <v>289238.039356957</v>
      </c>
      <c r="BR152" s="158" t="n">
        <f aca="false">BR148+BR150-BR151</f>
        <v>289238.039356957</v>
      </c>
      <c r="BS152" s="158" t="n">
        <f aca="false">BS148+BS150-BS151</f>
        <v>289155.797684641</v>
      </c>
      <c r="BT152" s="158" t="n">
        <f aca="false">BT148+BT150-BT151</f>
        <v>289238.039356957</v>
      </c>
      <c r="BU152" s="158" t="n">
        <f aca="false">BU148+BU150-BU151</f>
        <v>289155.797684641</v>
      </c>
      <c r="BV152" s="158" t="n">
        <f aca="false">BV148+BV150-BV151</f>
        <v>289238.039356957</v>
      </c>
      <c r="BW152" s="158" t="n">
        <f aca="false">BW148+BW150-BW151</f>
        <v>289238.039356957</v>
      </c>
      <c r="BX152" s="158" t="n">
        <f aca="false">BX148+BX150-BX151</f>
        <v>289073.556012325</v>
      </c>
      <c r="BY152" s="158" t="n">
        <f aca="false">BY148+BY150-BY151</f>
        <v>473584.278226897</v>
      </c>
      <c r="BZ152" s="158" t="n">
        <f aca="false">BZ148+BZ150-BZ151</f>
        <v>473892.384904864</v>
      </c>
      <c r="CA152" s="158" t="n">
        <f aca="false">CA148+CA150-CA151</f>
        <v>473989.177026897</v>
      </c>
      <c r="CB152" s="158" t="n">
        <f aca="false">CB148+CB150-CB151</f>
        <v>473892.384904864</v>
      </c>
      <c r="CC152" s="158" t="n">
        <f aca="false">CC148+CC150-CC151</f>
        <v>473989.177026897</v>
      </c>
      <c r="CD152" s="158" t="n">
        <f aca="false">CD148+CD150-CD151</f>
        <v>473989.177026897</v>
      </c>
      <c r="CE152" s="158" t="n">
        <f aca="false">CE148+CE150-CE151</f>
        <v>473892.384904864</v>
      </c>
      <c r="CF152" s="158" t="n">
        <f aca="false">CF148+CF150-CF151</f>
        <v>473989.177026897</v>
      </c>
      <c r="CG152" s="158" t="n">
        <f aca="false">CG148+CG150-CG151</f>
        <v>473892.384904864</v>
      </c>
      <c r="CH152" s="158" t="n">
        <f aca="false">CH148+CH150-CH151</f>
        <v>473989.177026897</v>
      </c>
      <c r="CI152" s="158" t="n">
        <f aca="false">CI148+CI150-CI151</f>
        <v>473989.177026898</v>
      </c>
      <c r="CJ152" s="158" t="n">
        <f aca="false">CJ148+CJ150-CJ151</f>
        <v>473698.800660797</v>
      </c>
      <c r="CK152" s="158" t="n">
        <f aca="false">CK148+CK150-CK151</f>
        <v>487286.770006729</v>
      </c>
      <c r="CL152" s="158" t="n">
        <f aca="false">CL148+CL150-CL151</f>
        <v>487217.192042255</v>
      </c>
      <c r="CM152" s="158" t="n">
        <f aca="false">CM148+CM150-CM151</f>
        <v>487315.920006729</v>
      </c>
      <c r="CN152" s="158" t="n">
        <f aca="false">CN148+CN150-CN151</f>
        <v>487217.192042255</v>
      </c>
      <c r="CO152" s="158" t="n">
        <f aca="false">CO148+CO150-CO151</f>
        <v>487315.920006729</v>
      </c>
      <c r="CP152" s="158" t="n">
        <f aca="false">CP148+CP150-CP151</f>
        <v>487315.920006729</v>
      </c>
      <c r="CQ152" s="158" t="n">
        <f aca="false">CQ148+CQ150-CQ151</f>
        <v>487217.192042255</v>
      </c>
      <c r="CR152" s="158" t="n">
        <f aca="false">CR148+CR150-CR151</f>
        <v>487315.920006729</v>
      </c>
      <c r="CS152" s="158" t="n">
        <f aca="false">CS148+CS150-CS151</f>
        <v>487217.192042255</v>
      </c>
      <c r="CT152" s="158" t="n">
        <f aca="false">CT148+CT150-CT151</f>
        <v>487315.920006729</v>
      </c>
      <c r="CU152" s="158" t="n">
        <f aca="false">CU148+CU150-CU151</f>
        <v>487315.920006729</v>
      </c>
      <c r="CV152" s="158" t="n">
        <f aca="false">CV148+CV150-CV151</f>
        <v>487019.736113307</v>
      </c>
      <c r="CW152" s="158" t="n">
        <f aca="false">CW148+CW150-CW151</f>
        <v>487415.464846158</v>
      </c>
      <c r="CX152" s="158" t="n">
        <f aca="false">CX148+CX150-CX151</f>
        <v>487314.762322394</v>
      </c>
      <c r="CY152" s="158" t="n">
        <f aca="false">CY148+CY150-CY151</f>
        <v>487415.464846158</v>
      </c>
      <c r="CZ152" s="158" t="n">
        <f aca="false">CZ148+CZ150-CZ151</f>
        <v>487314.762322394</v>
      </c>
      <c r="DA152" s="158" t="n">
        <f aca="false">DA148+DA150-DA151</f>
        <v>487415.464846158</v>
      </c>
      <c r="DB152" s="158" t="n">
        <f aca="false">DB148+DB150-DB151</f>
        <v>487415.464846158</v>
      </c>
      <c r="DC152" s="158" t="n">
        <f aca="false">DC148+DC150-DC151</f>
        <v>487314.762322394</v>
      </c>
      <c r="DD152" s="158" t="n">
        <f aca="false">DD148+DD150-DD151</f>
        <v>487415.464846158</v>
      </c>
      <c r="DE152" s="158" t="n">
        <f aca="false">DE148+DE150-DE151</f>
        <v>487314.762322394</v>
      </c>
      <c r="DF152" s="158" t="n">
        <f aca="false">DF148+DF150-DF151</f>
        <v>487415.464846158</v>
      </c>
      <c r="DG152" s="158" t="n">
        <f aca="false">DG148+DG150-DG151</f>
        <v>487415.464846158</v>
      </c>
      <c r="DH152" s="158" t="n">
        <f aca="false">DH148+DH150-DH151</f>
        <v>487113.357274867</v>
      </c>
      <c r="DI152" s="158" t="n">
        <f aca="false">DI148+DI150-DI151</f>
        <v>487517.000582375</v>
      </c>
      <c r="DJ152" s="158" t="n">
        <f aca="false">DJ148+DJ150-DJ151</f>
        <v>487414.284008136</v>
      </c>
      <c r="DK152" s="158" t="n">
        <f aca="false">DK148+DK150-DK151</f>
        <v>487517.000582375</v>
      </c>
      <c r="DL152" s="158" t="n">
        <f aca="false">DL148+DL150-DL151</f>
        <v>487414.284008136</v>
      </c>
      <c r="DM152" s="158" t="n">
        <f aca="false">DM148+DM150-DM151</f>
        <v>487517.000582375</v>
      </c>
      <c r="DN152" s="158" t="n">
        <f aca="false">DN148+DN150-DN151</f>
        <v>487517.000582375</v>
      </c>
      <c r="DO152" s="158" t="n">
        <f aca="false">DO148+DO150-DO151</f>
        <v>487414.284008136</v>
      </c>
      <c r="DP152" s="158" t="n">
        <f aca="false">DP148+DP150-DP151</f>
        <v>487517.000582375</v>
      </c>
      <c r="DQ152" s="158" t="n">
        <f aca="false">DQ148+DQ150-DQ151</f>
        <v>487414.284008136</v>
      </c>
      <c r="DR152" s="158" t="n">
        <f aca="false">DR148+DR150-DR151</f>
        <v>487517.000582375</v>
      </c>
      <c r="DS152" s="158" t="n">
        <f aca="false">DS148+DS150-DS151</f>
        <v>487517.000582375</v>
      </c>
      <c r="DT152" s="158" t="n">
        <f aca="false">DT148+DT150-DT151</f>
        <v>600549.464905738</v>
      </c>
      <c r="DU152" s="158" t="n">
        <f aca="false">DU148+DU150-DU151</f>
        <v>601940.743684628</v>
      </c>
      <c r="DV152" s="158" t="n">
        <f aca="false">DV148+DV150-DV151</f>
        <v>603335.500660465</v>
      </c>
      <c r="DW152" s="158" t="n">
        <f aca="false">DW148+DW150-DW151</f>
        <v>604733.744528742</v>
      </c>
      <c r="DX152" s="158" t="n">
        <f aca="false">DX148+DX150-DX151</f>
        <v>0</v>
      </c>
      <c r="DY152" s="158" t="n">
        <f aca="false">DY148+DY150-DY151</f>
        <v>0</v>
      </c>
      <c r="DZ152" s="158" t="n">
        <f aca="false">DZ148+DZ150-DZ151</f>
        <v>0</v>
      </c>
      <c r="EA152" s="158" t="n">
        <f aca="false">EA148+EA150-EA151</f>
        <v>0</v>
      </c>
      <c r="EB152" s="158" t="n">
        <f aca="false">EB148+EB150-EB151</f>
        <v>0</v>
      </c>
      <c r="EC152" s="158" t="n">
        <f aca="false">EC148+EC150-EC151</f>
        <v>0</v>
      </c>
      <c r="ED152" s="158" t="n">
        <f aca="false">ED148+ED150-ED151</f>
        <v>0</v>
      </c>
      <c r="EE152" s="158" t="n">
        <f aca="false">EE148+EE150-EE151</f>
        <v>0</v>
      </c>
      <c r="EF152" s="158" t="n">
        <f aca="false">EF148+EF150-EF151</f>
        <v>0</v>
      </c>
    </row>
    <row r="153" customFormat="false" ht="15" hidden="false" customHeight="false" outlineLevel="0" collapsed="false">
      <c r="A153" s="112" t="s">
        <v>603</v>
      </c>
      <c r="B153" s="241" t="s">
        <v>116</v>
      </c>
      <c r="C153" s="242" t="n">
        <f aca="false">SUM(E153:EF153)</f>
        <v>632619.287228062</v>
      </c>
      <c r="E153" s="158" t="n">
        <f aca="false">IF(E11=1,MAX(0,Assumption!$D$535-E152),0)</f>
        <v>0</v>
      </c>
      <c r="F153" s="158" t="n">
        <f aca="false">IF(F11=1,MAX(0,Assumption!$D$535-F152),0)</f>
        <v>0</v>
      </c>
      <c r="G153" s="158" t="n">
        <f aca="false">IF(G11=1,MAX(0,Assumption!$D$535-G152),0)</f>
        <v>0</v>
      </c>
      <c r="H153" s="158" t="n">
        <f aca="false">IF(H11=1,MAX(0,Assumption!$D$535-H152),0)</f>
        <v>0</v>
      </c>
      <c r="I153" s="158" t="n">
        <f aca="false">IF(I11=1,MAX(0,Assumption!$D$535-I152),0)</f>
        <v>0</v>
      </c>
      <c r="J153" s="158" t="n">
        <f aca="false">IF(J11=1,MAX(0,Assumption!$D$535-J152),0)</f>
        <v>0</v>
      </c>
      <c r="K153" s="158" t="n">
        <f aca="false">IF(K11=1,MAX(0,Assumption!$D$535-K152),0)</f>
        <v>0</v>
      </c>
      <c r="L153" s="158" t="n">
        <f aca="false">IF(L11=1,MAX(0,Assumption!$D$535-L152),0)</f>
        <v>0</v>
      </c>
      <c r="M153" s="158" t="n">
        <f aca="false">IF(M11=1,MAX(0,Assumption!$D$535-M152),0)</f>
        <v>0</v>
      </c>
      <c r="N153" s="158" t="n">
        <f aca="false">IF(N11=1,MAX(0,Assumption!$D$535-N152),0)</f>
        <v>0</v>
      </c>
      <c r="O153" s="158" t="n">
        <f aca="false">IF(O11=1,MAX(0,Assumption!$D$535-O152),0)</f>
        <v>0</v>
      </c>
      <c r="P153" s="158" t="n">
        <f aca="false">IF(P11=1,MAX(0,Assumption!$D$535-P152),0)</f>
        <v>0</v>
      </c>
      <c r="Q153" s="158" t="n">
        <f aca="false">IF(Q11=1,MAX(0,Assumption!$D$535-Q152),0)</f>
        <v>0</v>
      </c>
      <c r="R153" s="158" t="n">
        <f aca="false">IF(R11=1,MAX(0,Assumption!$D$535-R152),0)</f>
        <v>0</v>
      </c>
      <c r="S153" s="158" t="n">
        <f aca="false">IF(S11=1,MAX(0,Assumption!$D$535-S152),0)</f>
        <v>0</v>
      </c>
      <c r="T153" s="158" t="n">
        <f aca="false">IF(T11=1,MAX(0,Assumption!$D$535-T152),0)</f>
        <v>0</v>
      </c>
      <c r="U153" s="158" t="n">
        <f aca="false">IF(U11=1,MAX(0,Assumption!$D$535-U152),0)</f>
        <v>0</v>
      </c>
      <c r="V153" s="158" t="n">
        <f aca="false">IF(V11=1,MAX(0,Assumption!$D$535-V152),0)</f>
        <v>0</v>
      </c>
      <c r="W153" s="158" t="n">
        <f aca="false">IF(W11=1,MAX(0,Assumption!$D$535-W152),0)</f>
        <v>0</v>
      </c>
      <c r="X153" s="158" t="n">
        <f aca="false">IF(X11=1,MAX(0,Assumption!$D$535-X152),0)</f>
        <v>0</v>
      </c>
      <c r="Y153" s="158" t="n">
        <f aca="false">IF(Y11=1,MAX(0,Assumption!$D$535-Y152),0)</f>
        <v>0</v>
      </c>
      <c r="Z153" s="158" t="n">
        <f aca="false">IF(Z11=1,MAX(0,Assumption!$D$535-Z152),0)</f>
        <v>0</v>
      </c>
      <c r="AA153" s="158" t="n">
        <f aca="false">IF(AA11=1,MAX(0,Assumption!$D$535-AA152),0)</f>
        <v>0</v>
      </c>
      <c r="AB153" s="158" t="n">
        <f aca="false">IF(AB11=1,MAX(0,Assumption!$D$535-AB152),0)</f>
        <v>0</v>
      </c>
      <c r="AC153" s="158" t="n">
        <f aca="false">IF(AC11=1,MAX(0,Assumption!$D$535-AC152),0)</f>
        <v>0</v>
      </c>
      <c r="AD153" s="158" t="n">
        <f aca="false">IF(AD11=1,MAX(0,Assumption!$D$535-AD152),0)</f>
        <v>0</v>
      </c>
      <c r="AE153" s="158" t="n">
        <f aca="false">IF(AE11=1,MAX(0,Assumption!$D$535-AE152),0)</f>
        <v>0</v>
      </c>
      <c r="AF153" s="158" t="n">
        <f aca="false">IF(AF11=1,MAX(0,Assumption!$D$535-AF152),0)</f>
        <v>0</v>
      </c>
      <c r="AG153" s="158" t="n">
        <f aca="false">IF(AG11=1,MAX(0,Assumption!$D$535-AG152),0)</f>
        <v>0</v>
      </c>
      <c r="AH153" s="158" t="n">
        <f aca="false">IF(AH11=1,MAX(0,Assumption!$D$535-AH152),0)</f>
        <v>0</v>
      </c>
      <c r="AI153" s="158" t="n">
        <f aca="false">IF(AI11=1,MAX(0,Assumption!$D$535-AI152),0)</f>
        <v>994.866374604113</v>
      </c>
      <c r="AJ153" s="158" t="n">
        <f aca="false">IF(AJ11=1,MAX(0,Assumption!$D$535-AJ152),0)</f>
        <v>34080.188569673</v>
      </c>
      <c r="AK153" s="158" t="n">
        <f aca="false">IF(AK11=1,MAX(0,Assumption!$D$535-AK152),0)</f>
        <v>35757.3527904749</v>
      </c>
      <c r="AL153" s="158" t="n">
        <f aca="false">IF(AL11=1,MAX(0,Assumption!$D$535-AL152),0)</f>
        <v>37255.5117653045</v>
      </c>
      <c r="AM153" s="158" t="n">
        <f aca="false">IF(AM11=1,MAX(0,Assumption!$D$535-AM152),0)</f>
        <v>38566.4321850614</v>
      </c>
      <c r="AN153" s="158" t="n">
        <f aca="false">IF(AN11=1,MAX(0,Assumption!$D$535-AN152),0)</f>
        <v>39682.9288575372</v>
      </c>
      <c r="AO153" s="158" t="n">
        <f aca="false">IF(AO11=1,MAX(0,Assumption!$D$535-AO152),0)</f>
        <v>0</v>
      </c>
      <c r="AP153" s="158" t="n">
        <f aca="false">IF(AP11=1,MAX(0,Assumption!$D$535-AP152),0)</f>
        <v>0</v>
      </c>
      <c r="AQ153" s="158" t="n">
        <f aca="false">IF(AQ11=1,MAX(0,Assumption!$D$535-AQ152),0)</f>
        <v>0</v>
      </c>
      <c r="AR153" s="158" t="n">
        <f aca="false">IF(AR11=1,MAX(0,Assumption!$D$535-AR152),0)</f>
        <v>27474.1475466604</v>
      </c>
      <c r="AS153" s="158" t="n">
        <f aca="false">IF(AS11=1,MAX(0,Assumption!$D$535-AS152),0)</f>
        <v>41156.5301375479</v>
      </c>
      <c r="AT153" s="158" t="n">
        <f aca="false">IF(AT11=1,MAX(0,Assumption!$D$535-AT152),0)</f>
        <v>40960.0786373081</v>
      </c>
      <c r="AU153" s="158" t="n">
        <f aca="false">IF(AU11=1,MAX(0,Assumption!$D$535-AU152),0)</f>
        <v>40550.683301525</v>
      </c>
      <c r="AV153" s="158" t="n">
        <f aca="false">IF(AV11=1,MAX(0,Assumption!$D$535-AV152),0)</f>
        <v>39925.3498565816</v>
      </c>
      <c r="AW153" s="158" t="n">
        <f aca="false">IF(AW11=1,MAX(0,Assumption!$D$535-AW152),0)</f>
        <v>39071.7401424842</v>
      </c>
      <c r="AX153" s="158" t="n">
        <f aca="false">IF(AX11=1,MAX(0,Assumption!$D$535-AX152),0)</f>
        <v>38016.261558501</v>
      </c>
      <c r="AY153" s="158" t="n">
        <f aca="false">IF(AY11=1,MAX(0,Assumption!$D$535-AY152),0)</f>
        <v>36764.8999497656</v>
      </c>
      <c r="AZ153" s="158" t="n">
        <f aca="false">IF(AZ11=1,MAX(0,Assumption!$D$535-AZ152),0)</f>
        <v>35324.7370346461</v>
      </c>
      <c r="BA153" s="158" t="n">
        <f aca="false">IF(BA11=1,MAX(0,Assumption!$D$535-BA152),0)</f>
        <v>0</v>
      </c>
      <c r="BB153" s="158" t="n">
        <f aca="false">IF(BB11=1,MAX(0,Assumption!$D$535-BB152),0)</f>
        <v>0</v>
      </c>
      <c r="BC153" s="158" t="n">
        <f aca="false">IF(BC11=1,MAX(0,Assumption!$D$535-BC152),0)</f>
        <v>0</v>
      </c>
      <c r="BD153" s="158" t="n">
        <f aca="false">IF(BD11=1,MAX(0,Assumption!$D$535-BD152),0)</f>
        <v>0</v>
      </c>
      <c r="BE153" s="158" t="n">
        <f aca="false">IF(BE11=1,MAX(0,Assumption!$D$535-BE152),0)</f>
        <v>10753.4950757223</v>
      </c>
      <c r="BF153" s="158" t="n">
        <f aca="false">IF(BF11=1,MAX(0,Assumption!$D$535-BF152),0)</f>
        <v>22550.9777429406</v>
      </c>
      <c r="BG153" s="158" t="n">
        <f aca="false">IF(BG11=1,MAX(0,Assumption!$D$535-BG152),0)</f>
        <v>20066.3422463546</v>
      </c>
      <c r="BH153" s="158" t="n">
        <f aca="false">IF(BH11=1,MAX(0,Assumption!$D$535-BH152),0)</f>
        <v>17483.0712152557</v>
      </c>
      <c r="BI153" s="158" t="n">
        <f aca="false">IF(BI11=1,MAX(0,Assumption!$D$535-BI152),0)</f>
        <v>14815.6792670774</v>
      </c>
      <c r="BJ153" s="158" t="n">
        <f aca="false">IF(BJ11=1,MAX(0,Assumption!$D$535-BJ152),0)</f>
        <v>12079.1517971325</v>
      </c>
      <c r="BK153" s="158" t="n">
        <f aca="false">IF(BK11=1,MAX(0,Assumption!$D$535-BK152),0)</f>
        <v>9288.86117590428</v>
      </c>
      <c r="BL153" s="158" t="n">
        <f aca="false">IF(BL11=1,MAX(0,Assumption!$D$535-BL152),0)</f>
        <v>0</v>
      </c>
      <c r="BM153" s="158" t="n">
        <f aca="false">IF(BM11=1,MAX(0,Assumption!$D$535-BM152),0)</f>
        <v>0</v>
      </c>
      <c r="BN153" s="158" t="n">
        <f aca="false">IF(BN11=1,MAX(0,Assumption!$D$535-BN152),0)</f>
        <v>0</v>
      </c>
      <c r="BO153" s="158" t="n">
        <f aca="false">IF(BO11=1,MAX(0,Assumption!$D$535-BO152),0)</f>
        <v>0</v>
      </c>
      <c r="BP153" s="158" t="n">
        <f aca="false">IF(BP11=1,MAX(0,Assumption!$D$535-BP152),0)</f>
        <v>0</v>
      </c>
      <c r="BQ153" s="158" t="n">
        <f aca="false">IF(BQ11=1,MAX(0,Assumption!$D$535-BQ152),0)</f>
        <v>0</v>
      </c>
      <c r="BR153" s="158" t="n">
        <f aca="false">IF(BR11=1,MAX(0,Assumption!$D$535-BR152),0)</f>
        <v>0</v>
      </c>
      <c r="BS153" s="158" t="n">
        <f aca="false">IF(BS11=1,MAX(0,Assumption!$D$535-BS152),0)</f>
        <v>0</v>
      </c>
      <c r="BT153" s="158" t="n">
        <f aca="false">IF(BT11=1,MAX(0,Assumption!$D$535-BT152),0)</f>
        <v>0</v>
      </c>
      <c r="BU153" s="158" t="n">
        <f aca="false">IF(BU11=1,MAX(0,Assumption!$D$535-BU152),0)</f>
        <v>0</v>
      </c>
      <c r="BV153" s="158" t="n">
        <f aca="false">IF(BV11=1,MAX(0,Assumption!$D$535-BV152),0)</f>
        <v>0</v>
      </c>
      <c r="BW153" s="158" t="n">
        <f aca="false">IF(BW11=1,MAX(0,Assumption!$D$535-BW152),0)</f>
        <v>0</v>
      </c>
      <c r="BX153" s="158" t="n">
        <f aca="false">IF(BX11=1,MAX(0,Assumption!$D$535-BX152),0)</f>
        <v>0</v>
      </c>
      <c r="BY153" s="158" t="n">
        <f aca="false">IF(BY11=1,MAX(0,Assumption!$D$535-BY152),0)</f>
        <v>0</v>
      </c>
      <c r="BZ153" s="158" t="n">
        <f aca="false">IF(BZ11=1,MAX(0,Assumption!$D$535-BZ152),0)</f>
        <v>0</v>
      </c>
      <c r="CA153" s="158" t="n">
        <f aca="false">IF(CA11=1,MAX(0,Assumption!$D$535-CA152),0)</f>
        <v>0</v>
      </c>
      <c r="CB153" s="158" t="n">
        <f aca="false">IF(CB11=1,MAX(0,Assumption!$D$535-CB152),0)</f>
        <v>0</v>
      </c>
      <c r="CC153" s="158" t="n">
        <f aca="false">IF(CC11=1,MAX(0,Assumption!$D$535-CC152),0)</f>
        <v>0</v>
      </c>
      <c r="CD153" s="158" t="n">
        <f aca="false">IF(CD11=1,MAX(0,Assumption!$D$535-CD152),0)</f>
        <v>0</v>
      </c>
      <c r="CE153" s="158" t="n">
        <f aca="false">IF(CE11=1,MAX(0,Assumption!$D$535-CE152),0)</f>
        <v>0</v>
      </c>
      <c r="CF153" s="158" t="n">
        <f aca="false">IF(CF11=1,MAX(0,Assumption!$D$535-CF152),0)</f>
        <v>0</v>
      </c>
      <c r="CG153" s="158" t="n">
        <f aca="false">IF(CG11=1,MAX(0,Assumption!$D$535-CG152),0)</f>
        <v>0</v>
      </c>
      <c r="CH153" s="158" t="n">
        <f aca="false">IF(CH11=1,MAX(0,Assumption!$D$535-CH152),0)</f>
        <v>0</v>
      </c>
      <c r="CI153" s="158" t="n">
        <f aca="false">IF(CI11=1,MAX(0,Assumption!$D$535-CI152),0)</f>
        <v>0</v>
      </c>
      <c r="CJ153" s="158" t="n">
        <f aca="false">IF(CJ11=1,MAX(0,Assumption!$D$535-CJ152),0)</f>
        <v>0</v>
      </c>
      <c r="CK153" s="158" t="n">
        <f aca="false">IF(CK11=1,MAX(0,Assumption!$D$535-CK152),0)</f>
        <v>0</v>
      </c>
      <c r="CL153" s="158" t="n">
        <f aca="false">IF(CL11=1,MAX(0,Assumption!$D$535-CL152),0)</f>
        <v>0</v>
      </c>
      <c r="CM153" s="158" t="n">
        <f aca="false">IF(CM11=1,MAX(0,Assumption!$D$535-CM152),0)</f>
        <v>0</v>
      </c>
      <c r="CN153" s="158" t="n">
        <f aca="false">IF(CN11=1,MAX(0,Assumption!$D$535-CN152),0)</f>
        <v>0</v>
      </c>
      <c r="CO153" s="158" t="n">
        <f aca="false">IF(CO11=1,MAX(0,Assumption!$D$535-CO152),0)</f>
        <v>0</v>
      </c>
      <c r="CP153" s="158" t="n">
        <f aca="false">IF(CP11=1,MAX(0,Assumption!$D$535-CP152),0)</f>
        <v>0</v>
      </c>
      <c r="CQ153" s="158" t="n">
        <f aca="false">IF(CQ11=1,MAX(0,Assumption!$D$535-CQ152),0)</f>
        <v>0</v>
      </c>
      <c r="CR153" s="158" t="n">
        <f aca="false">IF(CR11=1,MAX(0,Assumption!$D$535-CR152),0)</f>
        <v>0</v>
      </c>
      <c r="CS153" s="158" t="n">
        <f aca="false">IF(CS11=1,MAX(0,Assumption!$D$535-CS152),0)</f>
        <v>0</v>
      </c>
      <c r="CT153" s="158" t="n">
        <f aca="false">IF(CT11=1,MAX(0,Assumption!$D$535-CT152),0)</f>
        <v>0</v>
      </c>
      <c r="CU153" s="158" t="n">
        <f aca="false">IF(CU11=1,MAX(0,Assumption!$D$535-CU152),0)</f>
        <v>0</v>
      </c>
      <c r="CV153" s="158" t="n">
        <f aca="false">IF(CV11=1,MAX(0,Assumption!$D$535-CV152),0)</f>
        <v>0</v>
      </c>
      <c r="CW153" s="158" t="n">
        <f aca="false">IF(CW11=1,MAX(0,Assumption!$D$535-CW152),0)</f>
        <v>0</v>
      </c>
      <c r="CX153" s="158" t="n">
        <f aca="false">IF(CX11=1,MAX(0,Assumption!$D$535-CX152),0)</f>
        <v>0</v>
      </c>
      <c r="CY153" s="158" t="n">
        <f aca="false">IF(CY11=1,MAX(0,Assumption!$D$535-CY152),0)</f>
        <v>0</v>
      </c>
      <c r="CZ153" s="158" t="n">
        <f aca="false">IF(CZ11=1,MAX(0,Assumption!$D$535-CZ152),0)</f>
        <v>0</v>
      </c>
      <c r="DA153" s="158" t="n">
        <f aca="false">IF(DA11=1,MAX(0,Assumption!$D$535-DA152),0)</f>
        <v>0</v>
      </c>
      <c r="DB153" s="158" t="n">
        <f aca="false">IF(DB11=1,MAX(0,Assumption!$D$535-DB152),0)</f>
        <v>0</v>
      </c>
      <c r="DC153" s="158" t="n">
        <f aca="false">IF(DC11=1,MAX(0,Assumption!$D$535-DC152),0)</f>
        <v>0</v>
      </c>
      <c r="DD153" s="158" t="n">
        <f aca="false">IF(DD11=1,MAX(0,Assumption!$D$535-DD152),0)</f>
        <v>0</v>
      </c>
      <c r="DE153" s="158" t="n">
        <f aca="false">IF(DE11=1,MAX(0,Assumption!$D$535-DE152),0)</f>
        <v>0</v>
      </c>
      <c r="DF153" s="158" t="n">
        <f aca="false">IF(DF11=1,MAX(0,Assumption!$D$535-DF152),0)</f>
        <v>0</v>
      </c>
      <c r="DG153" s="158" t="n">
        <f aca="false">IF(DG11=1,MAX(0,Assumption!$D$535-DG152),0)</f>
        <v>0</v>
      </c>
      <c r="DH153" s="158" t="n">
        <f aca="false">IF(DH11=1,MAX(0,Assumption!$D$535-DH152),0)</f>
        <v>0</v>
      </c>
      <c r="DI153" s="158" t="n">
        <f aca="false">IF(DI11=1,MAX(0,Assumption!$D$535-DI152),0)</f>
        <v>0</v>
      </c>
      <c r="DJ153" s="158" t="n">
        <f aca="false">IF(DJ11=1,MAX(0,Assumption!$D$535-DJ152),0)</f>
        <v>0</v>
      </c>
      <c r="DK153" s="158" t="n">
        <f aca="false">IF(DK11=1,MAX(0,Assumption!$D$535-DK152),0)</f>
        <v>0</v>
      </c>
      <c r="DL153" s="158" t="n">
        <f aca="false">IF(DL11=1,MAX(0,Assumption!$D$535-DL152),0)</f>
        <v>0</v>
      </c>
      <c r="DM153" s="158" t="n">
        <f aca="false">IF(DM11=1,MAX(0,Assumption!$D$535-DM152),0)</f>
        <v>0</v>
      </c>
      <c r="DN153" s="158" t="n">
        <f aca="false">IF(DN11=1,MAX(0,Assumption!$D$535-DN152),0)</f>
        <v>0</v>
      </c>
      <c r="DO153" s="158" t="n">
        <f aca="false">IF(DO11=1,MAX(0,Assumption!$D$535-DO152),0)</f>
        <v>0</v>
      </c>
      <c r="DP153" s="158" t="n">
        <f aca="false">IF(DP11=1,MAX(0,Assumption!$D$535-DP152),0)</f>
        <v>0</v>
      </c>
      <c r="DQ153" s="158" t="n">
        <f aca="false">IF(DQ11=1,MAX(0,Assumption!$D$535-DQ152),0)</f>
        <v>0</v>
      </c>
      <c r="DR153" s="158" t="n">
        <f aca="false">IF(DR11=1,MAX(0,Assumption!$D$535-DR152),0)</f>
        <v>0</v>
      </c>
      <c r="DS153" s="158" t="n">
        <f aca="false">IF(DS11=1,MAX(0,Assumption!$D$535-DS152),0)</f>
        <v>0</v>
      </c>
      <c r="DT153" s="158" t="n">
        <f aca="false">IF(DT11=1,MAX(0,Assumption!$D$535-DT152),0)</f>
        <v>0</v>
      </c>
      <c r="DU153" s="158" t="n">
        <f aca="false">IF(DU11=1,MAX(0,Assumption!$D$535-DU152),0)</f>
        <v>0</v>
      </c>
      <c r="DV153" s="158" t="n">
        <f aca="false">IF(DV11=1,MAX(0,Assumption!$D$535-DV152),0)</f>
        <v>0</v>
      </c>
      <c r="DW153" s="158" t="n">
        <f aca="false">IF(DW11=1,MAX(0,Assumption!$D$535-DW152),0)</f>
        <v>0</v>
      </c>
      <c r="DX153" s="158" t="n">
        <f aca="false">IF(DX11=1,MAX(0,Assumption!$D$535-DX152),0)</f>
        <v>0</v>
      </c>
      <c r="DY153" s="158" t="n">
        <f aca="false">IF(DY11=1,MAX(0,Assumption!$D$535-DY152),0)</f>
        <v>0</v>
      </c>
      <c r="DZ153" s="158" t="n">
        <f aca="false">IF(DZ11=1,MAX(0,Assumption!$D$535-DZ152),0)</f>
        <v>0</v>
      </c>
      <c r="EA153" s="158" t="n">
        <f aca="false">IF(EA11=1,MAX(0,Assumption!$D$535-EA152),0)</f>
        <v>0</v>
      </c>
      <c r="EB153" s="158" t="n">
        <f aca="false">IF(EB11=1,MAX(0,Assumption!$D$535-EB152),0)</f>
        <v>0</v>
      </c>
      <c r="EC153" s="158" t="n">
        <f aca="false">IF(EC11=1,MAX(0,Assumption!$D$535-EC152),0)</f>
        <v>0</v>
      </c>
      <c r="ED153" s="158" t="n">
        <f aca="false">IF(ED11=1,MAX(0,Assumption!$D$535-ED152),0)</f>
        <v>0</v>
      </c>
      <c r="EE153" s="158" t="n">
        <f aca="false">IF(EE11=1,MAX(0,Assumption!$D$535-EE152),0)</f>
        <v>0</v>
      </c>
      <c r="EF153" s="158" t="n">
        <f aca="false">IF(EF11=1,MAX(0,Assumption!$D$535-EF152),0)</f>
        <v>0</v>
      </c>
    </row>
    <row r="154" customFormat="false" ht="15" hidden="false" customHeight="false" outlineLevel="0" collapsed="false">
      <c r="A154" s="35" t="s">
        <v>604</v>
      </c>
      <c r="B154" s="241" t="s">
        <v>116</v>
      </c>
      <c r="E154" s="158" t="n">
        <f aca="false">E152+E116-E120</f>
        <v>13781.8916972522</v>
      </c>
      <c r="F154" s="158" t="n">
        <f aca="false">F152+F116-F120</f>
        <v>13723.3869335295</v>
      </c>
      <c r="G154" s="158" t="n">
        <f aca="false">G152+G116-G120</f>
        <v>13664.7359078975</v>
      </c>
      <c r="H154" s="158" t="n">
        <f aca="false">H152+H116-H120</f>
        <v>2605.93825470144</v>
      </c>
      <c r="I154" s="158" t="n">
        <f aca="false">I152+I116-I120</f>
        <v>2519.49360737239</v>
      </c>
      <c r="J154" s="158" t="n">
        <f aca="false">J152+J116-J120</f>
        <v>2432.83284842502</v>
      </c>
      <c r="K154" s="158" t="n">
        <f aca="false">K152+K116-K120</f>
        <v>2345.95543758027</v>
      </c>
      <c r="L154" s="158" t="n">
        <f aca="false">L152+L116-L120</f>
        <v>2258.86083320842</v>
      </c>
      <c r="M154" s="158" t="n">
        <f aca="false">M152+M116-M120</f>
        <v>2171.54849232563</v>
      </c>
      <c r="N154" s="158" t="n">
        <f aca="false">N152+N116-N120</f>
        <v>2084.01787059064</v>
      </c>
      <c r="O154" s="158" t="n">
        <f aca="false">O152+O116-O120</f>
        <v>1996.26842230131</v>
      </c>
      <c r="P154" s="158" t="n">
        <f aca="false">P152+P116-P120</f>
        <v>1908.29960039126</v>
      </c>
      <c r="Q154" s="158" t="n">
        <f aca="false">Q152+Q116-Q120</f>
        <v>69880.2708564264</v>
      </c>
      <c r="R154" s="158" t="n">
        <f aca="false">R152+R116-R120</f>
        <v>69962.0120406017</v>
      </c>
      <c r="S154" s="158" t="n">
        <f aca="false">S152+S116-S120</f>
        <v>70043.9575777374</v>
      </c>
      <c r="T154" s="158" t="n">
        <f aca="false">T152+T116-T120</f>
        <v>70126.1079787159</v>
      </c>
      <c r="U154" s="158" t="n">
        <f aca="false">U152+U116-U120</f>
        <v>70208.4637556969</v>
      </c>
      <c r="V154" s="158" t="n">
        <f aca="false">V152+V116-V120</f>
        <v>70291.0254221204</v>
      </c>
      <c r="W154" s="158" t="n">
        <f aca="false">W152+W116-W120</f>
        <v>101558.248520083</v>
      </c>
      <c r="X154" s="158" t="n">
        <f aca="false">X152+X116-X120</f>
        <v>96062.8172763069</v>
      </c>
      <c r="Y154" s="158" t="n">
        <f aca="false">Y152+Y116-Y120</f>
        <v>87702.9610742074</v>
      </c>
      <c r="Z154" s="158" t="n">
        <f aca="false">Z152+Z116-Z120</f>
        <v>76511.5993653224</v>
      </c>
      <c r="AA154" s="158" t="n">
        <f aca="false">AA152+AA116-AA120</f>
        <v>62537.4519479104</v>
      </c>
      <c r="AB154" s="158" t="n">
        <f aca="false">AB152+AB116-AB120</f>
        <v>45844.7664196244</v>
      </c>
      <c r="AC154" s="158" t="n">
        <f aca="false">AC152+AC116-AC120</f>
        <v>162633.278792217</v>
      </c>
      <c r="AD154" s="158" t="n">
        <f aca="false">AD152+AD116-AD120</f>
        <v>141096.790078104</v>
      </c>
      <c r="AE154" s="158" t="n">
        <f aca="false">AE152+AE116-AE120</f>
        <v>117124.508085008</v>
      </c>
      <c r="AF154" s="158" t="n">
        <f aca="false">AF152+AF116-AF120</f>
        <v>90838.364482285</v>
      </c>
      <c r="AG154" s="158" t="n">
        <f aca="false">AG152+AG116-AG120</f>
        <v>62373.2006643614</v>
      </c>
      <c r="AH154" s="158" t="n">
        <f aca="false">AH152+AH116-AH120</f>
        <v>31876.013587142</v>
      </c>
      <c r="AI154" s="158" t="n">
        <f aca="false">AI152+AI116-AI120</f>
        <v>500</v>
      </c>
      <c r="AJ154" s="158" t="n">
        <f aca="false">AJ152+AJ116-AJ120</f>
        <v>500</v>
      </c>
      <c r="AK154" s="158" t="n">
        <f aca="false">AK152+AK116-AK120</f>
        <v>500</v>
      </c>
      <c r="AL154" s="158" t="n">
        <f aca="false">AL152+AL116-AL120</f>
        <v>500</v>
      </c>
      <c r="AM154" s="158" t="n">
        <f aca="false">AM152+AM116-AM120</f>
        <v>500</v>
      </c>
      <c r="AN154" s="158" t="n">
        <f aca="false">AN152+AN116-AN120</f>
        <v>500</v>
      </c>
      <c r="AO154" s="158" t="n">
        <f aca="false">AO152+AO116-AO120</f>
        <v>96049.1485362359</v>
      </c>
      <c r="AP154" s="158" t="n">
        <f aca="false">AP152+AP116-AP120</f>
        <v>55287.1781061264</v>
      </c>
      <c r="AQ154" s="158" t="n">
        <f aca="false">AQ152+AQ116-AQ120</f>
        <v>14207.8644218383</v>
      </c>
      <c r="AR154" s="158" t="n">
        <f aca="false">AR152+AR116-AR120</f>
        <v>500</v>
      </c>
      <c r="AS154" s="158" t="n">
        <f aca="false">AS152+AS116-AS120</f>
        <v>500</v>
      </c>
      <c r="AT154" s="158" t="n">
        <f aca="false">AT152+AT116-AT120</f>
        <v>500</v>
      </c>
      <c r="AU154" s="158" t="n">
        <f aca="false">AU152+AU116-AU120</f>
        <v>500</v>
      </c>
      <c r="AV154" s="158" t="n">
        <f aca="false">AV152+AV116-AV120</f>
        <v>500</v>
      </c>
      <c r="AW154" s="158" t="n">
        <f aca="false">AW152+AW116-AW120</f>
        <v>500</v>
      </c>
      <c r="AX154" s="158" t="n">
        <f aca="false">AX152+AX116-AX120</f>
        <v>500</v>
      </c>
      <c r="AY154" s="158" t="n">
        <f aca="false">AY152+AY116-AY120</f>
        <v>500</v>
      </c>
      <c r="AZ154" s="158" t="n">
        <f aca="false">AZ152+AZ116-AZ120</f>
        <v>500</v>
      </c>
      <c r="BA154" s="158" t="n">
        <f aca="false">BA152+BA116-BA120</f>
        <v>102916.409197014</v>
      </c>
      <c r="BB154" s="158" t="n">
        <f aca="false">BB152+BB116-BB120</f>
        <v>71429.3997667721</v>
      </c>
      <c r="BC154" s="158" t="n">
        <f aca="false">BC152+BC116-BC120</f>
        <v>41976.977669148</v>
      </c>
      <c r="BD154" s="158" t="n">
        <f aca="false">BD152+BD116-BD120</f>
        <v>14704.8554209242</v>
      </c>
      <c r="BE154" s="158" t="n">
        <f aca="false">BE152+BE116-BE120</f>
        <v>500</v>
      </c>
      <c r="BF154" s="158" t="n">
        <f aca="false">BF152+BF116-BF120</f>
        <v>500</v>
      </c>
      <c r="BG154" s="158" t="n">
        <f aca="false">BG152+BG116-BG120</f>
        <v>500</v>
      </c>
      <c r="BH154" s="158" t="n">
        <f aca="false">BH152+BH116-BH120</f>
        <v>500</v>
      </c>
      <c r="BI154" s="158" t="n">
        <f aca="false">BI152+BI116-BI120</f>
        <v>500</v>
      </c>
      <c r="BJ154" s="158" t="n">
        <f aca="false">BJ152+BJ116-BJ120</f>
        <v>500</v>
      </c>
      <c r="BK154" s="158" t="n">
        <f aca="false">BK152+BK116-BK120</f>
        <v>500</v>
      </c>
      <c r="BL154" s="158" t="n">
        <f aca="false">BL152+BL116-BL120</f>
        <v>83893.5155897173</v>
      </c>
      <c r="BM154" s="158" t="n">
        <f aca="false">BM152+BM116-BM120</f>
        <v>293719.878821949</v>
      </c>
      <c r="BN154" s="158" t="n">
        <f aca="false">BN152+BN116-BN120</f>
        <v>289155.797684641</v>
      </c>
      <c r="BO154" s="158" t="n">
        <f aca="false">BO152+BO116-BO120</f>
        <v>289238.039356957</v>
      </c>
      <c r="BP154" s="158" t="n">
        <f aca="false">BP152+BP116-BP120</f>
        <v>289155.797684641</v>
      </c>
      <c r="BQ154" s="158" t="n">
        <f aca="false">BQ152+BQ116-BQ120</f>
        <v>289238.039356957</v>
      </c>
      <c r="BR154" s="158" t="n">
        <f aca="false">BR152+BR116-BR120</f>
        <v>289238.039356957</v>
      </c>
      <c r="BS154" s="158" t="n">
        <f aca="false">BS152+BS116-BS120</f>
        <v>289155.797684641</v>
      </c>
      <c r="BT154" s="158" t="n">
        <f aca="false">BT152+BT116-BT120</f>
        <v>289238.039356957</v>
      </c>
      <c r="BU154" s="158" t="n">
        <f aca="false">BU152+BU116-BU120</f>
        <v>289155.797684641</v>
      </c>
      <c r="BV154" s="158" t="n">
        <f aca="false">BV152+BV116-BV120</f>
        <v>289238.039356957</v>
      </c>
      <c r="BW154" s="158" t="n">
        <f aca="false">BW152+BW116-BW120</f>
        <v>289238.039356957</v>
      </c>
      <c r="BX154" s="158" t="n">
        <f aca="false">BX152+BX116-BX120</f>
        <v>289073.556012325</v>
      </c>
      <c r="BY154" s="158" t="n">
        <f aca="false">BY152+BY116-BY120</f>
        <v>473584.278226897</v>
      </c>
      <c r="BZ154" s="158" t="n">
        <f aca="false">BZ152+BZ116-BZ120</f>
        <v>473892.384904864</v>
      </c>
      <c r="CA154" s="158" t="n">
        <f aca="false">CA152+CA116-CA120</f>
        <v>473989.177026897</v>
      </c>
      <c r="CB154" s="158" t="n">
        <f aca="false">CB152+CB116-CB120</f>
        <v>473892.384904864</v>
      </c>
      <c r="CC154" s="158" t="n">
        <f aca="false">CC152+CC116-CC120</f>
        <v>473989.177026897</v>
      </c>
      <c r="CD154" s="158" t="n">
        <f aca="false">CD152+CD116-CD120</f>
        <v>473989.177026897</v>
      </c>
      <c r="CE154" s="158" t="n">
        <f aca="false">CE152+CE116-CE120</f>
        <v>473892.384904864</v>
      </c>
      <c r="CF154" s="158" t="n">
        <f aca="false">CF152+CF116-CF120</f>
        <v>473989.177026897</v>
      </c>
      <c r="CG154" s="158" t="n">
        <f aca="false">CG152+CG116-CG120</f>
        <v>473892.384904864</v>
      </c>
      <c r="CH154" s="158" t="n">
        <f aca="false">CH152+CH116-CH120</f>
        <v>473989.177026897</v>
      </c>
      <c r="CI154" s="158" t="n">
        <f aca="false">CI152+CI116-CI120</f>
        <v>473989.177026898</v>
      </c>
      <c r="CJ154" s="158" t="n">
        <f aca="false">CJ152+CJ116-CJ120</f>
        <v>473698.800660797</v>
      </c>
      <c r="CK154" s="158" t="n">
        <f aca="false">CK152+CK116-CK120</f>
        <v>487286.770006729</v>
      </c>
      <c r="CL154" s="158" t="n">
        <f aca="false">CL152+CL116-CL120</f>
        <v>487217.192042255</v>
      </c>
      <c r="CM154" s="158" t="n">
        <f aca="false">CM152+CM116-CM120</f>
        <v>487315.920006729</v>
      </c>
      <c r="CN154" s="158" t="n">
        <f aca="false">CN152+CN116-CN120</f>
        <v>487217.192042255</v>
      </c>
      <c r="CO154" s="158" t="n">
        <f aca="false">CO152+CO116-CO120</f>
        <v>487315.920006729</v>
      </c>
      <c r="CP154" s="158" t="n">
        <f aca="false">CP152+CP116-CP120</f>
        <v>487315.920006729</v>
      </c>
      <c r="CQ154" s="158" t="n">
        <f aca="false">CQ152+CQ116-CQ120</f>
        <v>487217.192042255</v>
      </c>
      <c r="CR154" s="158" t="n">
        <f aca="false">CR152+CR116-CR120</f>
        <v>487315.920006729</v>
      </c>
      <c r="CS154" s="158" t="n">
        <f aca="false">CS152+CS116-CS120</f>
        <v>487217.192042255</v>
      </c>
      <c r="CT154" s="158" t="n">
        <f aca="false">CT152+CT116-CT120</f>
        <v>487315.920006729</v>
      </c>
      <c r="CU154" s="158" t="n">
        <f aca="false">CU152+CU116-CU120</f>
        <v>487315.920006729</v>
      </c>
      <c r="CV154" s="158" t="n">
        <f aca="false">CV152+CV116-CV120</f>
        <v>487019.736113307</v>
      </c>
      <c r="CW154" s="158" t="n">
        <f aca="false">CW152+CW116-CW120</f>
        <v>487415.464846158</v>
      </c>
      <c r="CX154" s="158" t="n">
        <f aca="false">CX152+CX116-CX120</f>
        <v>487314.762322394</v>
      </c>
      <c r="CY154" s="158" t="n">
        <f aca="false">CY152+CY116-CY120</f>
        <v>487415.464846158</v>
      </c>
      <c r="CZ154" s="158" t="n">
        <f aca="false">CZ152+CZ116-CZ120</f>
        <v>487314.762322394</v>
      </c>
      <c r="DA154" s="158" t="n">
        <f aca="false">DA152+DA116-DA120</f>
        <v>487415.464846158</v>
      </c>
      <c r="DB154" s="158" t="n">
        <f aca="false">DB152+DB116-DB120</f>
        <v>487415.464846158</v>
      </c>
      <c r="DC154" s="158" t="n">
        <f aca="false">DC152+DC116-DC120</f>
        <v>487314.762322394</v>
      </c>
      <c r="DD154" s="158" t="n">
        <f aca="false">DD152+DD116-DD120</f>
        <v>487415.464846158</v>
      </c>
      <c r="DE154" s="158" t="n">
        <f aca="false">DE152+DE116-DE120</f>
        <v>487314.762322394</v>
      </c>
      <c r="DF154" s="158" t="n">
        <f aca="false">DF152+DF116-DF120</f>
        <v>487415.464846158</v>
      </c>
      <c r="DG154" s="158" t="n">
        <f aca="false">DG152+DG116-DG120</f>
        <v>487415.464846158</v>
      </c>
      <c r="DH154" s="158" t="n">
        <f aca="false">DH152+DH116-DH120</f>
        <v>487113.357274867</v>
      </c>
      <c r="DI154" s="158" t="n">
        <f aca="false">DI152+DI116-DI120</f>
        <v>487517.000582375</v>
      </c>
      <c r="DJ154" s="158" t="n">
        <f aca="false">DJ152+DJ116-DJ120</f>
        <v>487414.284008136</v>
      </c>
      <c r="DK154" s="158" t="n">
        <f aca="false">DK152+DK116-DK120</f>
        <v>487517.000582375</v>
      </c>
      <c r="DL154" s="158" t="n">
        <f aca="false">DL152+DL116-DL120</f>
        <v>487414.284008136</v>
      </c>
      <c r="DM154" s="158" t="n">
        <f aca="false">DM152+DM116-DM120</f>
        <v>487517.000582375</v>
      </c>
      <c r="DN154" s="158" t="n">
        <f aca="false">DN152+DN116-DN120</f>
        <v>487517.000582375</v>
      </c>
      <c r="DO154" s="158" t="n">
        <f aca="false">DO152+DO116-DO120</f>
        <v>487414.284008136</v>
      </c>
      <c r="DP154" s="158" t="n">
        <f aca="false">DP152+DP116-DP120</f>
        <v>487517.000582375</v>
      </c>
      <c r="DQ154" s="158" t="n">
        <f aca="false">DQ152+DQ116-DQ120</f>
        <v>487414.284008136</v>
      </c>
      <c r="DR154" s="158" t="n">
        <f aca="false">DR152+DR116-DR120</f>
        <v>487517.000582375</v>
      </c>
      <c r="DS154" s="158" t="n">
        <f aca="false">DS152+DS116-DS120</f>
        <v>487517.000582375</v>
      </c>
      <c r="DT154" s="158" t="n">
        <f aca="false">DT152+DT116-DT120</f>
        <v>600549.464905738</v>
      </c>
      <c r="DU154" s="158" t="n">
        <f aca="false">DU152+DU116-DU120</f>
        <v>601940.743684628</v>
      </c>
      <c r="DV154" s="158" t="n">
        <f aca="false">DV152+DV116-DV120</f>
        <v>603335.500660465</v>
      </c>
      <c r="DW154" s="158" t="n">
        <f aca="false">DW152+DW116-DW120</f>
        <v>604733.744528742</v>
      </c>
      <c r="DX154" s="158" t="n">
        <f aca="false">DX152+DX116-DX120</f>
        <v>0</v>
      </c>
      <c r="DY154" s="158" t="n">
        <f aca="false">DY152+DY116-DY120</f>
        <v>0</v>
      </c>
      <c r="DZ154" s="158" t="n">
        <f aca="false">DZ152+DZ116-DZ120</f>
        <v>0</v>
      </c>
      <c r="EA154" s="158" t="n">
        <f aca="false">EA152+EA116-EA120</f>
        <v>0</v>
      </c>
      <c r="EB154" s="158" t="n">
        <f aca="false">EB152+EB116-EB120</f>
        <v>0</v>
      </c>
      <c r="EC154" s="158" t="n">
        <f aca="false">EC152+EC116-EC120</f>
        <v>0</v>
      </c>
      <c r="ED154" s="158" t="n">
        <f aca="false">ED152+ED116-ED120</f>
        <v>0</v>
      </c>
      <c r="EE154" s="158" t="n">
        <f aca="false">EE152+EE116-EE120</f>
        <v>0</v>
      </c>
      <c r="EF154" s="158" t="n">
        <f aca="false">EF152+EF116-EF120</f>
        <v>0</v>
      </c>
    </row>
    <row r="155" customFormat="false" ht="15" hidden="false" customHeight="false" outlineLevel="0" collapsed="false">
      <c r="A155" s="35" t="s">
        <v>605</v>
      </c>
      <c r="B155" s="236"/>
      <c r="E155" s="238" t="n">
        <f aca="false">IF(E6=Assumption!$E$24,2,IF(AND(E14=1,E6&lt;Assumption!$E$22),1,0))</f>
        <v>0</v>
      </c>
      <c r="F155" s="238" t="n">
        <f aca="false">IF(F6=Assumption!$E$24,2,IF(AND(F14=1,F6&lt;Assumption!$E$22),1,0))</f>
        <v>0</v>
      </c>
      <c r="G155" s="238" t="n">
        <f aca="false">IF(G6=Assumption!$E$24,2,IF(AND(G14=1,G6&lt;Assumption!$E$22),1,0))</f>
        <v>0</v>
      </c>
      <c r="H155" s="238" t="n">
        <f aca="false">IF(H6=Assumption!$E$24,2,IF(AND(H14=1,H6&lt;Assumption!$E$22),1,0))</f>
        <v>0</v>
      </c>
      <c r="I155" s="238" t="n">
        <f aca="false">IF(I6=Assumption!$E$24,2,IF(AND(I14=1,I6&lt;Assumption!$E$22),1,0))</f>
        <v>0</v>
      </c>
      <c r="J155" s="238" t="n">
        <f aca="false">IF(J6=Assumption!$E$24,2,IF(AND(J14=1,J6&lt;Assumption!$E$22),1,0))</f>
        <v>0</v>
      </c>
      <c r="K155" s="238" t="n">
        <f aca="false">IF(K6=Assumption!$E$24,2,IF(AND(K14=1,K6&lt;Assumption!$E$22),1,0))</f>
        <v>0</v>
      </c>
      <c r="L155" s="238" t="n">
        <f aca="false">IF(L6=Assumption!$E$24,2,IF(AND(L14=1,L6&lt;Assumption!$E$22),1,0))</f>
        <v>0</v>
      </c>
      <c r="M155" s="238" t="n">
        <f aca="false">IF(M6=Assumption!$E$24,2,IF(AND(M14=1,M6&lt;Assumption!$E$22),1,0))</f>
        <v>0</v>
      </c>
      <c r="N155" s="238" t="n">
        <f aca="false">IF(N6=Assumption!$E$24,2,IF(AND(N14=1,N6&lt;Assumption!$E$22),1,0))</f>
        <v>0</v>
      </c>
      <c r="O155" s="238" t="n">
        <f aca="false">IF(O6=Assumption!$E$24,2,IF(AND(O14=1,O6&lt;Assumption!$E$22),1,0))</f>
        <v>0</v>
      </c>
      <c r="P155" s="238" t="n">
        <f aca="false">IF(P6=Assumption!$E$24,2,IF(AND(P14=1,P6&lt;Assumption!$E$22),1,0))</f>
        <v>0</v>
      </c>
      <c r="Q155" s="238" t="n">
        <f aca="false">IF(Q6=Assumption!$E$24,2,IF(AND(Q14=1,Q6&lt;Assumption!$E$22),1,0))</f>
        <v>0</v>
      </c>
      <c r="R155" s="238" t="n">
        <f aca="false">IF(R6=Assumption!$E$24,2,IF(AND(R14=1,R6&lt;Assumption!$E$22),1,0))</f>
        <v>0</v>
      </c>
      <c r="S155" s="238" t="n">
        <f aca="false">IF(S6=Assumption!$E$24,2,IF(AND(S14=1,S6&lt;Assumption!$E$22),1,0))</f>
        <v>0</v>
      </c>
      <c r="T155" s="238" t="n">
        <f aca="false">IF(T6=Assumption!$E$24,2,IF(AND(T14=1,T6&lt;Assumption!$E$22),1,0))</f>
        <v>0</v>
      </c>
      <c r="U155" s="238" t="n">
        <f aca="false">IF(U6=Assumption!$E$24,2,IF(AND(U14=1,U6&lt;Assumption!$E$22),1,0))</f>
        <v>0</v>
      </c>
      <c r="V155" s="238" t="n">
        <f aca="false">IF(V6=Assumption!$E$24,2,IF(AND(V14=1,V6&lt;Assumption!$E$22),1,0))</f>
        <v>0</v>
      </c>
      <c r="W155" s="238" t="n">
        <f aca="false">IF(W6=Assumption!$E$24,2,IF(AND(W14=1,W6&lt;Assumption!$E$22),1,0))</f>
        <v>0</v>
      </c>
      <c r="X155" s="238" t="n">
        <f aca="false">IF(X6=Assumption!$E$24,2,IF(AND(X14=1,X6&lt;Assumption!$E$22),1,0))</f>
        <v>0</v>
      </c>
      <c r="Y155" s="238" t="n">
        <f aca="false">IF(Y6=Assumption!$E$24,2,IF(AND(Y14=1,Y6&lt;Assumption!$E$22),1,0))</f>
        <v>0</v>
      </c>
      <c r="Z155" s="238" t="n">
        <f aca="false">IF(Z6=Assumption!$E$24,2,IF(AND(Z14=1,Z6&lt;Assumption!$E$22),1,0))</f>
        <v>0</v>
      </c>
      <c r="AA155" s="238" t="n">
        <f aca="false">IF(AA6=Assumption!$E$24,2,IF(AND(AA14=1,AA6&lt;Assumption!$E$22),1,0))</f>
        <v>0</v>
      </c>
      <c r="AB155" s="238" t="n">
        <f aca="false">IF(AB6=Assumption!$E$24,2,IF(AND(AB14=1,AB6&lt;Assumption!$E$22),1,0))</f>
        <v>0</v>
      </c>
      <c r="AC155" s="238" t="n">
        <f aca="false">IF(AC6=Assumption!$E$24,2,IF(AND(AC14=1,AC6&lt;Assumption!$E$22),1,0))</f>
        <v>0</v>
      </c>
      <c r="AD155" s="238" t="n">
        <f aca="false">IF(AD6=Assumption!$E$24,2,IF(AND(AD14=1,AD6&lt;Assumption!$E$22),1,0))</f>
        <v>0</v>
      </c>
      <c r="AE155" s="238" t="n">
        <f aca="false">IF(AE6=Assumption!$E$24,2,IF(AND(AE14=1,AE6&lt;Assumption!$E$22),1,0))</f>
        <v>0</v>
      </c>
      <c r="AF155" s="238" t="n">
        <f aca="false">IF(AF6=Assumption!$E$24,2,IF(AND(AF14=1,AF6&lt;Assumption!$E$22),1,0))</f>
        <v>0</v>
      </c>
      <c r="AG155" s="238" t="n">
        <f aca="false">IF(AG6=Assumption!$E$24,2,IF(AND(AG14=1,AG6&lt;Assumption!$E$22),1,0))</f>
        <v>0</v>
      </c>
      <c r="AH155" s="238" t="n">
        <f aca="false">IF(AH6=Assumption!$E$24,2,IF(AND(AH14=1,AH6&lt;Assumption!$E$22),1,0))</f>
        <v>0</v>
      </c>
      <c r="AI155" s="238" t="n">
        <f aca="false">IF(AI6=Assumption!$E$24,2,IF(AND(AI14=1,AI6&lt;Assumption!$E$22),1,0))</f>
        <v>0</v>
      </c>
      <c r="AJ155" s="238" t="n">
        <f aca="false">IF(AJ6=Assumption!$E$24,2,IF(AND(AJ14=1,AJ6&lt;Assumption!$E$22),1,0))</f>
        <v>0</v>
      </c>
      <c r="AK155" s="238" t="n">
        <f aca="false">IF(AK6=Assumption!$E$24,2,IF(AND(AK14=1,AK6&lt;Assumption!$E$22),1,0))</f>
        <v>0</v>
      </c>
      <c r="AL155" s="238" t="n">
        <f aca="false">IF(AL6=Assumption!$E$24,2,IF(AND(AL14=1,AL6&lt;Assumption!$E$22),1,0))</f>
        <v>0</v>
      </c>
      <c r="AM155" s="238" t="n">
        <f aca="false">IF(AM6=Assumption!$E$24,2,IF(AND(AM14=1,AM6&lt;Assumption!$E$22),1,0))</f>
        <v>0</v>
      </c>
      <c r="AN155" s="238" t="n">
        <f aca="false">IF(AN6=Assumption!$E$24,2,IF(AND(AN14=1,AN6&lt;Assumption!$E$22),1,0))</f>
        <v>0</v>
      </c>
      <c r="AO155" s="238" t="n">
        <f aca="false">IF(AO6=Assumption!$E$24,2,IF(AND(AO14=1,AO6&lt;Assumption!$E$22),1,0))</f>
        <v>0</v>
      </c>
      <c r="AP155" s="238" t="n">
        <f aca="false">IF(AP6=Assumption!$E$24,2,IF(AND(AP14=1,AP6&lt;Assumption!$E$22),1,0))</f>
        <v>0</v>
      </c>
      <c r="AQ155" s="238" t="n">
        <f aca="false">IF(AQ6=Assumption!$E$24,2,IF(AND(AQ14=1,AQ6&lt;Assumption!$E$22),1,0))</f>
        <v>0</v>
      </c>
      <c r="AR155" s="238" t="n">
        <f aca="false">IF(AR6=Assumption!$E$24,2,IF(AND(AR14=1,AR6&lt;Assumption!$E$22),1,0))</f>
        <v>0</v>
      </c>
      <c r="AS155" s="238" t="n">
        <f aca="false">IF(AS6=Assumption!$E$24,2,IF(AND(AS14=1,AS6&lt;Assumption!$E$22),1,0))</f>
        <v>0</v>
      </c>
      <c r="AT155" s="238" t="n">
        <f aca="false">IF(AT6=Assumption!$E$24,2,IF(AND(AT14=1,AT6&lt;Assumption!$E$22),1,0))</f>
        <v>0</v>
      </c>
      <c r="AU155" s="238" t="n">
        <f aca="false">IF(AU6=Assumption!$E$24,2,IF(AND(AU14=1,AU6&lt;Assumption!$E$22),1,0))</f>
        <v>0</v>
      </c>
      <c r="AV155" s="238" t="n">
        <f aca="false">IF(AV6=Assumption!$E$24,2,IF(AND(AV14=1,AV6&lt;Assumption!$E$22),1,0))</f>
        <v>0</v>
      </c>
      <c r="AW155" s="238" t="n">
        <f aca="false">IF(AW6=Assumption!$E$24,2,IF(AND(AW14=1,AW6&lt;Assumption!$E$22),1,0))</f>
        <v>0</v>
      </c>
      <c r="AX155" s="238" t="n">
        <f aca="false">IF(AX6=Assumption!$E$24,2,IF(AND(AX14=1,AX6&lt;Assumption!$E$22),1,0))</f>
        <v>0</v>
      </c>
      <c r="AY155" s="238" t="n">
        <f aca="false">IF(AY6=Assumption!$E$24,2,IF(AND(AY14=1,AY6&lt;Assumption!$E$22),1,0))</f>
        <v>0</v>
      </c>
      <c r="AZ155" s="238" t="n">
        <f aca="false">IF(AZ6=Assumption!$E$24,2,IF(AND(AZ14=1,AZ6&lt;Assumption!$E$22),1,0))</f>
        <v>0</v>
      </c>
      <c r="BA155" s="238" t="n">
        <f aca="false">IF(BA6=Assumption!$E$24,2,IF(AND(BA14=1,BA6&lt;Assumption!$E$22),1,0))</f>
        <v>0</v>
      </c>
      <c r="BB155" s="238" t="n">
        <f aca="false">IF(BB6=Assumption!$E$24,2,IF(AND(BB14=1,BB6&lt;Assumption!$E$22),1,0))</f>
        <v>0</v>
      </c>
      <c r="BC155" s="238" t="n">
        <f aca="false">IF(BC6=Assumption!$E$24,2,IF(AND(BC14=1,BC6&lt;Assumption!$E$22),1,0))</f>
        <v>0</v>
      </c>
      <c r="BD155" s="238" t="n">
        <f aca="false">IF(BD6=Assumption!$E$24,2,IF(AND(BD14=1,BD6&lt;Assumption!$E$22),1,0))</f>
        <v>0</v>
      </c>
      <c r="BE155" s="238" t="n">
        <f aca="false">IF(BE6=Assumption!$E$24,2,IF(AND(BE14=1,BE6&lt;Assumption!$E$22),1,0))</f>
        <v>0</v>
      </c>
      <c r="BF155" s="238" t="n">
        <f aca="false">IF(BF6=Assumption!$E$24,2,IF(AND(BF14=1,BF6&lt;Assumption!$E$22),1,0))</f>
        <v>0</v>
      </c>
      <c r="BG155" s="238" t="n">
        <f aca="false">IF(BG6=Assumption!$E$24,2,IF(AND(BG14=1,BG6&lt;Assumption!$E$22),1,0))</f>
        <v>0</v>
      </c>
      <c r="BH155" s="238" t="n">
        <f aca="false">IF(BH6=Assumption!$E$24,2,IF(AND(BH14=1,BH6&lt;Assumption!$E$22),1,0))</f>
        <v>0</v>
      </c>
      <c r="BI155" s="238" t="n">
        <f aca="false">IF(BI6=Assumption!$E$24,2,IF(AND(BI14=1,BI6&lt;Assumption!$E$22),1,0))</f>
        <v>0</v>
      </c>
      <c r="BJ155" s="238" t="n">
        <f aca="false">IF(BJ6=Assumption!$E$24,2,IF(AND(BJ14=1,BJ6&lt;Assumption!$E$22),1,0))</f>
        <v>0</v>
      </c>
      <c r="BK155" s="238" t="n">
        <f aca="false">IF(BK6=Assumption!$E$24,2,IF(AND(BK14=1,BK6&lt;Assumption!$E$22),1,0))</f>
        <v>0</v>
      </c>
      <c r="BL155" s="238" t="n">
        <f aca="false">IF(BL6=Assumption!$E$24,2,IF(AND(BL14=1,BL6&lt;Assumption!$E$22),1,0))</f>
        <v>0</v>
      </c>
      <c r="BM155" s="238" t="n">
        <f aca="false">IF(BM6=Assumption!$E$24,2,IF(AND(BM14=1,BM6&lt;Assumption!$E$22),1,0))</f>
        <v>1</v>
      </c>
      <c r="BN155" s="238" t="n">
        <f aca="false">IF(BN6=Assumption!$E$24,2,IF(AND(BN14=1,BN6&lt;Assumption!$E$22),1,0))</f>
        <v>1</v>
      </c>
      <c r="BO155" s="238" t="n">
        <f aca="false">IF(BO6=Assumption!$E$24,2,IF(AND(BO14=1,BO6&lt;Assumption!$E$22),1,0))</f>
        <v>1</v>
      </c>
      <c r="BP155" s="238" t="n">
        <f aca="false">IF(BP6=Assumption!$E$24,2,IF(AND(BP14=1,BP6&lt;Assumption!$E$22),1,0))</f>
        <v>1</v>
      </c>
      <c r="BQ155" s="238" t="n">
        <f aca="false">IF(BQ6=Assumption!$E$24,2,IF(AND(BQ14=1,BQ6&lt;Assumption!$E$22),1,0))</f>
        <v>1</v>
      </c>
      <c r="BR155" s="238" t="n">
        <f aca="false">IF(BR6=Assumption!$E$24,2,IF(AND(BR14=1,BR6&lt;Assumption!$E$22),1,0))</f>
        <v>1</v>
      </c>
      <c r="BS155" s="238" t="n">
        <f aca="false">IF(BS6=Assumption!$E$24,2,IF(AND(BS14=1,BS6&lt;Assumption!$E$22),1,0))</f>
        <v>1</v>
      </c>
      <c r="BT155" s="238" t="n">
        <f aca="false">IF(BT6=Assumption!$E$24,2,IF(AND(BT14=1,BT6&lt;Assumption!$E$22),1,0))</f>
        <v>1</v>
      </c>
      <c r="BU155" s="238" t="n">
        <f aca="false">IF(BU6=Assumption!$E$24,2,IF(AND(BU14=1,BU6&lt;Assumption!$E$22),1,0))</f>
        <v>1</v>
      </c>
      <c r="BV155" s="238" t="n">
        <f aca="false">IF(BV6=Assumption!$E$24,2,IF(AND(BV14=1,BV6&lt;Assumption!$E$22),1,0))</f>
        <v>1</v>
      </c>
      <c r="BW155" s="238" t="n">
        <f aca="false">IF(BW6=Assumption!$E$24,2,IF(AND(BW14=1,BW6&lt;Assumption!$E$22),1,0))</f>
        <v>1</v>
      </c>
      <c r="BX155" s="238" t="n">
        <f aca="false">IF(BX6=Assumption!$E$24,2,IF(AND(BX14=1,BX6&lt;Assumption!$E$22),1,0))</f>
        <v>1</v>
      </c>
      <c r="BY155" s="238" t="n">
        <f aca="false">IF(BY6=Assumption!$E$24,2,IF(AND(BY14=1,BY6&lt;Assumption!$E$22),1,0))</f>
        <v>1</v>
      </c>
      <c r="BZ155" s="238" t="n">
        <f aca="false">IF(BZ6=Assumption!$E$24,2,IF(AND(BZ14=1,BZ6&lt;Assumption!$E$22),1,0))</f>
        <v>1</v>
      </c>
      <c r="CA155" s="238" t="n">
        <f aca="false">IF(CA6=Assumption!$E$24,2,IF(AND(CA14=1,CA6&lt;Assumption!$E$22),1,0))</f>
        <v>1</v>
      </c>
      <c r="CB155" s="238" t="n">
        <f aca="false">IF(CB6=Assumption!$E$24,2,IF(AND(CB14=1,CB6&lt;Assumption!$E$22),1,0))</f>
        <v>1</v>
      </c>
      <c r="CC155" s="238" t="n">
        <f aca="false">IF(CC6=Assumption!$E$24,2,IF(AND(CC14=1,CC6&lt;Assumption!$E$22),1,0))</f>
        <v>1</v>
      </c>
      <c r="CD155" s="238" t="n">
        <f aca="false">IF(CD6=Assumption!$E$24,2,IF(AND(CD14=1,CD6&lt;Assumption!$E$22),1,0))</f>
        <v>1</v>
      </c>
      <c r="CE155" s="238" t="n">
        <f aca="false">IF(CE6=Assumption!$E$24,2,IF(AND(CE14=1,CE6&lt;Assumption!$E$22),1,0))</f>
        <v>1</v>
      </c>
      <c r="CF155" s="238" t="n">
        <f aca="false">IF(CF6=Assumption!$E$24,2,IF(AND(CF14=1,CF6&lt;Assumption!$E$22),1,0))</f>
        <v>1</v>
      </c>
      <c r="CG155" s="238" t="n">
        <f aca="false">IF(CG6=Assumption!$E$24,2,IF(AND(CG14=1,CG6&lt;Assumption!$E$22),1,0))</f>
        <v>1</v>
      </c>
      <c r="CH155" s="238" t="n">
        <f aca="false">IF(CH6=Assumption!$E$24,2,IF(AND(CH14=1,CH6&lt;Assumption!$E$22),1,0))</f>
        <v>1</v>
      </c>
      <c r="CI155" s="238" t="n">
        <f aca="false">IF(CI6=Assumption!$E$24,2,IF(AND(CI14=1,CI6&lt;Assumption!$E$22),1,0))</f>
        <v>1</v>
      </c>
      <c r="CJ155" s="238" t="n">
        <f aca="false">IF(CJ6=Assumption!$E$24,2,IF(AND(CJ14=1,CJ6&lt;Assumption!$E$22),1,0))</f>
        <v>1</v>
      </c>
      <c r="CK155" s="238" t="n">
        <f aca="false">IF(CK6=Assumption!$E$24,2,IF(AND(CK14=1,CK6&lt;Assumption!$E$22),1,0))</f>
        <v>1</v>
      </c>
      <c r="CL155" s="238" t="n">
        <f aca="false">IF(CL6=Assumption!$E$24,2,IF(AND(CL14=1,CL6&lt;Assumption!$E$22),1,0))</f>
        <v>1</v>
      </c>
      <c r="CM155" s="238" t="n">
        <f aca="false">IF(CM6=Assumption!$E$24,2,IF(AND(CM14=1,CM6&lt;Assumption!$E$22),1,0))</f>
        <v>1</v>
      </c>
      <c r="CN155" s="238" t="n">
        <f aca="false">IF(CN6=Assumption!$E$24,2,IF(AND(CN14=1,CN6&lt;Assumption!$E$22),1,0))</f>
        <v>1</v>
      </c>
      <c r="CO155" s="238" t="n">
        <f aca="false">IF(CO6=Assumption!$E$24,2,IF(AND(CO14=1,CO6&lt;Assumption!$E$22),1,0))</f>
        <v>1</v>
      </c>
      <c r="CP155" s="238" t="n">
        <f aca="false">IF(CP6=Assumption!$E$24,2,IF(AND(CP14=1,CP6&lt;Assumption!$E$22),1,0))</f>
        <v>1</v>
      </c>
      <c r="CQ155" s="238" t="n">
        <f aca="false">IF(CQ6=Assumption!$E$24,2,IF(AND(CQ14=1,CQ6&lt;Assumption!$E$22),1,0))</f>
        <v>1</v>
      </c>
      <c r="CR155" s="238" t="n">
        <f aca="false">IF(CR6=Assumption!$E$24,2,IF(AND(CR14=1,CR6&lt;Assumption!$E$22),1,0))</f>
        <v>1</v>
      </c>
      <c r="CS155" s="238" t="n">
        <f aca="false">IF(CS6=Assumption!$E$24,2,IF(AND(CS14=1,CS6&lt;Assumption!$E$22),1,0))</f>
        <v>1</v>
      </c>
      <c r="CT155" s="238" t="n">
        <f aca="false">IF(CT6=Assumption!$E$24,2,IF(AND(CT14=1,CT6&lt;Assumption!$E$22),1,0))</f>
        <v>1</v>
      </c>
      <c r="CU155" s="238" t="n">
        <f aca="false">IF(CU6=Assumption!$E$24,2,IF(AND(CU14=1,CU6&lt;Assumption!$E$22),1,0))</f>
        <v>1</v>
      </c>
      <c r="CV155" s="238" t="n">
        <f aca="false">IF(CV6=Assumption!$E$24,2,IF(AND(CV14=1,CV6&lt;Assumption!$E$22),1,0))</f>
        <v>1</v>
      </c>
      <c r="CW155" s="238" t="n">
        <f aca="false">IF(CW6=Assumption!$E$24,2,IF(AND(CW14=1,CW6&lt;Assumption!$E$22),1,0))</f>
        <v>1</v>
      </c>
      <c r="CX155" s="238" t="n">
        <f aca="false">IF(CX6=Assumption!$E$24,2,IF(AND(CX14=1,CX6&lt;Assumption!$E$22),1,0))</f>
        <v>1</v>
      </c>
      <c r="CY155" s="238" t="n">
        <f aca="false">IF(CY6=Assumption!$E$24,2,IF(AND(CY14=1,CY6&lt;Assumption!$E$22),1,0))</f>
        <v>1</v>
      </c>
      <c r="CZ155" s="238" t="n">
        <f aca="false">IF(CZ6=Assumption!$E$24,2,IF(AND(CZ14=1,CZ6&lt;Assumption!$E$22),1,0))</f>
        <v>1</v>
      </c>
      <c r="DA155" s="238" t="n">
        <f aca="false">IF(DA6=Assumption!$E$24,2,IF(AND(DA14=1,DA6&lt;Assumption!$E$22),1,0))</f>
        <v>1</v>
      </c>
      <c r="DB155" s="238" t="n">
        <f aca="false">IF(DB6=Assumption!$E$24,2,IF(AND(DB14=1,DB6&lt;Assumption!$E$22),1,0))</f>
        <v>1</v>
      </c>
      <c r="DC155" s="238" t="n">
        <f aca="false">IF(DC6=Assumption!$E$24,2,IF(AND(DC14=1,DC6&lt;Assumption!$E$22),1,0))</f>
        <v>1</v>
      </c>
      <c r="DD155" s="238" t="n">
        <f aca="false">IF(DD6=Assumption!$E$24,2,IF(AND(DD14=1,DD6&lt;Assumption!$E$22),1,0))</f>
        <v>1</v>
      </c>
      <c r="DE155" s="238" t="n">
        <f aca="false">IF(DE6=Assumption!$E$24,2,IF(AND(DE14=1,DE6&lt;Assumption!$E$22),1,0))</f>
        <v>1</v>
      </c>
      <c r="DF155" s="238" t="n">
        <f aca="false">IF(DF6=Assumption!$E$24,2,IF(AND(DF14=1,DF6&lt;Assumption!$E$22),1,0))</f>
        <v>1</v>
      </c>
      <c r="DG155" s="238" t="n">
        <f aca="false">IF(DG6=Assumption!$E$24,2,IF(AND(DG14=1,DG6&lt;Assumption!$E$22),1,0))</f>
        <v>1</v>
      </c>
      <c r="DH155" s="238" t="n">
        <f aca="false">IF(DH6=Assumption!$E$24,2,IF(AND(DH14=1,DH6&lt;Assumption!$E$22),1,0))</f>
        <v>1</v>
      </c>
      <c r="DI155" s="238" t="n">
        <f aca="false">IF(DI6=Assumption!$E$24,2,IF(AND(DI14=1,DI6&lt;Assumption!$E$22),1,0))</f>
        <v>1</v>
      </c>
      <c r="DJ155" s="238" t="n">
        <f aca="false">IF(DJ6=Assumption!$E$24,2,IF(AND(DJ14=1,DJ6&lt;Assumption!$E$22),1,0))</f>
        <v>1</v>
      </c>
      <c r="DK155" s="238" t="n">
        <f aca="false">IF(DK6=Assumption!$E$24,2,IF(AND(DK14=1,DK6&lt;Assumption!$E$22),1,0))</f>
        <v>1</v>
      </c>
      <c r="DL155" s="238" t="n">
        <f aca="false">IF(DL6=Assumption!$E$24,2,IF(AND(DL14=1,DL6&lt;Assumption!$E$22),1,0))</f>
        <v>1</v>
      </c>
      <c r="DM155" s="238" t="n">
        <f aca="false">IF(DM6=Assumption!$E$24,2,IF(AND(DM14=1,DM6&lt;Assumption!$E$22),1,0))</f>
        <v>1</v>
      </c>
      <c r="DN155" s="238" t="n">
        <f aca="false">IF(DN6=Assumption!$E$24,2,IF(AND(DN14=1,DN6&lt;Assumption!$E$22),1,0))</f>
        <v>1</v>
      </c>
      <c r="DO155" s="238" t="n">
        <f aca="false">IF(DO6=Assumption!$E$24,2,IF(AND(DO14=1,DO6&lt;Assumption!$E$22),1,0))</f>
        <v>1</v>
      </c>
      <c r="DP155" s="238" t="n">
        <f aca="false">IF(DP6=Assumption!$E$24,2,IF(AND(DP14=1,DP6&lt;Assumption!$E$22),1,0))</f>
        <v>1</v>
      </c>
      <c r="DQ155" s="238" t="n">
        <f aca="false">IF(DQ6=Assumption!$E$24,2,IF(AND(DQ14=1,DQ6&lt;Assumption!$E$22),1,0))</f>
        <v>1</v>
      </c>
      <c r="DR155" s="238" t="n">
        <f aca="false">IF(DR6=Assumption!$E$24,2,IF(AND(DR14=1,DR6&lt;Assumption!$E$22),1,0))</f>
        <v>1</v>
      </c>
      <c r="DS155" s="238" t="n">
        <f aca="false">IF(DS6=Assumption!$E$24,2,IF(AND(DS14=1,DS6&lt;Assumption!$E$22),1,0))</f>
        <v>1</v>
      </c>
      <c r="DT155" s="238" t="n">
        <f aca="false">IF(DT6=Assumption!$E$24,2,IF(AND(DT14=1,DT6&lt;Assumption!$E$22),1,0))</f>
        <v>0</v>
      </c>
      <c r="DU155" s="238" t="n">
        <f aca="false">IF(DU6=Assumption!$E$24,2,IF(AND(DU14=1,DU6&lt;Assumption!$E$22),1,0))</f>
        <v>0</v>
      </c>
      <c r="DV155" s="238" t="n">
        <f aca="false">IF(DV6=Assumption!$E$24,2,IF(AND(DV14=1,DV6&lt;Assumption!$E$22),1,0))</f>
        <v>0</v>
      </c>
      <c r="DW155" s="238" t="n">
        <f aca="false">IF(DW6=Assumption!$E$24,2,IF(AND(DW14=1,DW6&lt;Assumption!$E$22),1,0))</f>
        <v>2</v>
      </c>
      <c r="DX155" s="238" t="n">
        <f aca="false">IF(DX6=Assumption!$E$24,2,IF(AND(DX14=1,DX6&lt;Assumption!$E$22),1,0))</f>
        <v>0</v>
      </c>
      <c r="DY155" s="238" t="n">
        <f aca="false">IF(DY6=Assumption!$E$24,2,IF(AND(DY14=1,DY6&lt;Assumption!$E$22),1,0))</f>
        <v>0</v>
      </c>
      <c r="DZ155" s="238" t="n">
        <f aca="false">IF(DZ6=Assumption!$E$24,2,IF(AND(DZ14=1,DZ6&lt;Assumption!$E$22),1,0))</f>
        <v>0</v>
      </c>
      <c r="EA155" s="238" t="n">
        <f aca="false">IF(EA6=Assumption!$E$24,2,IF(AND(EA14=1,EA6&lt;Assumption!$E$22),1,0))</f>
        <v>0</v>
      </c>
      <c r="EB155" s="238" t="n">
        <f aca="false">IF(EB6=Assumption!$E$24,2,IF(AND(EB14=1,EB6&lt;Assumption!$E$22),1,0))</f>
        <v>0</v>
      </c>
      <c r="EC155" s="238" t="n">
        <f aca="false">IF(EC6=Assumption!$E$24,2,IF(AND(EC14=1,EC6&lt;Assumption!$E$22),1,0))</f>
        <v>0</v>
      </c>
      <c r="ED155" s="238" t="n">
        <f aca="false">IF(ED6=Assumption!$E$24,2,IF(AND(ED14=1,ED6&lt;Assumption!$E$22),1,0))</f>
        <v>0</v>
      </c>
      <c r="EE155" s="238" t="n">
        <f aca="false">IF(EE6=Assumption!$E$24,2,IF(AND(EE14=1,EE6&lt;Assumption!$E$22),1,0))</f>
        <v>0</v>
      </c>
      <c r="EF155" s="238" t="n">
        <f aca="false">IF(EF6=Assumption!$E$24,2,IF(AND(EF14=1,EF6&lt;Assumption!$E$22),1,0))</f>
        <v>0</v>
      </c>
    </row>
    <row r="156" customFormat="false" ht="15" hidden="false" customHeight="false" outlineLevel="0" collapsed="false">
      <c r="A156" s="35" t="s">
        <v>606</v>
      </c>
      <c r="B156" s="241" t="s">
        <v>116</v>
      </c>
      <c r="C156" s="242" t="n">
        <f aca="false">SUM(E156:EF156)</f>
        <v>128817.89377389</v>
      </c>
      <c r="E156" s="158" t="n">
        <f aca="false">E75+E149-E129-E135</f>
        <v>0</v>
      </c>
      <c r="F156" s="158" t="n">
        <f aca="false">F75+F149-F129-F135</f>
        <v>34.4547292431304</v>
      </c>
      <c r="G156" s="158" t="n">
        <f aca="false">G75+G149-G129-G135</f>
        <v>34.3084673338237</v>
      </c>
      <c r="H156" s="158" t="n">
        <f aca="false">H75+H149-H129-H135</f>
        <v>34.1618397697438</v>
      </c>
      <c r="I156" s="158" t="n">
        <f aca="false">I75+I149-I129-I135</f>
        <v>6.5148456367536</v>
      </c>
      <c r="J156" s="158" t="n">
        <f aca="false">J75+J149-J129-J135</f>
        <v>6.29873401843097</v>
      </c>
      <c r="K156" s="158" t="n">
        <f aca="false">K75+K149-K129-K135</f>
        <v>6.08208212106254</v>
      </c>
      <c r="L156" s="158" t="n">
        <f aca="false">L75+L149-L129-L135</f>
        <v>5.86488859395068</v>
      </c>
      <c r="M156" s="158" t="n">
        <f aca="false">M75+M149-M129-M135</f>
        <v>5.64715208302105</v>
      </c>
      <c r="N156" s="158" t="n">
        <f aca="false">N75+N149-N129-N135</f>
        <v>5.42887123081409</v>
      </c>
      <c r="O156" s="158" t="n">
        <f aca="false">O75+O149-O129-O135</f>
        <v>5.21004467647661</v>
      </c>
      <c r="P156" s="158" t="n">
        <f aca="false">P75+P149-P129-P135</f>
        <v>4.99067105575329</v>
      </c>
      <c r="Q156" s="158" t="n">
        <f aca="false">Q75+Q149-Q129-Q135</f>
        <v>4.77074900097816</v>
      </c>
      <c r="R156" s="158" t="n">
        <f aca="false">R75+R149-R129-R135</f>
        <v>174.700677141066</v>
      </c>
      <c r="S156" s="158" t="n">
        <f aca="false">S75+S149-S129-S135</f>
        <v>174.905030101504</v>
      </c>
      <c r="T156" s="158" t="n">
        <f aca="false">T75+T149-T129-T135</f>
        <v>175.109893944344</v>
      </c>
      <c r="U156" s="158" t="n">
        <f aca="false">U75+U149-U129-U135</f>
        <v>175.31526994679</v>
      </c>
      <c r="V156" s="158" t="n">
        <f aca="false">V75+V149-V129-V135</f>
        <v>175.521159389242</v>
      </c>
      <c r="W156" s="158" t="n">
        <f aca="false">W75+W149-W129-W135</f>
        <v>175.727563555301</v>
      </c>
      <c r="X156" s="158" t="n">
        <f aca="false">X75+X149-X129-X135</f>
        <v>253.895621300208</v>
      </c>
      <c r="Y156" s="158" t="n">
        <f aca="false">Y75+Y149-Y129-Y135</f>
        <v>240.157043190767</v>
      </c>
      <c r="Z156" s="158" t="n">
        <f aca="false">Z75+Z149-Z129-Z135</f>
        <v>219.257402685518</v>
      </c>
      <c r="AA156" s="158" t="n">
        <f aca="false">AA75+AA149-AA129-AA135</f>
        <v>191.278998413306</v>
      </c>
      <c r="AB156" s="158" t="n">
        <f aca="false">AB75+AB149-AB129-AB135</f>
        <v>156.343629869776</v>
      </c>
      <c r="AC156" s="158" t="n">
        <f aca="false">AC75+AC149-AC129-AC135</f>
        <v>114.611916049061</v>
      </c>
      <c r="AD156" s="158" t="n">
        <f aca="false">AD75+AD149-AD129-AD135</f>
        <v>406.583196980542</v>
      </c>
      <c r="AE156" s="158" t="n">
        <f aca="false">AE75+AE149-AE129-AE135</f>
        <v>352.74197519526</v>
      </c>
      <c r="AF156" s="158" t="n">
        <f aca="false">AF75+AF149-AF129-AF135</f>
        <v>292.81127021252</v>
      </c>
      <c r="AG156" s="158" t="n">
        <f aca="false">AG75+AG149-AG129-AG135</f>
        <v>227.095911205712</v>
      </c>
      <c r="AH156" s="158" t="n">
        <f aca="false">AH75+AH149-AH129-AH135</f>
        <v>155.933001660904</v>
      </c>
      <c r="AI156" s="158" t="n">
        <f aca="false">AI75+AI149-AI129-AI135</f>
        <v>79.6900339678551</v>
      </c>
      <c r="AJ156" s="158" t="n">
        <f aca="false">AJ75+AJ149-AJ129-AJ135</f>
        <v>1.25</v>
      </c>
      <c r="AK156" s="158" t="n">
        <f aca="false">AK75+AK149-AK129-AK135</f>
        <v>1.25</v>
      </c>
      <c r="AL156" s="158" t="n">
        <f aca="false">AL75+AL149-AL129-AL135</f>
        <v>1.25</v>
      </c>
      <c r="AM156" s="158" t="n">
        <f aca="false">AM75+AM149-AM129-AM135</f>
        <v>1.25</v>
      </c>
      <c r="AN156" s="158" t="n">
        <f aca="false">AN75+AN149-AN129-AN135</f>
        <v>1.25</v>
      </c>
      <c r="AO156" s="158" t="n">
        <f aca="false">AO75+AO149-AO129-AO135</f>
        <v>1.25</v>
      </c>
      <c r="AP156" s="158" t="n">
        <f aca="false">AP75+AP149-AP129-AP135</f>
        <v>240.12287134059</v>
      </c>
      <c r="AQ156" s="158" t="n">
        <f aca="false">AQ75+AQ149-AQ129-AQ135</f>
        <v>138.217945265316</v>
      </c>
      <c r="AR156" s="158" t="n">
        <f aca="false">AR75+AR149-AR129-AR135</f>
        <v>35.5196610545957</v>
      </c>
      <c r="AS156" s="158" t="n">
        <f aca="false">AS75+AS149-AS129-AS135</f>
        <v>1.25</v>
      </c>
      <c r="AT156" s="158" t="n">
        <f aca="false">AT75+AT149-AT129-AT135</f>
        <v>1.25</v>
      </c>
      <c r="AU156" s="158" t="n">
        <f aca="false">AU75+AU149-AU129-AU135</f>
        <v>1.25</v>
      </c>
      <c r="AV156" s="158" t="n">
        <f aca="false">AV75+AV149-AV129-AV135</f>
        <v>1.25</v>
      </c>
      <c r="AW156" s="158" t="n">
        <f aca="false">AW75+AW149-AW129-AW135</f>
        <v>1.25</v>
      </c>
      <c r="AX156" s="158" t="n">
        <f aca="false">AX75+AX149-AX129-AX135</f>
        <v>1.25</v>
      </c>
      <c r="AY156" s="158" t="n">
        <f aca="false">AY75+AY149-AY129-AY135</f>
        <v>1.25</v>
      </c>
      <c r="AZ156" s="158" t="n">
        <f aca="false">AZ75+AZ149-AZ129-AZ135</f>
        <v>1.25</v>
      </c>
      <c r="BA156" s="158" t="n">
        <f aca="false">BA75+BA149-BA129-BA135</f>
        <v>1.25</v>
      </c>
      <c r="BB156" s="158" t="n">
        <f aca="false">BB75+BB149-BB129-BB135</f>
        <v>257.291022992536</v>
      </c>
      <c r="BC156" s="158" t="n">
        <f aca="false">BC75+BC149-BC129-BC135</f>
        <v>178.57349941693</v>
      </c>
      <c r="BD156" s="158" t="n">
        <f aca="false">BD75+BD149-BD129-BD135</f>
        <v>104.94244417287</v>
      </c>
      <c r="BE156" s="158" t="n">
        <f aca="false">BE75+BE149-BE129-BE135</f>
        <v>36.7621385523106</v>
      </c>
      <c r="BF156" s="158" t="n">
        <f aca="false">BF75+BF149-BF129-BF135</f>
        <v>1.25</v>
      </c>
      <c r="BG156" s="158" t="n">
        <f aca="false">BG75+BG149-BG129-BG135</f>
        <v>1.25</v>
      </c>
      <c r="BH156" s="158" t="n">
        <f aca="false">BH75+BH149-BH129-BH135</f>
        <v>1.25</v>
      </c>
      <c r="BI156" s="158" t="n">
        <f aca="false">BI75+BI149-BI129-BI135</f>
        <v>1.25</v>
      </c>
      <c r="BJ156" s="158" t="n">
        <f aca="false">BJ75+BJ149-BJ129-BJ135</f>
        <v>1.25</v>
      </c>
      <c r="BK156" s="158" t="n">
        <f aca="false">BK75+BK149-BK129-BK135</f>
        <v>1.25</v>
      </c>
      <c r="BL156" s="158" t="n">
        <f aca="false">BL75+BL149-BL129-BL135</f>
        <v>1.25</v>
      </c>
      <c r="BM156" s="158" t="n">
        <f aca="false">BM75+BM149-BM129-BM135</f>
        <v>529.85002934101</v>
      </c>
      <c r="BN156" s="158" t="n">
        <f aca="false">BN75+BN149-BN129-BN135</f>
        <v>880.111144401344</v>
      </c>
      <c r="BO156" s="158" t="n">
        <f aca="false">BO75+BO149-BO129-BO135</f>
        <v>962.352816717315</v>
      </c>
      <c r="BP156" s="158" t="n">
        <f aca="false">BP75+BP149-BP129-BP135</f>
        <v>880.111144401344</v>
      </c>
      <c r="BQ156" s="158" t="n">
        <f aca="false">BQ75+BQ149-BQ129-BQ135</f>
        <v>962.352816717315</v>
      </c>
      <c r="BR156" s="158" t="n">
        <f aca="false">BR75+BR149-BR129-BR135</f>
        <v>962.352816717315</v>
      </c>
      <c r="BS156" s="158" t="n">
        <f aca="false">BS75+BS149-BS129-BS135</f>
        <v>880.111144401343</v>
      </c>
      <c r="BT156" s="158" t="n">
        <f aca="false">BT75+BT149-BT129-BT135</f>
        <v>962.352816717315</v>
      </c>
      <c r="BU156" s="158" t="n">
        <f aca="false">BU75+BU149-BU129-BU135</f>
        <v>880.111144401343</v>
      </c>
      <c r="BV156" s="158" t="n">
        <f aca="false">BV75+BV149-BV129-BV135</f>
        <v>962.352816717315</v>
      </c>
      <c r="BW156" s="158" t="n">
        <f aca="false">BW75+BW149-BW129-BW135</f>
        <v>962.352816717315</v>
      </c>
      <c r="BX156" s="158" t="n">
        <f aca="false">BX75+BX149-BX129-BX135</f>
        <v>797.869472085372</v>
      </c>
      <c r="BY156" s="158" t="n">
        <f aca="false">BY75+BY149-BY129-BY135</f>
        <v>1958.19168665776</v>
      </c>
      <c r="BZ156" s="158" t="n">
        <f aca="false">BZ75+BZ149-BZ129-BZ135</f>
        <v>2266.29836462435</v>
      </c>
      <c r="CA156" s="158" t="n">
        <f aca="false">CA75+CA149-CA129-CA135</f>
        <v>2363.09048665776</v>
      </c>
      <c r="CB156" s="158" t="n">
        <f aca="false">CB75+CB149-CB129-CB135</f>
        <v>2266.29836462435</v>
      </c>
      <c r="CC156" s="158" t="n">
        <f aca="false">CC75+CC149-CC129-CC135</f>
        <v>2363.09048665776</v>
      </c>
      <c r="CD156" s="158" t="n">
        <f aca="false">CD75+CD149-CD129-CD135</f>
        <v>2363.09048665776</v>
      </c>
      <c r="CE156" s="158" t="n">
        <f aca="false">CE75+CE149-CE129-CE135</f>
        <v>2266.29836462435</v>
      </c>
      <c r="CF156" s="158" t="n">
        <f aca="false">CF75+CF149-CF129-CF135</f>
        <v>2363.09048665776</v>
      </c>
      <c r="CG156" s="158" t="n">
        <f aca="false">CG75+CG149-CG129-CG135</f>
        <v>2266.29836462435</v>
      </c>
      <c r="CH156" s="158" t="n">
        <f aca="false">CH75+CH149-CH129-CH135</f>
        <v>2363.09048665776</v>
      </c>
      <c r="CI156" s="158" t="n">
        <f aca="false">CI75+CI149-CI129-CI135</f>
        <v>2363.09048665776</v>
      </c>
      <c r="CJ156" s="158" t="n">
        <f aca="false">CJ75+CJ149-CJ129-CJ135</f>
        <v>2072.71412055752</v>
      </c>
      <c r="CK156" s="158" t="n">
        <f aca="false">CK75+CK149-CK129-CK135</f>
        <v>2460.68346648972</v>
      </c>
      <c r="CL156" s="158" t="n">
        <f aca="false">CL75+CL149-CL129-CL135</f>
        <v>2391.10550201564</v>
      </c>
      <c r="CM156" s="158" t="n">
        <f aca="false">CM75+CM149-CM129-CM135</f>
        <v>2489.83346648972</v>
      </c>
      <c r="CN156" s="158" t="n">
        <f aca="false">CN75+CN149-CN129-CN135</f>
        <v>2391.10550201564</v>
      </c>
      <c r="CO156" s="158" t="n">
        <f aca="false">CO75+CO149-CO129-CO135</f>
        <v>2489.83346648972</v>
      </c>
      <c r="CP156" s="158" t="n">
        <f aca="false">CP75+CP149-CP129-CP135</f>
        <v>2489.83346648972</v>
      </c>
      <c r="CQ156" s="158" t="n">
        <f aca="false">CQ75+CQ149-CQ129-CQ135</f>
        <v>2391.10550201564</v>
      </c>
      <c r="CR156" s="158" t="n">
        <f aca="false">CR75+CR149-CR129-CR135</f>
        <v>2489.83346648972</v>
      </c>
      <c r="CS156" s="158" t="n">
        <f aca="false">CS75+CS149-CS129-CS135</f>
        <v>2391.10550201564</v>
      </c>
      <c r="CT156" s="158" t="n">
        <f aca="false">CT75+CT149-CT129-CT135</f>
        <v>2489.83346648972</v>
      </c>
      <c r="CU156" s="158" t="n">
        <f aca="false">CU75+CU149-CU129-CU135</f>
        <v>2489.83346648972</v>
      </c>
      <c r="CV156" s="158" t="n">
        <f aca="false">CV75+CV149-CV129-CV135</f>
        <v>2193.64957306748</v>
      </c>
      <c r="CW156" s="158" t="n">
        <f aca="false">CW75+CW149-CW129-CW135</f>
        <v>2589.37830591833</v>
      </c>
      <c r="CX156" s="158" t="n">
        <f aca="false">CX75+CX149-CX129-CX135</f>
        <v>2488.67578215476</v>
      </c>
      <c r="CY156" s="158" t="n">
        <f aca="false">CY75+CY149-CY129-CY135</f>
        <v>2589.37830591833</v>
      </c>
      <c r="CZ156" s="158" t="n">
        <f aca="false">CZ75+CZ149-CZ129-CZ135</f>
        <v>2488.67578215476</v>
      </c>
      <c r="DA156" s="158" t="n">
        <f aca="false">DA75+DA149-DA129-DA135</f>
        <v>2589.37830591833</v>
      </c>
      <c r="DB156" s="158" t="n">
        <f aca="false">DB75+DB149-DB129-DB135</f>
        <v>2589.37830591833</v>
      </c>
      <c r="DC156" s="158" t="n">
        <f aca="false">DC75+DC149-DC129-DC135</f>
        <v>2488.67578215476</v>
      </c>
      <c r="DD156" s="158" t="n">
        <f aca="false">DD75+DD149-DD129-DD135</f>
        <v>2589.37830591833</v>
      </c>
      <c r="DE156" s="158" t="n">
        <f aca="false">DE75+DE149-DE129-DE135</f>
        <v>2488.67578215476</v>
      </c>
      <c r="DF156" s="158" t="n">
        <f aca="false">DF75+DF149-DF129-DF135</f>
        <v>2589.37830591833</v>
      </c>
      <c r="DG156" s="158" t="n">
        <f aca="false">DG75+DG149-DG129-DG135</f>
        <v>2589.37830591833</v>
      </c>
      <c r="DH156" s="158" t="n">
        <f aca="false">DH75+DH149-DH129-DH135</f>
        <v>2287.27073462764</v>
      </c>
      <c r="DI156" s="158" t="n">
        <f aca="false">DI75+DI149-DI129-DI135</f>
        <v>2690.9140421355</v>
      </c>
      <c r="DJ156" s="158" t="n">
        <f aca="false">DJ75+DJ149-DJ129-DJ135</f>
        <v>2588.19746789667</v>
      </c>
      <c r="DK156" s="158" t="n">
        <f aca="false">DK75+DK149-DK129-DK135</f>
        <v>2690.9140421355</v>
      </c>
      <c r="DL156" s="158" t="n">
        <f aca="false">DL75+DL149-DL129-DL135</f>
        <v>2588.19746789667</v>
      </c>
      <c r="DM156" s="158" t="n">
        <f aca="false">DM75+DM149-DM129-DM135</f>
        <v>2690.9140421355</v>
      </c>
      <c r="DN156" s="158" t="n">
        <f aca="false">DN75+DN149-DN129-DN135</f>
        <v>2690.9140421355</v>
      </c>
      <c r="DO156" s="158" t="n">
        <f aca="false">DO75+DO149-DO129-DO135</f>
        <v>2588.19746789667</v>
      </c>
      <c r="DP156" s="158" t="n">
        <f aca="false">DP75+DP149-DP129-DP135</f>
        <v>2690.9140421355</v>
      </c>
      <c r="DQ156" s="158" t="n">
        <f aca="false">DQ75+DQ149-DQ129-DQ135</f>
        <v>2588.19746789667</v>
      </c>
      <c r="DR156" s="158" t="n">
        <f aca="false">DR75+DR149-DR129-DR135</f>
        <v>2690.9140421355</v>
      </c>
      <c r="DS156" s="158" t="n">
        <f aca="false">DS75+DS149-DS129-DS135</f>
        <v>2690.9140421355</v>
      </c>
      <c r="DT156" s="158" t="n">
        <f aca="false">DT75+DT149-DT129-DT135</f>
        <v>-6892.21728424622</v>
      </c>
      <c r="DU156" s="158" t="n">
        <f aca="false">DU75+DU149-DU129-DU135</f>
        <v>1391.2787788901</v>
      </c>
      <c r="DV156" s="158" t="n">
        <f aca="false">DV75+DV149-DV129-DV135</f>
        <v>1394.75697583732</v>
      </c>
      <c r="DW156" s="158" t="n">
        <f aca="false">DW75+DW149-DW129-DW135</f>
        <v>1398.24386827691</v>
      </c>
      <c r="DX156" s="158" t="n">
        <f aca="false">DX75+DX149-DX129-DX135</f>
        <v>0</v>
      </c>
      <c r="DY156" s="158" t="n">
        <f aca="false">DY75+DY149-DY129-DY135</f>
        <v>0</v>
      </c>
      <c r="DZ156" s="158" t="n">
        <f aca="false">DZ75+DZ149-DZ129-DZ135</f>
        <v>0</v>
      </c>
      <c r="EA156" s="158" t="n">
        <f aca="false">EA75+EA149-EA129-EA135</f>
        <v>0</v>
      </c>
      <c r="EB156" s="158" t="n">
        <f aca="false">EB75+EB149-EB129-EB135</f>
        <v>0</v>
      </c>
      <c r="EC156" s="158" t="n">
        <f aca="false">EC75+EC149-EC129-EC135</f>
        <v>0</v>
      </c>
      <c r="ED156" s="158" t="n">
        <f aca="false">ED75+ED149-ED129-ED135</f>
        <v>0</v>
      </c>
      <c r="EE156" s="158" t="n">
        <f aca="false">EE75+EE149-EE129-EE135</f>
        <v>0</v>
      </c>
      <c r="EF156" s="158" t="n">
        <f aca="false">EF75+EF149-EF129-EF135</f>
        <v>0</v>
      </c>
    </row>
    <row r="157" customFormat="false" ht="15" hidden="false" customHeight="false" outlineLevel="0" collapsed="false">
      <c r="A157" s="35" t="s">
        <v>607</v>
      </c>
      <c r="B157" s="241" t="s">
        <v>116</v>
      </c>
      <c r="E157" s="158" t="n">
        <f aca="false">0+E156-IF(E155=1,E158,0)</f>
        <v>0</v>
      </c>
      <c r="F157" s="158" t="n">
        <f aca="false">E157+F156-IF(F155=1,F158,0)</f>
        <v>34.4547292431304</v>
      </c>
      <c r="G157" s="158" t="n">
        <f aca="false">F157+G156-IF(G155=1,G158,0)</f>
        <v>68.7631965769541</v>
      </c>
      <c r="H157" s="158" t="n">
        <f aca="false">G157+H156-IF(H155=1,H158,0)</f>
        <v>102.925036346698</v>
      </c>
      <c r="I157" s="158" t="n">
        <f aca="false">H157+I156-IF(I155=1,I158,0)</f>
        <v>109.439881983451</v>
      </c>
      <c r="J157" s="158" t="n">
        <f aca="false">I157+J156-IF(J155=1,J158,0)</f>
        <v>115.738616001882</v>
      </c>
      <c r="K157" s="158" t="n">
        <f aca="false">J157+K156-IF(K155=1,K158,0)</f>
        <v>121.820698122945</v>
      </c>
      <c r="L157" s="158" t="n">
        <f aca="false">K157+L156-IF(L155=1,L158,0)</f>
        <v>127.685586716896</v>
      </c>
      <c r="M157" s="158" t="n">
        <f aca="false">L157+M156-IF(M155=1,M158,0)</f>
        <v>133.332738799917</v>
      </c>
      <c r="N157" s="158" t="n">
        <f aca="false">M157+N156-IF(N155=1,N158,0)</f>
        <v>138.761610030731</v>
      </c>
      <c r="O157" s="158" t="n">
        <f aca="false">N157+O156-IF(O155=1,O158,0)</f>
        <v>143.971654707207</v>
      </c>
      <c r="P157" s="158" t="n">
        <f aca="false">O157+P156-IF(P155=1,P158,0)</f>
        <v>148.962325762961</v>
      </c>
      <c r="Q157" s="158" t="n">
        <f aca="false">P157+Q156-IF(Q155=1,Q158,0)</f>
        <v>153.733074763939</v>
      </c>
      <c r="R157" s="158" t="n">
        <f aca="false">Q157+R156-IF(R155=1,R158,0)</f>
        <v>328.433751905005</v>
      </c>
      <c r="S157" s="158" t="n">
        <f aca="false">R157+S156-IF(S155=1,S158,0)</f>
        <v>503.338782006509</v>
      </c>
      <c r="T157" s="158" t="n">
        <f aca="false">S157+T156-IF(T155=1,T158,0)</f>
        <v>678.448675950853</v>
      </c>
      <c r="U157" s="158" t="n">
        <f aca="false">T157+U156-IF(U155=1,U158,0)</f>
        <v>853.763945897643</v>
      </c>
      <c r="V157" s="158" t="n">
        <f aca="false">U157+V156-IF(V155=1,V158,0)</f>
        <v>1029.28510528688</v>
      </c>
      <c r="W157" s="158" t="n">
        <f aca="false">V157+W156-IF(W155=1,W158,0)</f>
        <v>1205.01266884219</v>
      </c>
      <c r="X157" s="158" t="n">
        <f aca="false">W157+X156-IF(X155=1,X158,0)</f>
        <v>1458.90829014239</v>
      </c>
      <c r="Y157" s="158" t="n">
        <f aca="false">X157+Y156-IF(Y155=1,Y158,0)</f>
        <v>1699.06533333316</v>
      </c>
      <c r="Z157" s="158" t="n">
        <f aca="false">Y157+Z156-IF(Z155=1,Z158,0)</f>
        <v>1918.32273601868</v>
      </c>
      <c r="AA157" s="158" t="n">
        <f aca="false">Z157+AA156-IF(AA155=1,AA158,0)</f>
        <v>2109.60173443199</v>
      </c>
      <c r="AB157" s="158" t="n">
        <f aca="false">AA157+AB156-IF(AB155=1,AB158,0)</f>
        <v>2265.94536430176</v>
      </c>
      <c r="AC157" s="158" t="n">
        <f aca="false">AB157+AC156-IF(AC155=1,AC158,0)</f>
        <v>2380.55728035082</v>
      </c>
      <c r="AD157" s="158" t="n">
        <f aca="false">AC157+AD156-IF(AD155=1,AD158,0)</f>
        <v>2787.14047733136</v>
      </c>
      <c r="AE157" s="158" t="n">
        <f aca="false">AD157+AE156-IF(AE155=1,AE158,0)</f>
        <v>3139.88245252662</v>
      </c>
      <c r="AF157" s="158" t="n">
        <f aca="false">AE157+AF156-IF(AF155=1,AF158,0)</f>
        <v>3432.69372273914</v>
      </c>
      <c r="AG157" s="158" t="n">
        <f aca="false">AF157+AG156-IF(AG155=1,AG158,0)</f>
        <v>3659.78963394486</v>
      </c>
      <c r="AH157" s="158" t="n">
        <f aca="false">AG157+AH156-IF(AH155=1,AH158,0)</f>
        <v>3815.72263560576</v>
      </c>
      <c r="AI157" s="158" t="n">
        <f aca="false">AH157+AI156-IF(AI155=1,AI158,0)</f>
        <v>3895.41266957361</v>
      </c>
      <c r="AJ157" s="158" t="n">
        <f aca="false">AI157+AJ156-IF(AJ155=1,AJ158,0)</f>
        <v>3896.66266957361</v>
      </c>
      <c r="AK157" s="158" t="n">
        <f aca="false">AJ157+AK156-IF(AK155=1,AK158,0)</f>
        <v>3897.91266957361</v>
      </c>
      <c r="AL157" s="158" t="n">
        <f aca="false">AK157+AL156-IF(AL155=1,AL158,0)</f>
        <v>3899.16266957361</v>
      </c>
      <c r="AM157" s="158" t="n">
        <f aca="false">AL157+AM156-IF(AM155=1,AM158,0)</f>
        <v>3900.41266957361</v>
      </c>
      <c r="AN157" s="158" t="n">
        <f aca="false">AM157+AN156-IF(AN155=1,AN158,0)</f>
        <v>3901.66266957361</v>
      </c>
      <c r="AO157" s="158" t="n">
        <f aca="false">AN157+AO156-IF(AO155=1,AO158,0)</f>
        <v>3902.91266957361</v>
      </c>
      <c r="AP157" s="158" t="n">
        <f aca="false">AO157+AP156-IF(AP155=1,AP158,0)</f>
        <v>4143.0355409142</v>
      </c>
      <c r="AQ157" s="158" t="n">
        <f aca="false">AP157+AQ156-IF(AQ155=1,AQ158,0)</f>
        <v>4281.25348617952</v>
      </c>
      <c r="AR157" s="158" t="n">
        <f aca="false">AQ157+AR156-IF(AR155=1,AR158,0)</f>
        <v>4316.77314723412</v>
      </c>
      <c r="AS157" s="158" t="n">
        <f aca="false">AR157+AS156-IF(AS155=1,AS158,0)</f>
        <v>4318.02314723412</v>
      </c>
      <c r="AT157" s="158" t="n">
        <f aca="false">AS157+AT156-IF(AT155=1,AT158,0)</f>
        <v>4319.27314723412</v>
      </c>
      <c r="AU157" s="158" t="n">
        <f aca="false">AT157+AU156-IF(AU155=1,AU158,0)</f>
        <v>4320.52314723412</v>
      </c>
      <c r="AV157" s="158" t="n">
        <f aca="false">AU157+AV156-IF(AV155=1,AV158,0)</f>
        <v>4321.77314723412</v>
      </c>
      <c r="AW157" s="158" t="n">
        <f aca="false">AV157+AW156-IF(AW155=1,AW158,0)</f>
        <v>4323.02314723412</v>
      </c>
      <c r="AX157" s="158" t="n">
        <f aca="false">AW157+AX156-IF(AX155=1,AX158,0)</f>
        <v>4324.27314723412</v>
      </c>
      <c r="AY157" s="158" t="n">
        <f aca="false">AX157+AY156-IF(AY155=1,AY158,0)</f>
        <v>4325.52314723412</v>
      </c>
      <c r="AZ157" s="158" t="n">
        <f aca="false">AY157+AZ156-IF(AZ155=1,AZ158,0)</f>
        <v>4326.77314723412</v>
      </c>
      <c r="BA157" s="158" t="n">
        <f aca="false">AZ157+BA156-IF(BA155=1,BA158,0)</f>
        <v>4328.02314723412</v>
      </c>
      <c r="BB157" s="158" t="n">
        <f aca="false">BA157+BB156-IF(BB155=1,BB158,0)</f>
        <v>4585.31417022665</v>
      </c>
      <c r="BC157" s="158" t="n">
        <f aca="false">BB157+BC156-IF(BC155=1,BC158,0)</f>
        <v>4763.88766964358</v>
      </c>
      <c r="BD157" s="158" t="n">
        <f aca="false">BC157+BD156-IF(BD155=1,BD158,0)</f>
        <v>4868.83011381645</v>
      </c>
      <c r="BE157" s="158" t="n">
        <f aca="false">BD157+BE156-IF(BE155=1,BE158,0)</f>
        <v>4905.59225236876</v>
      </c>
      <c r="BF157" s="158" t="n">
        <f aca="false">BE157+BF156-IF(BF155=1,BF158,0)</f>
        <v>4906.84225236876</v>
      </c>
      <c r="BG157" s="158" t="n">
        <f aca="false">BF157+BG156-IF(BG155=1,BG158,0)</f>
        <v>4908.09225236876</v>
      </c>
      <c r="BH157" s="158" t="n">
        <f aca="false">BG157+BH156-IF(BH155=1,BH158,0)</f>
        <v>4909.34225236876</v>
      </c>
      <c r="BI157" s="158" t="n">
        <f aca="false">BH157+BI156-IF(BI155=1,BI158,0)</f>
        <v>4910.59225236876</v>
      </c>
      <c r="BJ157" s="158" t="n">
        <f aca="false">BI157+BJ156-IF(BJ155=1,BJ158,0)</f>
        <v>4911.84225236876</v>
      </c>
      <c r="BK157" s="158" t="n">
        <f aca="false">BJ157+BK156-IF(BK155=1,BK158,0)</f>
        <v>4913.09225236876</v>
      </c>
      <c r="BL157" s="158" t="n">
        <f aca="false">BK157+BL156-IF(BL155=1,BL158,0)</f>
        <v>4914.34225236876</v>
      </c>
      <c r="BM157" s="158" t="n">
        <f aca="false">BL157+BM156-IF(BM155=1,BM158,0)</f>
        <v>0</v>
      </c>
      <c r="BN157" s="158" t="n">
        <f aca="false">BM157+BN156-IF(BN155=1,BN158,0)</f>
        <v>0</v>
      </c>
      <c r="BO157" s="158" t="n">
        <f aca="false">BN157+BO156-IF(BO155=1,BO158,0)</f>
        <v>0</v>
      </c>
      <c r="BP157" s="158" t="n">
        <f aca="false">BO157+BP156-IF(BP155=1,BP158,0)</f>
        <v>0</v>
      </c>
      <c r="BQ157" s="158" t="n">
        <f aca="false">BP157+BQ156-IF(BQ155=1,BQ158,0)</f>
        <v>0</v>
      </c>
      <c r="BR157" s="158" t="n">
        <f aca="false">BQ157+BR156-IF(BR155=1,BR158,0)</f>
        <v>0</v>
      </c>
      <c r="BS157" s="158" t="n">
        <f aca="false">BR157+BS156-IF(BS155=1,BS158,0)</f>
        <v>0</v>
      </c>
      <c r="BT157" s="158" t="n">
        <f aca="false">BS157+BT156-IF(BT155=1,BT158,0)</f>
        <v>0</v>
      </c>
      <c r="BU157" s="158" t="n">
        <f aca="false">BT157+BU156-IF(BU155=1,BU158,0)</f>
        <v>0</v>
      </c>
      <c r="BV157" s="158" t="n">
        <f aca="false">BU157+BV156-IF(BV155=1,BV158,0)</f>
        <v>0</v>
      </c>
      <c r="BW157" s="158" t="n">
        <f aca="false">BV157+BW156-IF(BW155=1,BW158,0)</f>
        <v>0</v>
      </c>
      <c r="BX157" s="158" t="n">
        <f aca="false">BW157+BX156-IF(BX155=1,BX158,0)</f>
        <v>0</v>
      </c>
      <c r="BY157" s="158" t="n">
        <f aca="false">BX157+BY156-IF(BY155=1,BY158,0)</f>
        <v>0</v>
      </c>
      <c r="BZ157" s="158" t="n">
        <f aca="false">BY157+BZ156-IF(BZ155=1,BZ158,0)</f>
        <v>0</v>
      </c>
      <c r="CA157" s="158" t="n">
        <f aca="false">BZ157+CA156-IF(CA155=1,CA158,0)</f>
        <v>0</v>
      </c>
      <c r="CB157" s="158" t="n">
        <f aca="false">CA157+CB156-IF(CB155=1,CB158,0)</f>
        <v>0</v>
      </c>
      <c r="CC157" s="158" t="n">
        <f aca="false">CB157+CC156-IF(CC155=1,CC158,0)</f>
        <v>0</v>
      </c>
      <c r="CD157" s="158" t="n">
        <f aca="false">CC157+CD156-IF(CD155=1,CD158,0)</f>
        <v>0</v>
      </c>
      <c r="CE157" s="158" t="n">
        <f aca="false">CD157+CE156-IF(CE155=1,CE158,0)</f>
        <v>0</v>
      </c>
      <c r="CF157" s="158" t="n">
        <f aca="false">CE157+CF156-IF(CF155=1,CF158,0)</f>
        <v>0</v>
      </c>
      <c r="CG157" s="158" t="n">
        <f aca="false">CF157+CG156-IF(CG155=1,CG158,0)</f>
        <v>0</v>
      </c>
      <c r="CH157" s="158" t="n">
        <f aca="false">CG157+CH156-IF(CH155=1,CH158,0)</f>
        <v>0</v>
      </c>
      <c r="CI157" s="158" t="n">
        <f aca="false">CH157+CI156-IF(CI155=1,CI158,0)</f>
        <v>0</v>
      </c>
      <c r="CJ157" s="158" t="n">
        <f aca="false">CI157+CJ156-IF(CJ155=1,CJ158,0)</f>
        <v>0</v>
      </c>
      <c r="CK157" s="158" t="n">
        <f aca="false">CJ157+CK156-IF(CK155=1,CK158,0)</f>
        <v>0</v>
      </c>
      <c r="CL157" s="158" t="n">
        <f aca="false">CK157+CL156-IF(CL155=1,CL158,0)</f>
        <v>0</v>
      </c>
      <c r="CM157" s="158" t="n">
        <f aca="false">CL157+CM156-IF(CM155=1,CM158,0)</f>
        <v>0</v>
      </c>
      <c r="CN157" s="158" t="n">
        <f aca="false">CM157+CN156-IF(CN155=1,CN158,0)</f>
        <v>0</v>
      </c>
      <c r="CO157" s="158" t="n">
        <f aca="false">CN157+CO156-IF(CO155=1,CO158,0)</f>
        <v>0</v>
      </c>
      <c r="CP157" s="158" t="n">
        <f aca="false">CO157+CP156-IF(CP155=1,CP158,0)</f>
        <v>0</v>
      </c>
      <c r="CQ157" s="158" t="n">
        <f aca="false">CP157+CQ156-IF(CQ155=1,CQ158,0)</f>
        <v>0</v>
      </c>
      <c r="CR157" s="158" t="n">
        <f aca="false">CQ157+CR156-IF(CR155=1,CR158,0)</f>
        <v>0</v>
      </c>
      <c r="CS157" s="158" t="n">
        <f aca="false">CR157+CS156-IF(CS155=1,CS158,0)</f>
        <v>0</v>
      </c>
      <c r="CT157" s="158" t="n">
        <f aca="false">CS157+CT156-IF(CT155=1,CT158,0)</f>
        <v>0</v>
      </c>
      <c r="CU157" s="158" t="n">
        <f aca="false">CT157+CU156-IF(CU155=1,CU158,0)</f>
        <v>0</v>
      </c>
      <c r="CV157" s="158" t="n">
        <f aca="false">CU157+CV156-IF(CV155=1,CV158,0)</f>
        <v>0</v>
      </c>
      <c r="CW157" s="158" t="n">
        <f aca="false">CV157+CW156-IF(CW155=1,CW158,0)</f>
        <v>0</v>
      </c>
      <c r="CX157" s="158" t="n">
        <f aca="false">CW157+CX156-IF(CX155=1,CX158,0)</f>
        <v>0</v>
      </c>
      <c r="CY157" s="158" t="n">
        <f aca="false">CX157+CY156-IF(CY155=1,CY158,0)</f>
        <v>0</v>
      </c>
      <c r="CZ157" s="158" t="n">
        <f aca="false">CY157+CZ156-IF(CZ155=1,CZ158,0)</f>
        <v>0</v>
      </c>
      <c r="DA157" s="158" t="n">
        <f aca="false">CZ157+DA156-IF(DA155=1,DA158,0)</f>
        <v>0</v>
      </c>
      <c r="DB157" s="158" t="n">
        <f aca="false">DA157+DB156-IF(DB155=1,DB158,0)</f>
        <v>0</v>
      </c>
      <c r="DC157" s="158" t="n">
        <f aca="false">DB157+DC156-IF(DC155=1,DC158,0)</f>
        <v>0</v>
      </c>
      <c r="DD157" s="158" t="n">
        <f aca="false">DC157+DD156-IF(DD155=1,DD158,0)</f>
        <v>0</v>
      </c>
      <c r="DE157" s="158" t="n">
        <f aca="false">DD157+DE156-IF(DE155=1,DE158,0)</f>
        <v>0</v>
      </c>
      <c r="DF157" s="158" t="n">
        <f aca="false">DE157+DF156-IF(DF155=1,DF158,0)</f>
        <v>0</v>
      </c>
      <c r="DG157" s="158" t="n">
        <f aca="false">DF157+DG156-IF(DG155=1,DG158,0)</f>
        <v>0</v>
      </c>
      <c r="DH157" s="158" t="n">
        <f aca="false">DG157+DH156-IF(DH155=1,DH158,0)</f>
        <v>0</v>
      </c>
      <c r="DI157" s="158" t="n">
        <f aca="false">DH157+DI156-IF(DI155=1,DI158,0)</f>
        <v>0</v>
      </c>
      <c r="DJ157" s="158" t="n">
        <f aca="false">DI157+DJ156-IF(DJ155=1,DJ158,0)</f>
        <v>0</v>
      </c>
      <c r="DK157" s="158" t="n">
        <f aca="false">DJ157+DK156-IF(DK155=1,DK158,0)</f>
        <v>0</v>
      </c>
      <c r="DL157" s="158" t="n">
        <f aca="false">DK157+DL156-IF(DL155=1,DL158,0)</f>
        <v>0</v>
      </c>
      <c r="DM157" s="158" t="n">
        <f aca="false">DL157+DM156-IF(DM155=1,DM158,0)</f>
        <v>0</v>
      </c>
      <c r="DN157" s="158" t="n">
        <f aca="false">DM157+DN156-IF(DN155=1,DN158,0)</f>
        <v>0</v>
      </c>
      <c r="DO157" s="158" t="n">
        <f aca="false">DN157+DO156-IF(DO155=1,DO158,0)</f>
        <v>0</v>
      </c>
      <c r="DP157" s="158" t="n">
        <f aca="false">DO157+DP156-IF(DP155=1,DP158,0)</f>
        <v>0</v>
      </c>
      <c r="DQ157" s="158" t="n">
        <f aca="false">DP157+DQ156-IF(DQ155=1,DQ158,0)</f>
        <v>0</v>
      </c>
      <c r="DR157" s="158" t="n">
        <f aca="false">DQ157+DR156-IF(DR155=1,DR158,0)</f>
        <v>0</v>
      </c>
      <c r="DS157" s="158" t="n">
        <f aca="false">DR157+DS156-IF(DS155=1,DS158,0)</f>
        <v>0</v>
      </c>
      <c r="DT157" s="158" t="n">
        <f aca="false">DS157+DT156-IF(DT155=1,DT158,0)</f>
        <v>-6892.21728424622</v>
      </c>
      <c r="DU157" s="158" t="n">
        <f aca="false">DT157+DU156-IF(DU155=1,DU158,0)</f>
        <v>-5500.93850535612</v>
      </c>
      <c r="DV157" s="158" t="n">
        <f aca="false">DU157+DV156-IF(DV155=1,DV158,0)</f>
        <v>-4106.1815295188</v>
      </c>
      <c r="DW157" s="158" t="n">
        <f aca="false">DV157+DW156-IF(DW155=1,DW158,0)</f>
        <v>-2707.93766124189</v>
      </c>
      <c r="DX157" s="158" t="n">
        <f aca="false">DW157+DX156-IF(DX155=1,DX158,0)</f>
        <v>-2707.93766124189</v>
      </c>
      <c r="DY157" s="158" t="n">
        <f aca="false">DX157+DY156-IF(DY155=1,DY158,0)</f>
        <v>-2707.93766124189</v>
      </c>
      <c r="DZ157" s="158" t="n">
        <f aca="false">DY157+DZ156-IF(DZ155=1,DZ158,0)</f>
        <v>-2707.93766124189</v>
      </c>
      <c r="EA157" s="158" t="n">
        <f aca="false">DZ157+EA156-IF(EA155=1,EA158,0)</f>
        <v>-2707.93766124189</v>
      </c>
      <c r="EB157" s="158" t="n">
        <f aca="false">EA157+EB156-IF(EB155=1,EB158,0)</f>
        <v>-2707.93766124189</v>
      </c>
      <c r="EC157" s="158" t="n">
        <f aca="false">EB157+EC156-IF(EC155=1,EC158,0)</f>
        <v>-2707.93766124189</v>
      </c>
      <c r="ED157" s="158" t="n">
        <f aca="false">EC157+ED156-IF(ED155=1,ED158,0)</f>
        <v>-2707.93766124189</v>
      </c>
      <c r="EE157" s="158" t="n">
        <f aca="false">ED157+EE156-IF(EE155=1,EE158,0)</f>
        <v>-2707.93766124189</v>
      </c>
      <c r="EF157" s="158" t="n">
        <f aca="false">EE157+EF156-IF(EF155=1,EF158,0)</f>
        <v>-2707.93766124189</v>
      </c>
    </row>
    <row r="158" customFormat="false" ht="15" hidden="false" customHeight="false" outlineLevel="0" collapsed="false">
      <c r="A158" s="243" t="s">
        <v>608</v>
      </c>
      <c r="B158" s="244" t="s">
        <v>116</v>
      </c>
      <c r="C158" s="245" t="n">
        <f aca="false">SUM(E158:EF158)</f>
        <v>736259.575963874</v>
      </c>
      <c r="D158" s="13"/>
      <c r="E158" s="246" t="n">
        <f aca="false">IF(E155=2,MAX(0,E154),IF(E155=1,MAX(0,MIN(E154-Assumption!$D$535,0+E156)),0))</f>
        <v>0</v>
      </c>
      <c r="F158" s="246" t="n">
        <f aca="false">IF(F155=2,MAX(0,F154),IF(F155=1,MAX(0,MIN(F154-Assumption!$D$535,E157+F156)),0))</f>
        <v>0</v>
      </c>
      <c r="G158" s="246" t="n">
        <f aca="false">IF(G155=2,MAX(0,G154),IF(G155=1,MAX(0,MIN(G154-Assumption!$D$535,F157+G156)),0))</f>
        <v>0</v>
      </c>
      <c r="H158" s="246" t="n">
        <f aca="false">IF(H155=2,MAX(0,H154),IF(H155=1,MAX(0,MIN(H154-Assumption!$D$535,G157+H156)),0))</f>
        <v>0</v>
      </c>
      <c r="I158" s="246" t="n">
        <f aca="false">IF(I155=2,MAX(0,I154),IF(I155=1,MAX(0,MIN(I154-Assumption!$D$535,H157+I156)),0))</f>
        <v>0</v>
      </c>
      <c r="J158" s="246" t="n">
        <f aca="false">IF(J155=2,MAX(0,J154),IF(J155=1,MAX(0,MIN(J154-Assumption!$D$535,I157+J156)),0))</f>
        <v>0</v>
      </c>
      <c r="K158" s="246" t="n">
        <f aca="false">IF(K155=2,MAX(0,K154),IF(K155=1,MAX(0,MIN(K154-Assumption!$D$535,J157+K156)),0))</f>
        <v>0</v>
      </c>
      <c r="L158" s="246" t="n">
        <f aca="false">IF(L155=2,MAX(0,L154),IF(L155=1,MAX(0,MIN(L154-Assumption!$D$535,K157+L156)),0))</f>
        <v>0</v>
      </c>
      <c r="M158" s="246" t="n">
        <f aca="false">IF(M155=2,MAX(0,M154),IF(M155=1,MAX(0,MIN(M154-Assumption!$D$535,L157+M156)),0))</f>
        <v>0</v>
      </c>
      <c r="N158" s="246" t="n">
        <f aca="false">IF(N155=2,MAX(0,N154),IF(N155=1,MAX(0,MIN(N154-Assumption!$D$535,M157+N156)),0))</f>
        <v>0</v>
      </c>
      <c r="O158" s="246" t="n">
        <f aca="false">IF(O155=2,MAX(0,O154),IF(O155=1,MAX(0,MIN(O154-Assumption!$D$535,N157+O156)),0))</f>
        <v>0</v>
      </c>
      <c r="P158" s="246" t="n">
        <f aca="false">IF(P155=2,MAX(0,P154),IF(P155=1,MAX(0,MIN(P154-Assumption!$D$535,O157+P156)),0))</f>
        <v>0</v>
      </c>
      <c r="Q158" s="246" t="n">
        <f aca="false">IF(Q155=2,MAX(0,Q154),IF(Q155=1,MAX(0,MIN(Q154-Assumption!$D$535,P157+Q156)),0))</f>
        <v>0</v>
      </c>
      <c r="R158" s="246" t="n">
        <f aca="false">IF(R155=2,MAX(0,R154),IF(R155=1,MAX(0,MIN(R154-Assumption!$D$535,Q157+R156)),0))</f>
        <v>0</v>
      </c>
      <c r="S158" s="246" t="n">
        <f aca="false">IF(S155=2,MAX(0,S154),IF(S155=1,MAX(0,MIN(S154-Assumption!$D$535,R157+S156)),0))</f>
        <v>0</v>
      </c>
      <c r="T158" s="246" t="n">
        <f aca="false">IF(T155=2,MAX(0,T154),IF(T155=1,MAX(0,MIN(T154-Assumption!$D$535,S157+T156)),0))</f>
        <v>0</v>
      </c>
      <c r="U158" s="246" t="n">
        <f aca="false">IF(U155=2,MAX(0,U154),IF(U155=1,MAX(0,MIN(U154-Assumption!$D$535,T157+U156)),0))</f>
        <v>0</v>
      </c>
      <c r="V158" s="246" t="n">
        <f aca="false">IF(V155=2,MAX(0,V154),IF(V155=1,MAX(0,MIN(V154-Assumption!$D$535,U157+V156)),0))</f>
        <v>0</v>
      </c>
      <c r="W158" s="246" t="n">
        <f aca="false">IF(W155=2,MAX(0,W154),IF(W155=1,MAX(0,MIN(W154-Assumption!$D$535,V157+W156)),0))</f>
        <v>0</v>
      </c>
      <c r="X158" s="246" t="n">
        <f aca="false">IF(X155=2,MAX(0,X154),IF(X155=1,MAX(0,MIN(X154-Assumption!$D$535,W157+X156)),0))</f>
        <v>0</v>
      </c>
      <c r="Y158" s="246" t="n">
        <f aca="false">IF(Y155=2,MAX(0,Y154),IF(Y155=1,MAX(0,MIN(Y154-Assumption!$D$535,X157+Y156)),0))</f>
        <v>0</v>
      </c>
      <c r="Z158" s="246" t="n">
        <f aca="false">IF(Z155=2,MAX(0,Z154),IF(Z155=1,MAX(0,MIN(Z154-Assumption!$D$535,Y157+Z156)),0))</f>
        <v>0</v>
      </c>
      <c r="AA158" s="246" t="n">
        <f aca="false">IF(AA155=2,MAX(0,AA154),IF(AA155=1,MAX(0,MIN(AA154-Assumption!$D$535,Z157+AA156)),0))</f>
        <v>0</v>
      </c>
      <c r="AB158" s="246" t="n">
        <f aca="false">IF(AB155=2,MAX(0,AB154),IF(AB155=1,MAX(0,MIN(AB154-Assumption!$D$535,AA157+AB156)),0))</f>
        <v>0</v>
      </c>
      <c r="AC158" s="246" t="n">
        <f aca="false">IF(AC155=2,MAX(0,AC154),IF(AC155=1,MAX(0,MIN(AC154-Assumption!$D$535,AB157+AC156)),0))</f>
        <v>0</v>
      </c>
      <c r="AD158" s="246" t="n">
        <f aca="false">IF(AD155=2,MAX(0,AD154),IF(AD155=1,MAX(0,MIN(AD154-Assumption!$D$535,AC157+AD156)),0))</f>
        <v>0</v>
      </c>
      <c r="AE158" s="246" t="n">
        <f aca="false">IF(AE155=2,MAX(0,AE154),IF(AE155=1,MAX(0,MIN(AE154-Assumption!$D$535,AD157+AE156)),0))</f>
        <v>0</v>
      </c>
      <c r="AF158" s="246" t="n">
        <f aca="false">IF(AF155=2,MAX(0,AF154),IF(AF155=1,MAX(0,MIN(AF154-Assumption!$D$535,AE157+AF156)),0))</f>
        <v>0</v>
      </c>
      <c r="AG158" s="246" t="n">
        <f aca="false">IF(AG155=2,MAX(0,AG154),IF(AG155=1,MAX(0,MIN(AG154-Assumption!$D$535,AF157+AG156)),0))</f>
        <v>0</v>
      </c>
      <c r="AH158" s="246" t="n">
        <f aca="false">IF(AH155=2,MAX(0,AH154),IF(AH155=1,MAX(0,MIN(AH154-Assumption!$D$535,AG157+AH156)),0))</f>
        <v>0</v>
      </c>
      <c r="AI158" s="246" t="n">
        <f aca="false">IF(AI155=2,MAX(0,AI154),IF(AI155=1,MAX(0,MIN(AI154-Assumption!$D$535,AH157+AI156)),0))</f>
        <v>0</v>
      </c>
      <c r="AJ158" s="246" t="n">
        <f aca="false">IF(AJ155=2,MAX(0,AJ154),IF(AJ155=1,MAX(0,MIN(AJ154-Assumption!$D$535,AI157+AJ156)),0))</f>
        <v>0</v>
      </c>
      <c r="AK158" s="246" t="n">
        <f aca="false">IF(AK155=2,MAX(0,AK154),IF(AK155=1,MAX(0,MIN(AK154-Assumption!$D$535,AJ157+AK156)),0))</f>
        <v>0</v>
      </c>
      <c r="AL158" s="246" t="n">
        <f aca="false">IF(AL155=2,MAX(0,AL154),IF(AL155=1,MAX(0,MIN(AL154-Assumption!$D$535,AK157+AL156)),0))</f>
        <v>0</v>
      </c>
      <c r="AM158" s="246" t="n">
        <f aca="false">IF(AM155=2,MAX(0,AM154),IF(AM155=1,MAX(0,MIN(AM154-Assumption!$D$535,AL157+AM156)),0))</f>
        <v>0</v>
      </c>
      <c r="AN158" s="246" t="n">
        <f aca="false">IF(AN155=2,MAX(0,AN154),IF(AN155=1,MAX(0,MIN(AN154-Assumption!$D$535,AM157+AN156)),0))</f>
        <v>0</v>
      </c>
      <c r="AO158" s="246" t="n">
        <f aca="false">IF(AO155=2,MAX(0,AO154),IF(AO155=1,MAX(0,MIN(AO154-Assumption!$D$535,AN157+AO156)),0))</f>
        <v>0</v>
      </c>
      <c r="AP158" s="246" t="n">
        <f aca="false">IF(AP155=2,MAX(0,AP154),IF(AP155=1,MAX(0,MIN(AP154-Assumption!$D$535,AO157+AP156)),0))</f>
        <v>0</v>
      </c>
      <c r="AQ158" s="246" t="n">
        <f aca="false">IF(AQ155=2,MAX(0,AQ154),IF(AQ155=1,MAX(0,MIN(AQ154-Assumption!$D$535,AP157+AQ156)),0))</f>
        <v>0</v>
      </c>
      <c r="AR158" s="246" t="n">
        <f aca="false">IF(AR155=2,MAX(0,AR154),IF(AR155=1,MAX(0,MIN(AR154-Assumption!$D$535,AQ157+AR156)),0))</f>
        <v>0</v>
      </c>
      <c r="AS158" s="246" t="n">
        <f aca="false">IF(AS155=2,MAX(0,AS154),IF(AS155=1,MAX(0,MIN(AS154-Assumption!$D$535,AR157+AS156)),0))</f>
        <v>0</v>
      </c>
      <c r="AT158" s="246" t="n">
        <f aca="false">IF(AT155=2,MAX(0,AT154),IF(AT155=1,MAX(0,MIN(AT154-Assumption!$D$535,AS157+AT156)),0))</f>
        <v>0</v>
      </c>
      <c r="AU158" s="246" t="n">
        <f aca="false">IF(AU155=2,MAX(0,AU154),IF(AU155=1,MAX(0,MIN(AU154-Assumption!$D$535,AT157+AU156)),0))</f>
        <v>0</v>
      </c>
      <c r="AV158" s="246" t="n">
        <f aca="false">IF(AV155=2,MAX(0,AV154),IF(AV155=1,MAX(0,MIN(AV154-Assumption!$D$535,AU157+AV156)),0))</f>
        <v>0</v>
      </c>
      <c r="AW158" s="246" t="n">
        <f aca="false">IF(AW155=2,MAX(0,AW154),IF(AW155=1,MAX(0,MIN(AW154-Assumption!$D$535,AV157+AW156)),0))</f>
        <v>0</v>
      </c>
      <c r="AX158" s="246" t="n">
        <f aca="false">IF(AX155=2,MAX(0,AX154),IF(AX155=1,MAX(0,MIN(AX154-Assumption!$D$535,AW157+AX156)),0))</f>
        <v>0</v>
      </c>
      <c r="AY158" s="246" t="n">
        <f aca="false">IF(AY155=2,MAX(0,AY154),IF(AY155=1,MAX(0,MIN(AY154-Assumption!$D$535,AX157+AY156)),0))</f>
        <v>0</v>
      </c>
      <c r="AZ158" s="246" t="n">
        <f aca="false">IF(AZ155=2,MAX(0,AZ154),IF(AZ155=1,MAX(0,MIN(AZ154-Assumption!$D$535,AY157+AZ156)),0))</f>
        <v>0</v>
      </c>
      <c r="BA158" s="246" t="n">
        <f aca="false">IF(BA155=2,MAX(0,BA154),IF(BA155=1,MAX(0,MIN(BA154-Assumption!$D$535,AZ157+BA156)),0))</f>
        <v>0</v>
      </c>
      <c r="BB158" s="246" t="n">
        <f aca="false">IF(BB155=2,MAX(0,BB154),IF(BB155=1,MAX(0,MIN(BB154-Assumption!$D$535,BA157+BB156)),0))</f>
        <v>0</v>
      </c>
      <c r="BC158" s="246" t="n">
        <f aca="false">IF(BC155=2,MAX(0,BC154),IF(BC155=1,MAX(0,MIN(BC154-Assumption!$D$535,BB157+BC156)),0))</f>
        <v>0</v>
      </c>
      <c r="BD158" s="246" t="n">
        <f aca="false">IF(BD155=2,MAX(0,BD154),IF(BD155=1,MAX(0,MIN(BD154-Assumption!$D$535,BC157+BD156)),0))</f>
        <v>0</v>
      </c>
      <c r="BE158" s="246" t="n">
        <f aca="false">IF(BE155=2,MAX(0,BE154),IF(BE155=1,MAX(0,MIN(BE154-Assumption!$D$535,BD157+BE156)),0))</f>
        <v>0</v>
      </c>
      <c r="BF158" s="246" t="n">
        <f aca="false">IF(BF155=2,MAX(0,BF154),IF(BF155=1,MAX(0,MIN(BF154-Assumption!$D$535,BE157+BF156)),0))</f>
        <v>0</v>
      </c>
      <c r="BG158" s="246" t="n">
        <f aca="false">IF(BG155=2,MAX(0,BG154),IF(BG155=1,MAX(0,MIN(BG154-Assumption!$D$535,BF157+BG156)),0))</f>
        <v>0</v>
      </c>
      <c r="BH158" s="246" t="n">
        <f aca="false">IF(BH155=2,MAX(0,BH154),IF(BH155=1,MAX(0,MIN(BH154-Assumption!$D$535,BG157+BH156)),0))</f>
        <v>0</v>
      </c>
      <c r="BI158" s="246" t="n">
        <f aca="false">IF(BI155=2,MAX(0,BI154),IF(BI155=1,MAX(0,MIN(BI154-Assumption!$D$535,BH157+BI156)),0))</f>
        <v>0</v>
      </c>
      <c r="BJ158" s="246" t="n">
        <f aca="false">IF(BJ155=2,MAX(0,BJ154),IF(BJ155=1,MAX(0,MIN(BJ154-Assumption!$D$535,BI157+BJ156)),0))</f>
        <v>0</v>
      </c>
      <c r="BK158" s="246" t="n">
        <f aca="false">IF(BK155=2,MAX(0,BK154),IF(BK155=1,MAX(0,MIN(BK154-Assumption!$D$535,BJ157+BK156)),0))</f>
        <v>0</v>
      </c>
      <c r="BL158" s="246" t="n">
        <f aca="false">IF(BL155=2,MAX(0,BL154),IF(BL155=1,MAX(0,MIN(BL154-Assumption!$D$535,BK157+BL156)),0))</f>
        <v>0</v>
      </c>
      <c r="BM158" s="246" t="n">
        <f aca="false">IF(BM155=2,MAX(0,BM154),IF(BM155=1,MAX(0,MIN(BM154-Assumption!$D$535,BL157+BM156)),0))</f>
        <v>5444.19228170977</v>
      </c>
      <c r="BN158" s="246" t="n">
        <f aca="false">IF(BN155=2,MAX(0,BN154),IF(BN155=1,MAX(0,MIN(BN154-Assumption!$D$535,BM157+BN156)),0))</f>
        <v>880.111144401344</v>
      </c>
      <c r="BO158" s="246" t="n">
        <f aca="false">IF(BO155=2,MAX(0,BO154),IF(BO155=1,MAX(0,MIN(BO154-Assumption!$D$535,BN157+BO156)),0))</f>
        <v>962.352816717315</v>
      </c>
      <c r="BP158" s="246" t="n">
        <f aca="false">IF(BP155=2,MAX(0,BP154),IF(BP155=1,MAX(0,MIN(BP154-Assumption!$D$535,BO157+BP156)),0))</f>
        <v>880.111144401344</v>
      </c>
      <c r="BQ158" s="246" t="n">
        <f aca="false">IF(BQ155=2,MAX(0,BQ154),IF(BQ155=1,MAX(0,MIN(BQ154-Assumption!$D$535,BP157+BQ156)),0))</f>
        <v>962.352816717315</v>
      </c>
      <c r="BR158" s="246" t="n">
        <f aca="false">IF(BR155=2,MAX(0,BR154),IF(BR155=1,MAX(0,MIN(BR154-Assumption!$D$535,BQ157+BR156)),0))</f>
        <v>962.352816717315</v>
      </c>
      <c r="BS158" s="246" t="n">
        <f aca="false">IF(BS155=2,MAX(0,BS154),IF(BS155=1,MAX(0,MIN(BS154-Assumption!$D$535,BR157+BS156)),0))</f>
        <v>880.111144401343</v>
      </c>
      <c r="BT158" s="246" t="n">
        <f aca="false">IF(BT155=2,MAX(0,BT154),IF(BT155=1,MAX(0,MIN(BT154-Assumption!$D$535,BS157+BT156)),0))</f>
        <v>962.352816717315</v>
      </c>
      <c r="BU158" s="246" t="n">
        <f aca="false">IF(BU155=2,MAX(0,BU154),IF(BU155=1,MAX(0,MIN(BU154-Assumption!$D$535,BT157+BU156)),0))</f>
        <v>880.111144401343</v>
      </c>
      <c r="BV158" s="246" t="n">
        <f aca="false">IF(BV155=2,MAX(0,BV154),IF(BV155=1,MAX(0,MIN(BV154-Assumption!$D$535,BU157+BV156)),0))</f>
        <v>962.352816717315</v>
      </c>
      <c r="BW158" s="246" t="n">
        <f aca="false">IF(BW155=2,MAX(0,BW154),IF(BW155=1,MAX(0,MIN(BW154-Assumption!$D$535,BV157+BW156)),0))</f>
        <v>962.352816717315</v>
      </c>
      <c r="BX158" s="246" t="n">
        <f aca="false">IF(BX155=2,MAX(0,BX154),IF(BX155=1,MAX(0,MIN(BX154-Assumption!$D$535,BW157+BX156)),0))</f>
        <v>797.869472085372</v>
      </c>
      <c r="BY158" s="246" t="n">
        <f aca="false">IF(BY155=2,MAX(0,BY154),IF(BY155=1,MAX(0,MIN(BY154-Assumption!$D$535,BX157+BY156)),0))</f>
        <v>1958.19168665776</v>
      </c>
      <c r="BZ158" s="246" t="n">
        <f aca="false">IF(BZ155=2,MAX(0,BZ154),IF(BZ155=1,MAX(0,MIN(BZ154-Assumption!$D$535,BY157+BZ156)),0))</f>
        <v>2266.29836462435</v>
      </c>
      <c r="CA158" s="246" t="n">
        <f aca="false">IF(CA155=2,MAX(0,CA154),IF(CA155=1,MAX(0,MIN(CA154-Assumption!$D$535,BZ157+CA156)),0))</f>
        <v>2363.09048665776</v>
      </c>
      <c r="CB158" s="246" t="n">
        <f aca="false">IF(CB155=2,MAX(0,CB154),IF(CB155=1,MAX(0,MIN(CB154-Assumption!$D$535,CA157+CB156)),0))</f>
        <v>2266.29836462435</v>
      </c>
      <c r="CC158" s="246" t="n">
        <f aca="false">IF(CC155=2,MAX(0,CC154),IF(CC155=1,MAX(0,MIN(CC154-Assumption!$D$535,CB157+CC156)),0))</f>
        <v>2363.09048665776</v>
      </c>
      <c r="CD158" s="246" t="n">
        <f aca="false">IF(CD155=2,MAX(0,CD154),IF(CD155=1,MAX(0,MIN(CD154-Assumption!$D$535,CC157+CD156)),0))</f>
        <v>2363.09048665776</v>
      </c>
      <c r="CE158" s="246" t="n">
        <f aca="false">IF(CE155=2,MAX(0,CE154),IF(CE155=1,MAX(0,MIN(CE154-Assumption!$D$535,CD157+CE156)),0))</f>
        <v>2266.29836462435</v>
      </c>
      <c r="CF158" s="246" t="n">
        <f aca="false">IF(CF155=2,MAX(0,CF154),IF(CF155=1,MAX(0,MIN(CF154-Assumption!$D$535,CE157+CF156)),0))</f>
        <v>2363.09048665776</v>
      </c>
      <c r="CG158" s="246" t="n">
        <f aca="false">IF(CG155=2,MAX(0,CG154),IF(CG155=1,MAX(0,MIN(CG154-Assumption!$D$535,CF157+CG156)),0))</f>
        <v>2266.29836462435</v>
      </c>
      <c r="CH158" s="246" t="n">
        <f aca="false">IF(CH155=2,MAX(0,CH154),IF(CH155=1,MAX(0,MIN(CH154-Assumption!$D$535,CG157+CH156)),0))</f>
        <v>2363.09048665776</v>
      </c>
      <c r="CI158" s="246" t="n">
        <f aca="false">IF(CI155=2,MAX(0,CI154),IF(CI155=1,MAX(0,MIN(CI154-Assumption!$D$535,CH157+CI156)),0))</f>
        <v>2363.09048665776</v>
      </c>
      <c r="CJ158" s="246" t="n">
        <f aca="false">IF(CJ155=2,MAX(0,CJ154),IF(CJ155=1,MAX(0,MIN(CJ154-Assumption!$D$535,CI157+CJ156)),0))</f>
        <v>2072.71412055752</v>
      </c>
      <c r="CK158" s="246" t="n">
        <f aca="false">IF(CK155=2,MAX(0,CK154),IF(CK155=1,MAX(0,MIN(CK154-Assumption!$D$535,CJ157+CK156)),0))</f>
        <v>2460.68346648972</v>
      </c>
      <c r="CL158" s="246" t="n">
        <f aca="false">IF(CL155=2,MAX(0,CL154),IF(CL155=1,MAX(0,MIN(CL154-Assumption!$D$535,CK157+CL156)),0))</f>
        <v>2391.10550201564</v>
      </c>
      <c r="CM158" s="246" t="n">
        <f aca="false">IF(CM155=2,MAX(0,CM154),IF(CM155=1,MAX(0,MIN(CM154-Assumption!$D$535,CL157+CM156)),0))</f>
        <v>2489.83346648972</v>
      </c>
      <c r="CN158" s="246" t="n">
        <f aca="false">IF(CN155=2,MAX(0,CN154),IF(CN155=1,MAX(0,MIN(CN154-Assumption!$D$535,CM157+CN156)),0))</f>
        <v>2391.10550201564</v>
      </c>
      <c r="CO158" s="246" t="n">
        <f aca="false">IF(CO155=2,MAX(0,CO154),IF(CO155=1,MAX(0,MIN(CO154-Assumption!$D$535,CN157+CO156)),0))</f>
        <v>2489.83346648972</v>
      </c>
      <c r="CP158" s="246" t="n">
        <f aca="false">IF(CP155=2,MAX(0,CP154),IF(CP155=1,MAX(0,MIN(CP154-Assumption!$D$535,CO157+CP156)),0))</f>
        <v>2489.83346648972</v>
      </c>
      <c r="CQ158" s="246" t="n">
        <f aca="false">IF(CQ155=2,MAX(0,CQ154),IF(CQ155=1,MAX(0,MIN(CQ154-Assumption!$D$535,CP157+CQ156)),0))</f>
        <v>2391.10550201564</v>
      </c>
      <c r="CR158" s="246" t="n">
        <f aca="false">IF(CR155=2,MAX(0,CR154),IF(CR155=1,MAX(0,MIN(CR154-Assumption!$D$535,CQ157+CR156)),0))</f>
        <v>2489.83346648972</v>
      </c>
      <c r="CS158" s="246" t="n">
        <f aca="false">IF(CS155=2,MAX(0,CS154),IF(CS155=1,MAX(0,MIN(CS154-Assumption!$D$535,CR157+CS156)),0))</f>
        <v>2391.10550201564</v>
      </c>
      <c r="CT158" s="246" t="n">
        <f aca="false">IF(CT155=2,MAX(0,CT154),IF(CT155=1,MAX(0,MIN(CT154-Assumption!$D$535,CS157+CT156)),0))</f>
        <v>2489.83346648972</v>
      </c>
      <c r="CU158" s="246" t="n">
        <f aca="false">IF(CU155=2,MAX(0,CU154),IF(CU155=1,MAX(0,MIN(CU154-Assumption!$D$535,CT157+CU156)),0))</f>
        <v>2489.83346648972</v>
      </c>
      <c r="CV158" s="246" t="n">
        <f aca="false">IF(CV155=2,MAX(0,CV154),IF(CV155=1,MAX(0,MIN(CV154-Assumption!$D$535,CU157+CV156)),0))</f>
        <v>2193.64957306748</v>
      </c>
      <c r="CW158" s="246" t="n">
        <f aca="false">IF(CW155=2,MAX(0,CW154),IF(CW155=1,MAX(0,MIN(CW154-Assumption!$D$535,CV157+CW156)),0))</f>
        <v>2589.37830591833</v>
      </c>
      <c r="CX158" s="246" t="n">
        <f aca="false">IF(CX155=2,MAX(0,CX154),IF(CX155=1,MAX(0,MIN(CX154-Assumption!$D$535,CW157+CX156)),0))</f>
        <v>2488.67578215476</v>
      </c>
      <c r="CY158" s="246" t="n">
        <f aca="false">IF(CY155=2,MAX(0,CY154),IF(CY155=1,MAX(0,MIN(CY154-Assumption!$D$535,CX157+CY156)),0))</f>
        <v>2589.37830591833</v>
      </c>
      <c r="CZ158" s="246" t="n">
        <f aca="false">IF(CZ155=2,MAX(0,CZ154),IF(CZ155=1,MAX(0,MIN(CZ154-Assumption!$D$535,CY157+CZ156)),0))</f>
        <v>2488.67578215476</v>
      </c>
      <c r="DA158" s="246" t="n">
        <f aca="false">IF(DA155=2,MAX(0,DA154),IF(DA155=1,MAX(0,MIN(DA154-Assumption!$D$535,CZ157+DA156)),0))</f>
        <v>2589.37830591833</v>
      </c>
      <c r="DB158" s="246" t="n">
        <f aca="false">IF(DB155=2,MAX(0,DB154),IF(DB155=1,MAX(0,MIN(DB154-Assumption!$D$535,DA157+DB156)),0))</f>
        <v>2589.37830591833</v>
      </c>
      <c r="DC158" s="246" t="n">
        <f aca="false">IF(DC155=2,MAX(0,DC154),IF(DC155=1,MAX(0,MIN(DC154-Assumption!$D$535,DB157+DC156)),0))</f>
        <v>2488.67578215476</v>
      </c>
      <c r="DD158" s="246" t="n">
        <f aca="false">IF(DD155=2,MAX(0,DD154),IF(DD155=1,MAX(0,MIN(DD154-Assumption!$D$535,DC157+DD156)),0))</f>
        <v>2589.37830591833</v>
      </c>
      <c r="DE158" s="246" t="n">
        <f aca="false">IF(DE155=2,MAX(0,DE154),IF(DE155=1,MAX(0,MIN(DE154-Assumption!$D$535,DD157+DE156)),0))</f>
        <v>2488.67578215476</v>
      </c>
      <c r="DF158" s="246" t="n">
        <f aca="false">IF(DF155=2,MAX(0,DF154),IF(DF155=1,MAX(0,MIN(DF154-Assumption!$D$535,DE157+DF156)),0))</f>
        <v>2589.37830591833</v>
      </c>
      <c r="DG158" s="246" t="n">
        <f aca="false">IF(DG155=2,MAX(0,DG154),IF(DG155=1,MAX(0,MIN(DG154-Assumption!$D$535,DF157+DG156)),0))</f>
        <v>2589.37830591833</v>
      </c>
      <c r="DH158" s="246" t="n">
        <f aca="false">IF(DH155=2,MAX(0,DH154),IF(DH155=1,MAX(0,MIN(DH154-Assumption!$D$535,DG157+DH156)),0))</f>
        <v>2287.27073462764</v>
      </c>
      <c r="DI158" s="246" t="n">
        <f aca="false">IF(DI155=2,MAX(0,DI154),IF(DI155=1,MAX(0,MIN(DI154-Assumption!$D$535,DH157+DI156)),0))</f>
        <v>2690.9140421355</v>
      </c>
      <c r="DJ158" s="246" t="n">
        <f aca="false">IF(DJ155=2,MAX(0,DJ154),IF(DJ155=1,MAX(0,MIN(DJ154-Assumption!$D$535,DI157+DJ156)),0))</f>
        <v>2588.19746789667</v>
      </c>
      <c r="DK158" s="246" t="n">
        <f aca="false">IF(DK155=2,MAX(0,DK154),IF(DK155=1,MAX(0,MIN(DK154-Assumption!$D$535,DJ157+DK156)),0))</f>
        <v>2690.9140421355</v>
      </c>
      <c r="DL158" s="246" t="n">
        <f aca="false">IF(DL155=2,MAX(0,DL154),IF(DL155=1,MAX(0,MIN(DL154-Assumption!$D$535,DK157+DL156)),0))</f>
        <v>2588.19746789667</v>
      </c>
      <c r="DM158" s="246" t="n">
        <f aca="false">IF(DM155=2,MAX(0,DM154),IF(DM155=1,MAX(0,MIN(DM154-Assumption!$D$535,DL157+DM156)),0))</f>
        <v>2690.9140421355</v>
      </c>
      <c r="DN158" s="246" t="n">
        <f aca="false">IF(DN155=2,MAX(0,DN154),IF(DN155=1,MAX(0,MIN(DN154-Assumption!$D$535,DM157+DN156)),0))</f>
        <v>2690.9140421355</v>
      </c>
      <c r="DO158" s="246" t="n">
        <f aca="false">IF(DO155=2,MAX(0,DO154),IF(DO155=1,MAX(0,MIN(DO154-Assumption!$D$535,DN157+DO156)),0))</f>
        <v>2588.19746789667</v>
      </c>
      <c r="DP158" s="246" t="n">
        <f aca="false">IF(DP155=2,MAX(0,DP154),IF(DP155=1,MAX(0,MIN(DP154-Assumption!$D$535,DO157+DP156)),0))</f>
        <v>2690.9140421355</v>
      </c>
      <c r="DQ158" s="246" t="n">
        <f aca="false">IF(DQ155=2,MAX(0,DQ154),IF(DQ155=1,MAX(0,MIN(DQ154-Assumption!$D$535,DP157+DQ156)),0))</f>
        <v>2588.19746789667</v>
      </c>
      <c r="DR158" s="246" t="n">
        <f aca="false">IF(DR155=2,MAX(0,DR154),IF(DR155=1,MAX(0,MIN(DR154-Assumption!$D$535,DQ157+DR156)),0))</f>
        <v>2690.9140421355</v>
      </c>
      <c r="DS158" s="246" t="n">
        <f aca="false">IF(DS155=2,MAX(0,DS154),IF(DS155=1,MAX(0,MIN(DS154-Assumption!$D$535,DR157+DS156)),0))</f>
        <v>2690.9140421355</v>
      </c>
      <c r="DT158" s="246" t="n">
        <f aca="false">IF(DT155=2,MAX(0,DT154),IF(DT155=1,MAX(0,MIN(DT154-Assumption!$D$535,DS157+DT156)),0))</f>
        <v>0</v>
      </c>
      <c r="DU158" s="246" t="n">
        <f aca="false">IF(DU155=2,MAX(0,DU154),IF(DU155=1,MAX(0,MIN(DU154-Assumption!$D$535,DT157+DU156)),0))</f>
        <v>0</v>
      </c>
      <c r="DV158" s="246" t="n">
        <f aca="false">IF(DV155=2,MAX(0,DV154),IF(DV155=1,MAX(0,MIN(DV154-Assumption!$D$535,DU157+DV156)),0))</f>
        <v>0</v>
      </c>
      <c r="DW158" s="246" t="n">
        <f aca="false">IF(DW155=2,MAX(0,DW154),IF(DW155=1,MAX(0,MIN(DW154-Assumption!$D$535,DV157+DW156)),0))</f>
        <v>604733.744528742</v>
      </c>
      <c r="DX158" s="246" t="n">
        <f aca="false">IF(DX155=2,MAX(0,DX154),IF(DX155=1,MAX(0,MIN(DX154-Assumption!$D$535,DW157+DX156)),0))</f>
        <v>0</v>
      </c>
      <c r="DY158" s="246" t="n">
        <f aca="false">IF(DY155=2,MAX(0,DY154),IF(DY155=1,MAX(0,MIN(DY154-Assumption!$D$535,DX157+DY156)),0))</f>
        <v>0</v>
      </c>
      <c r="DZ158" s="246" t="n">
        <f aca="false">IF(DZ155=2,MAX(0,DZ154),IF(DZ155=1,MAX(0,MIN(DZ154-Assumption!$D$535,DY157+DZ156)),0))</f>
        <v>0</v>
      </c>
      <c r="EA158" s="246" t="n">
        <f aca="false">IF(EA155=2,MAX(0,EA154),IF(EA155=1,MAX(0,MIN(EA154-Assumption!$D$535,DZ157+EA156)),0))</f>
        <v>0</v>
      </c>
      <c r="EB158" s="246" t="n">
        <f aca="false">IF(EB155=2,MAX(0,EB154),IF(EB155=1,MAX(0,MIN(EB154-Assumption!$D$535,EA157+EB156)),0))</f>
        <v>0</v>
      </c>
      <c r="EC158" s="246" t="n">
        <f aca="false">IF(EC155=2,MAX(0,EC154),IF(EC155=1,MAX(0,MIN(EC154-Assumption!$D$535,EB157+EC156)),0))</f>
        <v>0</v>
      </c>
      <c r="ED158" s="246" t="n">
        <f aca="false">IF(ED155=2,MAX(0,ED154),IF(ED155=1,MAX(0,MIN(ED154-Assumption!$D$535,EC157+ED156)),0))</f>
        <v>0</v>
      </c>
      <c r="EE158" s="246" t="n">
        <f aca="false">IF(EE155=2,MAX(0,EE154),IF(EE155=1,MAX(0,MIN(EE154-Assumption!$D$535,ED157+EE156)),0))</f>
        <v>0</v>
      </c>
      <c r="EF158" s="246" t="n">
        <f aca="false">IF(EF155=2,MAX(0,EF154),IF(EF155=1,MAX(0,MIN(EF154-Assumption!$D$535,EE157+EF156)),0))</f>
        <v>0</v>
      </c>
    </row>
    <row r="159" customFormat="false" ht="15" hidden="false" customHeight="false" outlineLevel="0" collapsed="false">
      <c r="A159" s="243" t="s">
        <v>609</v>
      </c>
      <c r="B159" s="244" t="s">
        <v>116</v>
      </c>
      <c r="C159" s="245" t="n">
        <f aca="false">SUMIF(E6:EF6,Assumption!$E$24,E159:EF159)</f>
        <v>0</v>
      </c>
      <c r="D159" s="13"/>
      <c r="E159" s="246" t="n">
        <f aca="false">E154-E158</f>
        <v>13781.8916972522</v>
      </c>
      <c r="F159" s="246" t="n">
        <f aca="false">F154-F158</f>
        <v>13723.3869335295</v>
      </c>
      <c r="G159" s="246" t="n">
        <f aca="false">G154-G158</f>
        <v>13664.7359078975</v>
      </c>
      <c r="H159" s="246" t="n">
        <f aca="false">H154-H158</f>
        <v>2605.93825470144</v>
      </c>
      <c r="I159" s="246" t="n">
        <f aca="false">I154-I158</f>
        <v>2519.49360737239</v>
      </c>
      <c r="J159" s="246" t="n">
        <f aca="false">J154-J158</f>
        <v>2432.83284842502</v>
      </c>
      <c r="K159" s="246" t="n">
        <f aca="false">K154-K158</f>
        <v>2345.95543758027</v>
      </c>
      <c r="L159" s="246" t="n">
        <f aca="false">L154-L158</f>
        <v>2258.86083320842</v>
      </c>
      <c r="M159" s="246" t="n">
        <f aca="false">M154-M158</f>
        <v>2171.54849232563</v>
      </c>
      <c r="N159" s="246" t="n">
        <f aca="false">N154-N158</f>
        <v>2084.01787059064</v>
      </c>
      <c r="O159" s="246" t="n">
        <f aca="false">O154-O158</f>
        <v>1996.26842230131</v>
      </c>
      <c r="P159" s="246" t="n">
        <f aca="false">P154-P158</f>
        <v>1908.29960039126</v>
      </c>
      <c r="Q159" s="246" t="n">
        <f aca="false">Q154-Q158</f>
        <v>69880.2708564264</v>
      </c>
      <c r="R159" s="246" t="n">
        <f aca="false">R154-R158</f>
        <v>69962.0120406017</v>
      </c>
      <c r="S159" s="246" t="n">
        <f aca="false">S154-S158</f>
        <v>70043.9575777374</v>
      </c>
      <c r="T159" s="246" t="n">
        <f aca="false">T154-T158</f>
        <v>70126.1079787159</v>
      </c>
      <c r="U159" s="246" t="n">
        <f aca="false">U154-U158</f>
        <v>70208.4637556969</v>
      </c>
      <c r="V159" s="246" t="n">
        <f aca="false">V154-V158</f>
        <v>70291.0254221204</v>
      </c>
      <c r="W159" s="246" t="n">
        <f aca="false">W154-W158</f>
        <v>101558.248520083</v>
      </c>
      <c r="X159" s="246" t="n">
        <f aca="false">X154-X158</f>
        <v>96062.8172763069</v>
      </c>
      <c r="Y159" s="246" t="n">
        <f aca="false">Y154-Y158</f>
        <v>87702.9610742074</v>
      </c>
      <c r="Z159" s="246" t="n">
        <f aca="false">Z154-Z158</f>
        <v>76511.5993653224</v>
      </c>
      <c r="AA159" s="246" t="n">
        <f aca="false">AA154-AA158</f>
        <v>62537.4519479104</v>
      </c>
      <c r="AB159" s="246" t="n">
        <f aca="false">AB154-AB158</f>
        <v>45844.7664196244</v>
      </c>
      <c r="AC159" s="246" t="n">
        <f aca="false">AC154-AC158</f>
        <v>162633.278792217</v>
      </c>
      <c r="AD159" s="246" t="n">
        <f aca="false">AD154-AD158</f>
        <v>141096.790078104</v>
      </c>
      <c r="AE159" s="246" t="n">
        <f aca="false">AE154-AE158</f>
        <v>117124.508085008</v>
      </c>
      <c r="AF159" s="246" t="n">
        <f aca="false">AF154-AF158</f>
        <v>90838.364482285</v>
      </c>
      <c r="AG159" s="246" t="n">
        <f aca="false">AG154-AG158</f>
        <v>62373.2006643614</v>
      </c>
      <c r="AH159" s="246" t="n">
        <f aca="false">AH154-AH158</f>
        <v>31876.013587142</v>
      </c>
      <c r="AI159" s="246" t="n">
        <f aca="false">AI154-AI158</f>
        <v>500</v>
      </c>
      <c r="AJ159" s="246" t="n">
        <f aca="false">AJ154-AJ158</f>
        <v>500</v>
      </c>
      <c r="AK159" s="246" t="n">
        <f aca="false">AK154-AK158</f>
        <v>500</v>
      </c>
      <c r="AL159" s="246" t="n">
        <f aca="false">AL154-AL158</f>
        <v>500</v>
      </c>
      <c r="AM159" s="246" t="n">
        <f aca="false">AM154-AM158</f>
        <v>500</v>
      </c>
      <c r="AN159" s="246" t="n">
        <f aca="false">AN154-AN158</f>
        <v>500</v>
      </c>
      <c r="AO159" s="246" t="n">
        <f aca="false">AO154-AO158</f>
        <v>96049.1485362359</v>
      </c>
      <c r="AP159" s="246" t="n">
        <f aca="false">AP154-AP158</f>
        <v>55287.1781061264</v>
      </c>
      <c r="AQ159" s="246" t="n">
        <f aca="false">AQ154-AQ158</f>
        <v>14207.8644218383</v>
      </c>
      <c r="AR159" s="246" t="n">
        <f aca="false">AR154-AR158</f>
        <v>500</v>
      </c>
      <c r="AS159" s="246" t="n">
        <f aca="false">AS154-AS158</f>
        <v>500</v>
      </c>
      <c r="AT159" s="246" t="n">
        <f aca="false">AT154-AT158</f>
        <v>500</v>
      </c>
      <c r="AU159" s="246" t="n">
        <f aca="false">AU154-AU158</f>
        <v>500</v>
      </c>
      <c r="AV159" s="246" t="n">
        <f aca="false">AV154-AV158</f>
        <v>500</v>
      </c>
      <c r="AW159" s="246" t="n">
        <f aca="false">AW154-AW158</f>
        <v>500</v>
      </c>
      <c r="AX159" s="246" t="n">
        <f aca="false">AX154-AX158</f>
        <v>500</v>
      </c>
      <c r="AY159" s="246" t="n">
        <f aca="false">AY154-AY158</f>
        <v>500</v>
      </c>
      <c r="AZ159" s="246" t="n">
        <f aca="false">AZ154-AZ158</f>
        <v>500</v>
      </c>
      <c r="BA159" s="246" t="n">
        <f aca="false">BA154-BA158</f>
        <v>102916.409197014</v>
      </c>
      <c r="BB159" s="246" t="n">
        <f aca="false">BB154-BB158</f>
        <v>71429.3997667721</v>
      </c>
      <c r="BC159" s="246" t="n">
        <f aca="false">BC154-BC158</f>
        <v>41976.977669148</v>
      </c>
      <c r="BD159" s="246" t="n">
        <f aca="false">BD154-BD158</f>
        <v>14704.8554209242</v>
      </c>
      <c r="BE159" s="246" t="n">
        <f aca="false">BE154-BE158</f>
        <v>500</v>
      </c>
      <c r="BF159" s="246" t="n">
        <f aca="false">BF154-BF158</f>
        <v>500</v>
      </c>
      <c r="BG159" s="246" t="n">
        <f aca="false">BG154-BG158</f>
        <v>500</v>
      </c>
      <c r="BH159" s="246" t="n">
        <f aca="false">BH154-BH158</f>
        <v>500</v>
      </c>
      <c r="BI159" s="246" t="n">
        <f aca="false">BI154-BI158</f>
        <v>500</v>
      </c>
      <c r="BJ159" s="246" t="n">
        <f aca="false">BJ154-BJ158</f>
        <v>500</v>
      </c>
      <c r="BK159" s="246" t="n">
        <f aca="false">BK154-BK158</f>
        <v>500</v>
      </c>
      <c r="BL159" s="246" t="n">
        <f aca="false">BL154-BL158</f>
        <v>83893.5155897173</v>
      </c>
      <c r="BM159" s="246" t="n">
        <f aca="false">BM154-BM158</f>
        <v>288275.68654024</v>
      </c>
      <c r="BN159" s="246" t="n">
        <f aca="false">BN154-BN158</f>
        <v>288275.686540239</v>
      </c>
      <c r="BO159" s="246" t="n">
        <f aca="false">BO154-BO158</f>
        <v>288275.686540239</v>
      </c>
      <c r="BP159" s="246" t="n">
        <f aca="false">BP154-BP158</f>
        <v>288275.686540239</v>
      </c>
      <c r="BQ159" s="246" t="n">
        <f aca="false">BQ154-BQ158</f>
        <v>288275.686540239</v>
      </c>
      <c r="BR159" s="246" t="n">
        <f aca="false">BR154-BR158</f>
        <v>288275.686540239</v>
      </c>
      <c r="BS159" s="246" t="n">
        <f aca="false">BS154-BS158</f>
        <v>288275.686540239</v>
      </c>
      <c r="BT159" s="246" t="n">
        <f aca="false">BT154-BT158</f>
        <v>288275.686540239</v>
      </c>
      <c r="BU159" s="246" t="n">
        <f aca="false">BU154-BU158</f>
        <v>288275.686540239</v>
      </c>
      <c r="BV159" s="246" t="n">
        <f aca="false">BV154-BV158</f>
        <v>288275.686540239</v>
      </c>
      <c r="BW159" s="246" t="n">
        <f aca="false">BW154-BW158</f>
        <v>288275.686540239</v>
      </c>
      <c r="BX159" s="246" t="n">
        <f aca="false">BX154-BX158</f>
        <v>288275.686540239</v>
      </c>
      <c r="BY159" s="246" t="n">
        <f aca="false">BY154-BY158</f>
        <v>471626.086540239</v>
      </c>
      <c r="BZ159" s="246" t="n">
        <f aca="false">BZ154-BZ158</f>
        <v>471626.086540239</v>
      </c>
      <c r="CA159" s="246" t="n">
        <f aca="false">CA154-CA158</f>
        <v>471626.086540239</v>
      </c>
      <c r="CB159" s="246" t="n">
        <f aca="false">CB154-CB158</f>
        <v>471626.086540239</v>
      </c>
      <c r="CC159" s="246" t="n">
        <f aca="false">CC154-CC158</f>
        <v>471626.086540239</v>
      </c>
      <c r="CD159" s="246" t="n">
        <f aca="false">CD154-CD158</f>
        <v>471626.086540239</v>
      </c>
      <c r="CE159" s="246" t="n">
        <f aca="false">CE154-CE158</f>
        <v>471626.08654024</v>
      </c>
      <c r="CF159" s="246" t="n">
        <f aca="false">CF154-CF158</f>
        <v>471626.08654024</v>
      </c>
      <c r="CG159" s="246" t="n">
        <f aca="false">CG154-CG158</f>
        <v>471626.08654024</v>
      </c>
      <c r="CH159" s="246" t="n">
        <f aca="false">CH154-CH158</f>
        <v>471626.08654024</v>
      </c>
      <c r="CI159" s="246" t="n">
        <f aca="false">CI154-CI158</f>
        <v>471626.08654024</v>
      </c>
      <c r="CJ159" s="246" t="n">
        <f aca="false">CJ154-CJ158</f>
        <v>471626.08654024</v>
      </c>
      <c r="CK159" s="246" t="n">
        <f aca="false">CK154-CK158</f>
        <v>484826.08654024</v>
      </c>
      <c r="CL159" s="246" t="n">
        <f aca="false">CL154-CL158</f>
        <v>484826.08654024</v>
      </c>
      <c r="CM159" s="246" t="n">
        <f aca="false">CM154-CM158</f>
        <v>484826.08654024</v>
      </c>
      <c r="CN159" s="246" t="n">
        <f aca="false">CN154-CN158</f>
        <v>484826.08654024</v>
      </c>
      <c r="CO159" s="246" t="n">
        <f aca="false">CO154-CO158</f>
        <v>484826.08654024</v>
      </c>
      <c r="CP159" s="246" t="n">
        <f aca="false">CP154-CP158</f>
        <v>484826.08654024</v>
      </c>
      <c r="CQ159" s="246" t="n">
        <f aca="false">CQ154-CQ158</f>
        <v>484826.08654024</v>
      </c>
      <c r="CR159" s="246" t="n">
        <f aca="false">CR154-CR158</f>
        <v>484826.08654024</v>
      </c>
      <c r="CS159" s="246" t="n">
        <f aca="false">CS154-CS158</f>
        <v>484826.08654024</v>
      </c>
      <c r="CT159" s="246" t="n">
        <f aca="false">CT154-CT158</f>
        <v>484826.08654024</v>
      </c>
      <c r="CU159" s="246" t="n">
        <f aca="false">CU154-CU158</f>
        <v>484826.08654024</v>
      </c>
      <c r="CV159" s="246" t="n">
        <f aca="false">CV154-CV158</f>
        <v>484826.08654024</v>
      </c>
      <c r="CW159" s="246" t="n">
        <f aca="false">CW154-CW158</f>
        <v>484826.08654024</v>
      </c>
      <c r="CX159" s="246" t="n">
        <f aca="false">CX154-CX158</f>
        <v>484826.08654024</v>
      </c>
      <c r="CY159" s="246" t="n">
        <f aca="false">CY154-CY158</f>
        <v>484826.08654024</v>
      </c>
      <c r="CZ159" s="246" t="n">
        <f aca="false">CZ154-CZ158</f>
        <v>484826.08654024</v>
      </c>
      <c r="DA159" s="246" t="n">
        <f aca="false">DA154-DA158</f>
        <v>484826.08654024</v>
      </c>
      <c r="DB159" s="246" t="n">
        <f aca="false">DB154-DB158</f>
        <v>484826.08654024</v>
      </c>
      <c r="DC159" s="246" t="n">
        <f aca="false">DC154-DC158</f>
        <v>484826.08654024</v>
      </c>
      <c r="DD159" s="246" t="n">
        <f aca="false">DD154-DD158</f>
        <v>484826.08654024</v>
      </c>
      <c r="DE159" s="246" t="n">
        <f aca="false">DE154-DE158</f>
        <v>484826.08654024</v>
      </c>
      <c r="DF159" s="246" t="n">
        <f aca="false">DF154-DF158</f>
        <v>484826.08654024</v>
      </c>
      <c r="DG159" s="246" t="n">
        <f aca="false">DG154-DG158</f>
        <v>484826.08654024</v>
      </c>
      <c r="DH159" s="246" t="n">
        <f aca="false">DH154-DH158</f>
        <v>484826.08654024</v>
      </c>
      <c r="DI159" s="246" t="n">
        <f aca="false">DI154-DI158</f>
        <v>484826.08654024</v>
      </c>
      <c r="DJ159" s="246" t="n">
        <f aca="false">DJ154-DJ158</f>
        <v>484826.08654024</v>
      </c>
      <c r="DK159" s="246" t="n">
        <f aca="false">DK154-DK158</f>
        <v>484826.08654024</v>
      </c>
      <c r="DL159" s="246" t="n">
        <f aca="false">DL154-DL158</f>
        <v>484826.08654024</v>
      </c>
      <c r="DM159" s="246" t="n">
        <f aca="false">DM154-DM158</f>
        <v>484826.08654024</v>
      </c>
      <c r="DN159" s="246" t="n">
        <f aca="false">DN154-DN158</f>
        <v>484826.08654024</v>
      </c>
      <c r="DO159" s="246" t="n">
        <f aca="false">DO154-DO158</f>
        <v>484826.08654024</v>
      </c>
      <c r="DP159" s="246" t="n">
        <f aca="false">DP154-DP158</f>
        <v>484826.08654024</v>
      </c>
      <c r="DQ159" s="246" t="n">
        <f aca="false">DQ154-DQ158</f>
        <v>484826.08654024</v>
      </c>
      <c r="DR159" s="246" t="n">
        <f aca="false">DR154-DR158</f>
        <v>484826.08654024</v>
      </c>
      <c r="DS159" s="246" t="n">
        <f aca="false">DS154-DS158</f>
        <v>484826.08654024</v>
      </c>
      <c r="DT159" s="246" t="n">
        <f aca="false">DT154-DT158</f>
        <v>600549.464905738</v>
      </c>
      <c r="DU159" s="246" t="n">
        <f aca="false">DU154-DU158</f>
        <v>601940.743684628</v>
      </c>
      <c r="DV159" s="246" t="n">
        <f aca="false">DV154-DV158</f>
        <v>603335.500660465</v>
      </c>
      <c r="DW159" s="246" t="n">
        <f aca="false">DW154-DW158</f>
        <v>0</v>
      </c>
      <c r="DX159" s="246" t="n">
        <f aca="false">DX154-DX158</f>
        <v>0</v>
      </c>
      <c r="DY159" s="246" t="n">
        <f aca="false">DY154-DY158</f>
        <v>0</v>
      </c>
      <c r="DZ159" s="246" t="n">
        <f aca="false">DZ154-DZ158</f>
        <v>0</v>
      </c>
      <c r="EA159" s="246" t="n">
        <f aca="false">EA154-EA158</f>
        <v>0</v>
      </c>
      <c r="EB159" s="246" t="n">
        <f aca="false">EB154-EB158</f>
        <v>0</v>
      </c>
      <c r="EC159" s="246" t="n">
        <f aca="false">EC154-EC158</f>
        <v>0</v>
      </c>
      <c r="ED159" s="246" t="n">
        <f aca="false">ED154-ED158</f>
        <v>0</v>
      </c>
      <c r="EE159" s="246" t="n">
        <f aca="false">EE154-EE158</f>
        <v>0</v>
      </c>
      <c r="EF159" s="246" t="n">
        <f aca="false">EF154-EF158</f>
        <v>0</v>
      </c>
    </row>
    <row r="161" customFormat="false" ht="15" hidden="false" customHeight="false" outlineLevel="0" collapsed="false">
      <c r="A161" s="176" t="s">
        <v>610</v>
      </c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/>
      <c r="BK161" s="86"/>
      <c r="BL161" s="86"/>
      <c r="BM161" s="86"/>
      <c r="BN161" s="86"/>
      <c r="BO161" s="86"/>
      <c r="BP161" s="86"/>
      <c r="BQ161" s="86"/>
      <c r="BR161" s="86"/>
      <c r="BS161" s="86"/>
      <c r="BT161" s="86"/>
      <c r="BU161" s="86"/>
      <c r="BV161" s="86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86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  <c r="DB161" s="86"/>
      <c r="DC161" s="86"/>
      <c r="DD161" s="86"/>
      <c r="DE161" s="86"/>
      <c r="DF161" s="86"/>
      <c r="DG161" s="86"/>
      <c r="DH161" s="86"/>
      <c r="DI161" s="86"/>
      <c r="DJ161" s="86"/>
      <c r="DK161" s="86"/>
      <c r="DL161" s="86"/>
      <c r="DM161" s="86"/>
      <c r="DN161" s="86"/>
      <c r="DO161" s="86"/>
      <c r="DP161" s="86"/>
      <c r="DQ161" s="86"/>
      <c r="DR161" s="86"/>
      <c r="DS161" s="86"/>
      <c r="DT161" s="86"/>
      <c r="DU161" s="86"/>
      <c r="DV161" s="86"/>
      <c r="DW161" s="86"/>
      <c r="DX161" s="86"/>
      <c r="DY161" s="86"/>
      <c r="DZ161" s="86"/>
      <c r="EA161" s="86"/>
      <c r="EB161" s="86"/>
      <c r="EC161" s="86"/>
      <c r="ED161" s="86"/>
      <c r="EE161" s="86"/>
      <c r="EF161" s="86"/>
    </row>
    <row r="162" customFormat="false" ht="15" hidden="false" customHeight="false" outlineLevel="0" collapsed="false">
      <c r="A162" s="35" t="s">
        <v>611</v>
      </c>
      <c r="B162" s="241" t="s">
        <v>116</v>
      </c>
      <c r="E162" s="158" t="n">
        <f aca="false">0</f>
        <v>0</v>
      </c>
      <c r="F162" s="158" t="n">
        <f aca="false">E162+E141-E166</f>
        <v>0</v>
      </c>
      <c r="G162" s="158" t="n">
        <f aca="false">F162+F141-F166</f>
        <v>0</v>
      </c>
      <c r="H162" s="158" t="n">
        <f aca="false">G162+G141-G166</f>
        <v>0</v>
      </c>
      <c r="I162" s="158" t="n">
        <f aca="false">H162+H141-H166</f>
        <v>0</v>
      </c>
      <c r="J162" s="158" t="n">
        <f aca="false">I162+I141-I166</f>
        <v>0</v>
      </c>
      <c r="K162" s="158" t="n">
        <f aca="false">J162+J141-J166</f>
        <v>0</v>
      </c>
      <c r="L162" s="158" t="n">
        <f aca="false">K162+K141-K166</f>
        <v>0</v>
      </c>
      <c r="M162" s="158" t="n">
        <f aca="false">L162+L141-L166</f>
        <v>0</v>
      </c>
      <c r="N162" s="158" t="n">
        <f aca="false">M162+M141-M166</f>
        <v>0</v>
      </c>
      <c r="O162" s="158" t="n">
        <f aca="false">N162+N141-N166</f>
        <v>0</v>
      </c>
      <c r="P162" s="158" t="n">
        <f aca="false">O162+O141-O166</f>
        <v>0</v>
      </c>
      <c r="Q162" s="158" t="n">
        <f aca="false">P162+P141-P166</f>
        <v>0</v>
      </c>
      <c r="R162" s="158" t="n">
        <f aca="false">Q162+Q141-Q166</f>
        <v>0</v>
      </c>
      <c r="S162" s="158" t="n">
        <f aca="false">R162+R141-R166</f>
        <v>0</v>
      </c>
      <c r="T162" s="158" t="n">
        <f aca="false">S162+S141-S166</f>
        <v>0</v>
      </c>
      <c r="U162" s="158" t="n">
        <f aca="false">T162+T141-T166</f>
        <v>0</v>
      </c>
      <c r="V162" s="158" t="n">
        <f aca="false">U162+U141-U166</f>
        <v>0</v>
      </c>
      <c r="W162" s="158" t="n">
        <f aca="false">V162+V141-V166</f>
        <v>0</v>
      </c>
      <c r="X162" s="158" t="n">
        <f aca="false">W162+W141-W166</f>
        <v>201164.870175903</v>
      </c>
      <c r="Y162" s="158" t="n">
        <f aca="false">X162+X141-X166</f>
        <v>201164.870175903</v>
      </c>
      <c r="Z162" s="158" t="n">
        <f aca="false">Y162+Y141-Y166</f>
        <v>201164.870175903</v>
      </c>
      <c r="AA162" s="158" t="n">
        <f aca="false">Z162+Z141-Z166</f>
        <v>201164.870175903</v>
      </c>
      <c r="AB162" s="158" t="n">
        <f aca="false">AA162+AA141-AA166</f>
        <v>201164.870175903</v>
      </c>
      <c r="AC162" s="158" t="n">
        <f aca="false">AB162+AB141-AB166</f>
        <v>201164.870175903</v>
      </c>
      <c r="AD162" s="158" t="n">
        <f aca="false">AC162+AC141-AC166</f>
        <v>201164.870175903</v>
      </c>
      <c r="AE162" s="158" t="n">
        <f aca="false">AD162+AD141-AD166</f>
        <v>201164.870175903</v>
      </c>
      <c r="AF162" s="158" t="n">
        <f aca="false">AE162+AE141-AE166</f>
        <v>201164.870175903</v>
      </c>
      <c r="AG162" s="158" t="n">
        <f aca="false">AF162+AF141-AF166</f>
        <v>201164.870175903</v>
      </c>
      <c r="AH162" s="158" t="n">
        <f aca="false">AG162+AG141-AG166</f>
        <v>201164.870175903</v>
      </c>
      <c r="AI162" s="158" t="n">
        <f aca="false">AH162+AH141-AH166</f>
        <v>201164.870175903</v>
      </c>
      <c r="AJ162" s="158" t="n">
        <f aca="false">AI162+AI141-AI166</f>
        <v>201164.870175903</v>
      </c>
      <c r="AK162" s="158" t="n">
        <f aca="false">AJ162+AJ141-AJ166</f>
        <v>201164.870175903</v>
      </c>
      <c r="AL162" s="158" t="n">
        <f aca="false">AK162+AK141-AK166</f>
        <v>201164.870175903</v>
      </c>
      <c r="AM162" s="158" t="n">
        <f aca="false">AL162+AL141-AL166</f>
        <v>201164.870175903</v>
      </c>
      <c r="AN162" s="158" t="n">
        <f aca="false">AM162+AM141-AM166</f>
        <v>201164.870175903</v>
      </c>
      <c r="AO162" s="158" t="n">
        <f aca="false">AN162+AN141-AN166</f>
        <v>201164.870175903</v>
      </c>
      <c r="AP162" s="158" t="n">
        <f aca="false">AO162+AO141-AO166</f>
        <v>201164.870175903</v>
      </c>
      <c r="AQ162" s="158" t="n">
        <f aca="false">AP162+AP141-AP166</f>
        <v>201164.870175903</v>
      </c>
      <c r="AR162" s="158" t="n">
        <f aca="false">AQ162+AQ141-AQ166</f>
        <v>201164.870175903</v>
      </c>
      <c r="AS162" s="158" t="n">
        <f aca="false">AR162+AR141-AR166</f>
        <v>201164.870175903</v>
      </c>
      <c r="AT162" s="158" t="n">
        <f aca="false">AS162+AS141-AS166</f>
        <v>201164.870175903</v>
      </c>
      <c r="AU162" s="158" t="n">
        <f aca="false">AT162+AT141-AT166</f>
        <v>201164.870175903</v>
      </c>
      <c r="AV162" s="158" t="n">
        <f aca="false">AU162+AU141-AU166</f>
        <v>201164.870175903</v>
      </c>
      <c r="AW162" s="158" t="n">
        <f aca="false">AV162+AV141-AV166</f>
        <v>201164.870175903</v>
      </c>
      <c r="AX162" s="158" t="n">
        <f aca="false">AW162+AW141-AW166</f>
        <v>201164.870175903</v>
      </c>
      <c r="AY162" s="158" t="n">
        <f aca="false">AX162+AX141-AX166</f>
        <v>201164.870175903</v>
      </c>
      <c r="AZ162" s="158" t="n">
        <f aca="false">AY162+AY141-AY166</f>
        <v>201164.870175903</v>
      </c>
      <c r="BA162" s="158" t="n">
        <f aca="false">AZ162+AZ141-AZ166</f>
        <v>201164.870175903</v>
      </c>
      <c r="BB162" s="158" t="n">
        <f aca="false">BA162+BA141-BA166</f>
        <v>201164.870175903</v>
      </c>
      <c r="BC162" s="158" t="n">
        <f aca="false">BB162+BB141-BB166</f>
        <v>201164.870175903</v>
      </c>
      <c r="BD162" s="158" t="n">
        <f aca="false">BC162+BC141-BC166</f>
        <v>201164.870175903</v>
      </c>
      <c r="BE162" s="158" t="n">
        <f aca="false">BD162+BD141-BD166</f>
        <v>201164.870175903</v>
      </c>
      <c r="BF162" s="158" t="n">
        <f aca="false">BE162+BE141-BE166</f>
        <v>201164.870175903</v>
      </c>
      <c r="BG162" s="158" t="n">
        <f aca="false">BF162+BF141-BF166</f>
        <v>201164.870175903</v>
      </c>
      <c r="BH162" s="158" t="n">
        <f aca="false">BG162+BG141-BG166</f>
        <v>201164.870175903</v>
      </c>
      <c r="BI162" s="158" t="n">
        <f aca="false">BH162+BH141-BH166</f>
        <v>201164.870175903</v>
      </c>
      <c r="BJ162" s="158" t="n">
        <f aca="false">BI162+BI141-BI166</f>
        <v>201164.870175903</v>
      </c>
      <c r="BK162" s="158" t="n">
        <f aca="false">BJ162+BJ141-BJ166</f>
        <v>201164.870175903</v>
      </c>
      <c r="BL162" s="158" t="n">
        <f aca="false">BK162+BK141-BK166</f>
        <v>201164.870175903</v>
      </c>
      <c r="BM162" s="158" t="n">
        <f aca="false">BL162+BL141-BL166</f>
        <v>201164.870175903</v>
      </c>
      <c r="BN162" s="158" t="n">
        <f aca="false">BM162+BM141-BM166</f>
        <v>201164.870175903</v>
      </c>
      <c r="BO162" s="158" t="n">
        <f aca="false">BN162+BN141-BN166</f>
        <v>201164.870175903</v>
      </c>
      <c r="BP162" s="158" t="n">
        <f aca="false">BO162+BO141-BO166</f>
        <v>201164.870175903</v>
      </c>
      <c r="BQ162" s="158" t="n">
        <f aca="false">BP162+BP141-BP166</f>
        <v>201164.870175903</v>
      </c>
      <c r="BR162" s="158" t="n">
        <f aca="false">BQ162+BQ141-BQ166</f>
        <v>201164.870175903</v>
      </c>
      <c r="BS162" s="158" t="n">
        <f aca="false">BR162+BR141-BR166</f>
        <v>201164.870175903</v>
      </c>
      <c r="BT162" s="158" t="n">
        <f aca="false">BS162+BS141-BS166</f>
        <v>201164.870175903</v>
      </c>
      <c r="BU162" s="158" t="n">
        <f aca="false">BT162+BT141-BT166</f>
        <v>201164.870175903</v>
      </c>
      <c r="BV162" s="158" t="n">
        <f aca="false">BU162+BU141-BU166</f>
        <v>201164.870175903</v>
      </c>
      <c r="BW162" s="158" t="n">
        <f aca="false">BV162+BV141-BV166</f>
        <v>201164.870175903</v>
      </c>
      <c r="BX162" s="158" t="n">
        <f aca="false">BW162+BW141-BW166</f>
        <v>201164.870175903</v>
      </c>
      <c r="BY162" s="158" t="n">
        <f aca="false">BX162+BX141-BX166</f>
        <v>201164.870175903</v>
      </c>
      <c r="BZ162" s="158" t="n">
        <f aca="false">BY162+BY141-BY166</f>
        <v>201164.870175903</v>
      </c>
      <c r="CA162" s="158" t="n">
        <f aca="false">BZ162+BZ141-BZ166</f>
        <v>201164.870175903</v>
      </c>
      <c r="CB162" s="158" t="n">
        <f aca="false">CA162+CA141-CA166</f>
        <v>201164.870175903</v>
      </c>
      <c r="CC162" s="158" t="n">
        <f aca="false">CB162+CB141-CB166</f>
        <v>201164.870175903</v>
      </c>
      <c r="CD162" s="158" t="n">
        <f aca="false">CC162+CC141-CC166</f>
        <v>201164.870175903</v>
      </c>
      <c r="CE162" s="158" t="n">
        <f aca="false">CD162+CD141-CD166</f>
        <v>201164.870175903</v>
      </c>
      <c r="CF162" s="158" t="n">
        <f aca="false">CE162+CE141-CE166</f>
        <v>201164.870175903</v>
      </c>
      <c r="CG162" s="158" t="n">
        <f aca="false">CF162+CF141-CF166</f>
        <v>201164.870175903</v>
      </c>
      <c r="CH162" s="158" t="n">
        <f aca="false">CG162+CG141-CG166</f>
        <v>201164.870175903</v>
      </c>
      <c r="CI162" s="158" t="n">
        <f aca="false">CH162+CH141-CH166</f>
        <v>201164.870175903</v>
      </c>
      <c r="CJ162" s="158" t="n">
        <f aca="false">CI162+CI141-CI166</f>
        <v>201164.870175903</v>
      </c>
      <c r="CK162" s="158" t="n">
        <f aca="false">CJ162+CJ141-CJ166</f>
        <v>201164.870175903</v>
      </c>
      <c r="CL162" s="158" t="n">
        <f aca="false">CK162+CK141-CK166</f>
        <v>201164.870175903</v>
      </c>
      <c r="CM162" s="158" t="n">
        <f aca="false">CL162+CL141-CL166</f>
        <v>201164.870175903</v>
      </c>
      <c r="CN162" s="158" t="n">
        <f aca="false">CM162+CM141-CM166</f>
        <v>201164.870175903</v>
      </c>
      <c r="CO162" s="158" t="n">
        <f aca="false">CN162+CN141-CN166</f>
        <v>201164.870175903</v>
      </c>
      <c r="CP162" s="158" t="n">
        <f aca="false">CO162+CO141-CO166</f>
        <v>201164.870175903</v>
      </c>
      <c r="CQ162" s="158" t="n">
        <f aca="false">CP162+CP141-CP166</f>
        <v>201164.870175903</v>
      </c>
      <c r="CR162" s="158" t="n">
        <f aca="false">CQ162+CQ141-CQ166</f>
        <v>201164.870175903</v>
      </c>
      <c r="CS162" s="158" t="n">
        <f aca="false">CR162+CR141-CR166</f>
        <v>201164.870175903</v>
      </c>
      <c r="CT162" s="158" t="n">
        <f aca="false">CS162+CS141-CS166</f>
        <v>201164.870175903</v>
      </c>
      <c r="CU162" s="158" t="n">
        <f aca="false">CT162+CT141-CT166</f>
        <v>201164.870175903</v>
      </c>
      <c r="CV162" s="158" t="n">
        <f aca="false">CU162+CU141-CU166</f>
        <v>201164.870175903</v>
      </c>
      <c r="CW162" s="158" t="n">
        <f aca="false">CV162+CV141-CV166</f>
        <v>201164.870175903</v>
      </c>
      <c r="CX162" s="158" t="n">
        <f aca="false">CW162+CW141-CW166</f>
        <v>201164.870175903</v>
      </c>
      <c r="CY162" s="158" t="n">
        <f aca="false">CX162+CX141-CX166</f>
        <v>201164.870175903</v>
      </c>
      <c r="CZ162" s="158" t="n">
        <f aca="false">CY162+CY141-CY166</f>
        <v>201164.870175903</v>
      </c>
      <c r="DA162" s="158" t="n">
        <f aca="false">CZ162+CZ141-CZ166</f>
        <v>201164.870175903</v>
      </c>
      <c r="DB162" s="158" t="n">
        <f aca="false">DA162+DA141-DA166</f>
        <v>201164.870175903</v>
      </c>
      <c r="DC162" s="158" t="n">
        <f aca="false">DB162+DB141-DB166</f>
        <v>201164.870175903</v>
      </c>
      <c r="DD162" s="158" t="n">
        <f aca="false">DC162+DC141-DC166</f>
        <v>201164.870175903</v>
      </c>
      <c r="DE162" s="158" t="n">
        <f aca="false">DD162+DD141-DD166</f>
        <v>201164.870175903</v>
      </c>
      <c r="DF162" s="158" t="n">
        <f aca="false">DE162+DE141-DE166</f>
        <v>201164.870175903</v>
      </c>
      <c r="DG162" s="158" t="n">
        <f aca="false">DF162+DF141-DF166</f>
        <v>201164.870175903</v>
      </c>
      <c r="DH162" s="158" t="n">
        <f aca="false">DG162+DG141-DG166</f>
        <v>201164.870175903</v>
      </c>
      <c r="DI162" s="158" t="n">
        <f aca="false">DH162+DH141-DH166</f>
        <v>201164.870175903</v>
      </c>
      <c r="DJ162" s="158" t="n">
        <f aca="false">DI162+DI141-DI166</f>
        <v>201164.870175903</v>
      </c>
      <c r="DK162" s="158" t="n">
        <f aca="false">DJ162+DJ141-DJ166</f>
        <v>201164.870175903</v>
      </c>
      <c r="DL162" s="158" t="n">
        <f aca="false">DK162+DK141-DK166</f>
        <v>201164.870175903</v>
      </c>
      <c r="DM162" s="158" t="n">
        <f aca="false">DL162+DL141-DL166</f>
        <v>201164.870175903</v>
      </c>
      <c r="DN162" s="158" t="n">
        <f aca="false">DM162+DM141-DM166</f>
        <v>201164.870175903</v>
      </c>
      <c r="DO162" s="158" t="n">
        <f aca="false">DN162+DN141-DN166</f>
        <v>201164.870175903</v>
      </c>
      <c r="DP162" s="158" t="n">
        <f aca="false">DO162+DO141-DO166</f>
        <v>201164.870175903</v>
      </c>
      <c r="DQ162" s="158" t="n">
        <f aca="false">DP162+DP141-DP166</f>
        <v>201164.870175903</v>
      </c>
      <c r="DR162" s="158" t="n">
        <f aca="false">DQ162+DQ141-DQ166</f>
        <v>201164.870175903</v>
      </c>
      <c r="DS162" s="158" t="n">
        <f aca="false">DR162+DR141-DR166</f>
        <v>201164.870175903</v>
      </c>
      <c r="DT162" s="158" t="n">
        <f aca="false">DS162+DS141-DS166</f>
        <v>201164.870175903</v>
      </c>
      <c r="DU162" s="158" t="n">
        <f aca="false">DT162+DT141-DT166</f>
        <v>201164.870175903</v>
      </c>
      <c r="DV162" s="158" t="n">
        <f aca="false">DU162+DU141-DU166</f>
        <v>201164.870175903</v>
      </c>
      <c r="DW162" s="158" t="n">
        <f aca="false">DV162+DV141-DV166</f>
        <v>201164.870175903</v>
      </c>
      <c r="DX162" s="158" t="n">
        <f aca="false">DW162+DW141-DW166</f>
        <v>0</v>
      </c>
      <c r="DY162" s="158" t="n">
        <f aca="false">DX162+DX141-DX166</f>
        <v>0</v>
      </c>
      <c r="DZ162" s="158" t="n">
        <f aca="false">DY162+DY141-DY166</f>
        <v>0</v>
      </c>
      <c r="EA162" s="158" t="n">
        <f aca="false">DZ162+DZ141-DZ166</f>
        <v>0</v>
      </c>
      <c r="EB162" s="158" t="n">
        <f aca="false">EA162+EA141-EA166</f>
        <v>0</v>
      </c>
      <c r="EC162" s="158" t="n">
        <f aca="false">EB162+EB141-EB166</f>
        <v>0</v>
      </c>
      <c r="ED162" s="158" t="n">
        <f aca="false">EC162+EC141-EC166</f>
        <v>0</v>
      </c>
      <c r="EE162" s="158" t="n">
        <f aca="false">ED162+ED141-ED166</f>
        <v>0</v>
      </c>
      <c r="EF162" s="158" t="n">
        <f aca="false">EE162+EE141-EE166</f>
        <v>0</v>
      </c>
    </row>
    <row r="163" customFormat="false" ht="15" hidden="false" customHeight="false" outlineLevel="0" collapsed="false">
      <c r="A163" s="35" t="s">
        <v>612</v>
      </c>
      <c r="B163" s="241" t="s">
        <v>116</v>
      </c>
      <c r="E163" s="158" t="n">
        <f aca="false">0</f>
        <v>0</v>
      </c>
      <c r="F163" s="158" t="n">
        <f aca="false">E167</f>
        <v>0</v>
      </c>
      <c r="G163" s="158" t="n">
        <f aca="false">F167</f>
        <v>0</v>
      </c>
      <c r="H163" s="158" t="n">
        <f aca="false">G167</f>
        <v>0</v>
      </c>
      <c r="I163" s="158" t="n">
        <f aca="false">H167</f>
        <v>0</v>
      </c>
      <c r="J163" s="158" t="n">
        <f aca="false">I167</f>
        <v>0</v>
      </c>
      <c r="K163" s="158" t="n">
        <f aca="false">J167</f>
        <v>0</v>
      </c>
      <c r="L163" s="158" t="n">
        <f aca="false">K167</f>
        <v>0</v>
      </c>
      <c r="M163" s="158" t="n">
        <f aca="false">L167</f>
        <v>0</v>
      </c>
      <c r="N163" s="158" t="n">
        <f aca="false">M167</f>
        <v>0</v>
      </c>
      <c r="O163" s="158" t="n">
        <f aca="false">N167</f>
        <v>0</v>
      </c>
      <c r="P163" s="158" t="n">
        <f aca="false">O167</f>
        <v>0</v>
      </c>
      <c r="Q163" s="158" t="n">
        <f aca="false">P167</f>
        <v>0</v>
      </c>
      <c r="R163" s="158" t="n">
        <f aca="false">Q167</f>
        <v>0</v>
      </c>
      <c r="S163" s="158" t="n">
        <f aca="false">R167</f>
        <v>0</v>
      </c>
      <c r="T163" s="158" t="n">
        <f aca="false">S167</f>
        <v>0</v>
      </c>
      <c r="U163" s="158" t="n">
        <f aca="false">T167</f>
        <v>0</v>
      </c>
      <c r="V163" s="158" t="n">
        <f aca="false">U167</f>
        <v>0</v>
      </c>
      <c r="W163" s="158" t="n">
        <f aca="false">V167</f>
        <v>0</v>
      </c>
      <c r="X163" s="158" t="n">
        <f aca="false">W167</f>
        <v>0</v>
      </c>
      <c r="Y163" s="158" t="n">
        <f aca="false">X167</f>
        <v>819.57058201818</v>
      </c>
      <c r="Z163" s="158" t="n">
        <f aca="false">Y167</f>
        <v>1642.48019603694</v>
      </c>
      <c r="AA163" s="158" t="n">
        <f aca="false">Z167</f>
        <v>2468.74244568596</v>
      </c>
      <c r="AB163" s="158" t="n">
        <f aca="false">AA167</f>
        <v>3298.37099001781</v>
      </c>
      <c r="AC163" s="158" t="n">
        <f aca="false">AB167</f>
        <v>4131.37954373372</v>
      </c>
      <c r="AD163" s="158" t="n">
        <f aca="false">AC167</f>
        <v>4967.7818774103</v>
      </c>
      <c r="AE163" s="158" t="n">
        <f aca="false">AD167</f>
        <v>5807.59181772722</v>
      </c>
      <c r="AF163" s="158" t="n">
        <f aca="false">AE167</f>
        <v>6650.82324769572</v>
      </c>
      <c r="AG163" s="158" t="n">
        <f aca="false">AF167</f>
        <v>7497.49010688818</v>
      </c>
      <c r="AH163" s="158" t="n">
        <f aca="false">AG167</f>
        <v>8347.6063916685</v>
      </c>
      <c r="AI163" s="158" t="n">
        <f aca="false">AH167</f>
        <v>9201.18615542351</v>
      </c>
      <c r="AJ163" s="158" t="n">
        <f aca="false">AI167</f>
        <v>10058.2435087953</v>
      </c>
      <c r="AK163" s="158" t="n">
        <f aca="false">AJ167</f>
        <v>10918.7926199144</v>
      </c>
      <c r="AL163" s="158" t="n">
        <f aca="false">AK167</f>
        <v>11782.8477146341</v>
      </c>
      <c r="AM163" s="158" t="n">
        <f aca="false">AL167</f>
        <v>12650.4230767655</v>
      </c>
      <c r="AN163" s="158" t="n">
        <f aca="false">AM167</f>
        <v>13521.533048314</v>
      </c>
      <c r="AO163" s="158" t="n">
        <f aca="false">AN167</f>
        <v>14396.1920297157</v>
      </c>
      <c r="AP163" s="158" t="n">
        <f aca="false">AO167</f>
        <v>15274.4144800761</v>
      </c>
      <c r="AQ163" s="158" t="n">
        <f aca="false">AP167</f>
        <v>16156.2149174089</v>
      </c>
      <c r="AR163" s="158" t="n">
        <f aca="false">AQ167</f>
        <v>17041.6079188758</v>
      </c>
      <c r="AS163" s="158" t="n">
        <f aca="false">AR167</f>
        <v>17930.6081210279</v>
      </c>
      <c r="AT163" s="158" t="n">
        <f aca="false">AS167</f>
        <v>18823.2302200472</v>
      </c>
      <c r="AU163" s="158" t="n">
        <f aca="false">AT167</f>
        <v>19719.48897199</v>
      </c>
      <c r="AV163" s="158" t="n">
        <f aca="false">AU167</f>
        <v>20619.3991930303</v>
      </c>
      <c r="AW163" s="158" t="n">
        <f aca="false">AV167</f>
        <v>21522.9757597054</v>
      </c>
      <c r="AX163" s="158" t="n">
        <f aca="false">AW167</f>
        <v>22430.2336091611</v>
      </c>
      <c r="AY163" s="158" t="n">
        <f aca="false">AX167</f>
        <v>23341.1877393991</v>
      </c>
      <c r="AZ163" s="158" t="n">
        <f aca="false">AY167</f>
        <v>24255.853209525</v>
      </c>
      <c r="BA163" s="158" t="n">
        <f aca="false">AZ167</f>
        <v>25174.2451399968</v>
      </c>
      <c r="BB163" s="158" t="n">
        <f aca="false">BA167</f>
        <v>26096.3787128752</v>
      </c>
      <c r="BC163" s="158" t="n">
        <f aca="false">BB167</f>
        <v>27022.2691720746</v>
      </c>
      <c r="BD163" s="158" t="n">
        <f aca="false">BC167</f>
        <v>27951.9318236149</v>
      </c>
      <c r="BE163" s="158" t="n">
        <f aca="false">BD167</f>
        <v>28885.3820358746</v>
      </c>
      <c r="BF163" s="158" t="n">
        <f aca="false">BE167</f>
        <v>29822.6352398449</v>
      </c>
      <c r="BG163" s="158" t="n">
        <f aca="false">BF167</f>
        <v>30763.7069293848</v>
      </c>
      <c r="BH163" s="158" t="n">
        <f aca="false">BG167</f>
        <v>31708.6126614771</v>
      </c>
      <c r="BI163" s="158" t="n">
        <f aca="false">BH167</f>
        <v>32657.3680564859</v>
      </c>
      <c r="BJ163" s="158" t="n">
        <f aca="false">BI167</f>
        <v>33609.9887984144</v>
      </c>
      <c r="BK163" s="158" t="n">
        <f aca="false">BJ167</f>
        <v>34566.4906351644</v>
      </c>
      <c r="BL163" s="158" t="n">
        <f aca="false">BK167</f>
        <v>35526.8893787965</v>
      </c>
      <c r="BM163" s="158" t="n">
        <f aca="false">BL167</f>
        <v>36491.2009057919</v>
      </c>
      <c r="BN163" s="158" t="n">
        <f aca="false">BM167</f>
        <v>32015.2488756045</v>
      </c>
      <c r="BO163" s="158" t="n">
        <f aca="false">BN167</f>
        <v>32085.1424001048</v>
      </c>
      <c r="BP163" s="158" t="n">
        <f aca="false">BO167</f>
        <v>32073.0790071597</v>
      </c>
      <c r="BQ163" s="158" t="n">
        <f aca="false">BP167</f>
        <v>32143.2081387745</v>
      </c>
      <c r="BR163" s="158" t="n">
        <f aca="false">BQ167</f>
        <v>32131.3813128363</v>
      </c>
      <c r="BS163" s="158" t="n">
        <f aca="false">BR167</f>
        <v>32119.5063029452</v>
      </c>
      <c r="BT163" s="158" t="n">
        <f aca="false">BS167</f>
        <v>32189.8245851099</v>
      </c>
      <c r="BU163" s="158" t="n">
        <f aca="false">BT167</f>
        <v>32178.1876803445</v>
      </c>
      <c r="BV163" s="158" t="n">
        <f aca="false">BU167</f>
        <v>32248.7450377045</v>
      </c>
      <c r="BW163" s="158" t="n">
        <f aca="false">BV167</f>
        <v>32237.3481821563</v>
      </c>
      <c r="BX163" s="158" t="n">
        <f aca="false">BW167</f>
        <v>32225.9048944078</v>
      </c>
      <c r="BY163" s="158" t="n">
        <f aca="false">BX167</f>
        <v>32378.8983299205</v>
      </c>
      <c r="BZ163" s="158" t="n">
        <f aca="false">BY167</f>
        <v>31372.1928650552</v>
      </c>
      <c r="CA163" s="158" t="n">
        <f aca="false">BZ167</f>
        <v>30053.2792795458</v>
      </c>
      <c r="CB163" s="158" t="n">
        <f aca="false">CA167</f>
        <v>28632.2001547956</v>
      </c>
      <c r="CC163" s="158" t="n">
        <f aca="false">CB167</f>
        <v>27302.1234998183</v>
      </c>
      <c r="CD163" s="158" t="n">
        <f aca="false">CC167</f>
        <v>25869.8358258734</v>
      </c>
      <c r="CE163" s="158" t="n">
        <f aca="false">CD167</f>
        <v>24431.7128346511</v>
      </c>
      <c r="CF163" s="158" t="n">
        <f aca="false">CE167</f>
        <v>23084.5228743798</v>
      </c>
      <c r="CG163" s="158" t="n">
        <f aca="false">CF167</f>
        <v>21635.0521734169</v>
      </c>
      <c r="CH163" s="158" t="n">
        <f aca="false">CG167</f>
        <v>20276.468271431</v>
      </c>
      <c r="CI163" s="158" t="n">
        <f aca="false">CH167</f>
        <v>18815.5572084244</v>
      </c>
      <c r="CJ163" s="158" t="n">
        <f aca="false">CI167</f>
        <v>17348.6942129103</v>
      </c>
      <c r="CK163" s="158" t="n">
        <f aca="false">CJ167</f>
        <v>16166.231402079</v>
      </c>
      <c r="CL163" s="158" t="n">
        <f aca="false">CK167</f>
        <v>14590.9817454546</v>
      </c>
      <c r="CM163" s="158" t="n">
        <f aca="false">CL167</f>
        <v>13078.8922912131</v>
      </c>
      <c r="CN163" s="158" t="n">
        <f aca="false">CM167</f>
        <v>11461.9144328889</v>
      </c>
      <c r="CO163" s="158" t="n">
        <f aca="false">CN167</f>
        <v>9937.07677108865</v>
      </c>
      <c r="CP163" s="158" t="n">
        <f aca="false">CO167</f>
        <v>8307.29876743014</v>
      </c>
      <c r="CQ163" s="158" t="n">
        <f aca="false">CP167</f>
        <v>6670.88084644486</v>
      </c>
      <c r="CR163" s="158" t="n">
        <f aca="false">CQ167</f>
        <v>5126.52392076178</v>
      </c>
      <c r="CS163" s="158" t="n">
        <f aca="false">CR167</f>
        <v>3477.14712932325</v>
      </c>
      <c r="CT163" s="158" t="n">
        <f aca="false">CS167</f>
        <v>1919.77853714461</v>
      </c>
      <c r="CU163" s="158" t="n">
        <f aca="false">CT167</f>
        <v>257.337068070579</v>
      </c>
      <c r="CV163" s="158" t="n">
        <f aca="false">CU167</f>
        <v>0</v>
      </c>
      <c r="CW163" s="158" t="n">
        <f aca="false">CV167</f>
        <v>0</v>
      </c>
      <c r="CX163" s="158" t="n">
        <f aca="false">CW167</f>
        <v>0</v>
      </c>
      <c r="CY163" s="158" t="n">
        <f aca="false">CX167</f>
        <v>0</v>
      </c>
      <c r="CZ163" s="158" t="n">
        <f aca="false">CY167</f>
        <v>0</v>
      </c>
      <c r="DA163" s="158" t="n">
        <f aca="false">CZ167</f>
        <v>0</v>
      </c>
      <c r="DB163" s="158" t="n">
        <f aca="false">DA167</f>
        <v>0</v>
      </c>
      <c r="DC163" s="158" t="n">
        <f aca="false">DB167</f>
        <v>0</v>
      </c>
      <c r="DD163" s="158" t="n">
        <f aca="false">DC167</f>
        <v>0</v>
      </c>
      <c r="DE163" s="158" t="n">
        <f aca="false">DD167</f>
        <v>0</v>
      </c>
      <c r="DF163" s="158" t="n">
        <f aca="false">DE167</f>
        <v>0</v>
      </c>
      <c r="DG163" s="158" t="n">
        <f aca="false">DF167</f>
        <v>0</v>
      </c>
      <c r="DH163" s="158" t="n">
        <f aca="false">DG167</f>
        <v>0</v>
      </c>
      <c r="DI163" s="158" t="n">
        <f aca="false">DH167</f>
        <v>0</v>
      </c>
      <c r="DJ163" s="158" t="n">
        <f aca="false">DI167</f>
        <v>0</v>
      </c>
      <c r="DK163" s="158" t="n">
        <f aca="false">DJ167</f>
        <v>0</v>
      </c>
      <c r="DL163" s="158" t="n">
        <f aca="false">DK167</f>
        <v>0</v>
      </c>
      <c r="DM163" s="158" t="n">
        <f aca="false">DL167</f>
        <v>0</v>
      </c>
      <c r="DN163" s="158" t="n">
        <f aca="false">DM167</f>
        <v>0</v>
      </c>
      <c r="DO163" s="158" t="n">
        <f aca="false">DN167</f>
        <v>0</v>
      </c>
      <c r="DP163" s="158" t="n">
        <f aca="false">DO167</f>
        <v>0</v>
      </c>
      <c r="DQ163" s="158" t="n">
        <f aca="false">DP167</f>
        <v>0</v>
      </c>
      <c r="DR163" s="158" t="n">
        <f aca="false">DQ167</f>
        <v>0</v>
      </c>
      <c r="DS163" s="158" t="n">
        <f aca="false">DR167</f>
        <v>0</v>
      </c>
      <c r="DT163" s="158" t="n">
        <f aca="false">DS167</f>
        <v>0</v>
      </c>
      <c r="DU163" s="158" t="n">
        <f aca="false">DT167</f>
        <v>819.57058201818</v>
      </c>
      <c r="DV163" s="158" t="n">
        <f aca="false">DU167</f>
        <v>1642.48019603694</v>
      </c>
      <c r="DW163" s="158" t="n">
        <f aca="false">DV167</f>
        <v>2468.74244568596</v>
      </c>
      <c r="DX163" s="158" t="n">
        <f aca="false">DW167</f>
        <v>0</v>
      </c>
      <c r="DY163" s="158" t="n">
        <f aca="false">DX167</f>
        <v>0</v>
      </c>
      <c r="DZ163" s="158" t="n">
        <f aca="false">DY167</f>
        <v>0</v>
      </c>
      <c r="EA163" s="158" t="n">
        <f aca="false">DZ167</f>
        <v>0</v>
      </c>
      <c r="EB163" s="158" t="n">
        <f aca="false">EA167</f>
        <v>0</v>
      </c>
      <c r="EC163" s="158" t="n">
        <f aca="false">EB167</f>
        <v>0</v>
      </c>
      <c r="ED163" s="158" t="n">
        <f aca="false">EC167</f>
        <v>0</v>
      </c>
      <c r="EE163" s="158" t="n">
        <f aca="false">ED167</f>
        <v>0</v>
      </c>
      <c r="EF163" s="158" t="n">
        <f aca="false">EE167</f>
        <v>0</v>
      </c>
    </row>
    <row r="164" customFormat="false" ht="15" hidden="false" customHeight="false" outlineLevel="0" collapsed="false">
      <c r="A164" s="35" t="s">
        <v>613</v>
      </c>
      <c r="B164" s="241" t="s">
        <v>116</v>
      </c>
      <c r="C164" s="242" t="n">
        <f aca="false">SUM(E164:EF164)</f>
        <v>91331.5592559769</v>
      </c>
      <c r="E164" s="158" t="n">
        <f aca="false">(E162+E163)*Assumption!$E$460</f>
        <v>0</v>
      </c>
      <c r="F164" s="158" t="n">
        <f aca="false">(F162+F163)*Assumption!$E$460</f>
        <v>0</v>
      </c>
      <c r="G164" s="158" t="n">
        <f aca="false">(G162+G163)*Assumption!$E$460</f>
        <v>0</v>
      </c>
      <c r="H164" s="158" t="n">
        <f aca="false">(H162+H163)*Assumption!$E$460</f>
        <v>0</v>
      </c>
      <c r="I164" s="158" t="n">
        <f aca="false">(I162+I163)*Assumption!$E$460</f>
        <v>0</v>
      </c>
      <c r="J164" s="158" t="n">
        <f aca="false">(J162+J163)*Assumption!$E$460</f>
        <v>0</v>
      </c>
      <c r="K164" s="158" t="n">
        <f aca="false">(K162+K163)*Assumption!$E$460</f>
        <v>0</v>
      </c>
      <c r="L164" s="158" t="n">
        <f aca="false">(L162+L163)*Assumption!$E$460</f>
        <v>0</v>
      </c>
      <c r="M164" s="158" t="n">
        <f aca="false">(M162+M163)*Assumption!$E$460</f>
        <v>0</v>
      </c>
      <c r="N164" s="158" t="n">
        <f aca="false">(N162+N163)*Assumption!$E$460</f>
        <v>0</v>
      </c>
      <c r="O164" s="158" t="n">
        <f aca="false">(O162+O163)*Assumption!$E$460</f>
        <v>0</v>
      </c>
      <c r="P164" s="158" t="n">
        <f aca="false">(P162+P163)*Assumption!$E$460</f>
        <v>0</v>
      </c>
      <c r="Q164" s="158" t="n">
        <f aca="false">(Q162+Q163)*Assumption!$E$460</f>
        <v>0</v>
      </c>
      <c r="R164" s="158" t="n">
        <f aca="false">(R162+R163)*Assumption!$E$460</f>
        <v>0</v>
      </c>
      <c r="S164" s="158" t="n">
        <f aca="false">(S162+S163)*Assumption!$E$460</f>
        <v>0</v>
      </c>
      <c r="T164" s="158" t="n">
        <f aca="false">(T162+T163)*Assumption!$E$460</f>
        <v>0</v>
      </c>
      <c r="U164" s="158" t="n">
        <f aca="false">(U162+U163)*Assumption!$E$460</f>
        <v>0</v>
      </c>
      <c r="V164" s="158" t="n">
        <f aca="false">(V162+V163)*Assumption!$E$460</f>
        <v>0</v>
      </c>
      <c r="W164" s="158" t="n">
        <f aca="false">(W162+W163)*Assumption!$E$460</f>
        <v>0</v>
      </c>
      <c r="X164" s="158" t="n">
        <f aca="false">(X162+X163)*Assumption!$E$460</f>
        <v>819.57058201818</v>
      </c>
      <c r="Y164" s="158" t="n">
        <f aca="false">(Y162+Y163)*Assumption!$E$460</f>
        <v>822.909614018758</v>
      </c>
      <c r="Z164" s="158" t="n">
        <f aca="false">(Z162+Z163)*Assumption!$E$460</f>
        <v>826.262249649025</v>
      </c>
      <c r="AA164" s="158" t="n">
        <f aca="false">(AA162+AA163)*Assumption!$E$460</f>
        <v>829.628544331851</v>
      </c>
      <c r="AB164" s="158" t="n">
        <f aca="false">(AB162+AB163)*Assumption!$E$460</f>
        <v>833.008553715907</v>
      </c>
      <c r="AC164" s="158" t="n">
        <f aca="false">(AC162+AC163)*Assumption!$E$460</f>
        <v>836.402333676584</v>
      </c>
      <c r="AD164" s="158" t="n">
        <f aca="false">(AD162+AD163)*Assumption!$E$460</f>
        <v>839.809940316914</v>
      </c>
      <c r="AE164" s="158" t="n">
        <f aca="false">(AE162+AE163)*Assumption!$E$460</f>
        <v>843.231429968504</v>
      </c>
      <c r="AF164" s="158" t="n">
        <f aca="false">(AF162+AF163)*Assumption!$E$460</f>
        <v>846.666859192458</v>
      </c>
      <c r="AG164" s="158" t="n">
        <f aca="false">(AG162+AG163)*Assumption!$E$460</f>
        <v>850.116284780321</v>
      </c>
      <c r="AH164" s="158" t="n">
        <f aca="false">(AH162+AH163)*Assumption!$E$460</f>
        <v>853.579763755011</v>
      </c>
      <c r="AI164" s="158" t="n">
        <f aca="false">(AI162+AI163)*Assumption!$E$460</f>
        <v>857.057353371767</v>
      </c>
      <c r="AJ164" s="158" t="n">
        <f aca="false">(AJ162+AJ163)*Assumption!$E$460</f>
        <v>860.549111119089</v>
      </c>
      <c r="AK164" s="158" t="n">
        <f aca="false">(AK162+AK163)*Assumption!$E$460</f>
        <v>864.055094719697</v>
      </c>
      <c r="AL164" s="158" t="n">
        <f aca="false">(AL162+AL163)*Assumption!$E$460</f>
        <v>867.575362131477</v>
      </c>
      <c r="AM164" s="158" t="n">
        <f aca="false">(AM162+AM163)*Assumption!$E$460</f>
        <v>871.109971548444</v>
      </c>
      <c r="AN164" s="158" t="n">
        <f aca="false">(AN162+AN163)*Assumption!$E$460</f>
        <v>874.658981401703</v>
      </c>
      <c r="AO164" s="158" t="n">
        <f aca="false">(AO162+AO163)*Assumption!$E$460</f>
        <v>878.222450360413</v>
      </c>
      <c r="AP164" s="158" t="n">
        <f aca="false">(AP162+AP163)*Assumption!$E$460</f>
        <v>881.800437332761</v>
      </c>
      <c r="AQ164" s="158" t="n">
        <f aca="false">(AQ162+AQ163)*Assumption!$E$460</f>
        <v>885.393001466929</v>
      </c>
      <c r="AR164" s="158" t="n">
        <f aca="false">(AR162+AR163)*Assumption!$E$460</f>
        <v>889.000202152082</v>
      </c>
      <c r="AS164" s="158" t="n">
        <f aca="false">(AS162+AS163)*Assumption!$E$460</f>
        <v>892.622099019338</v>
      </c>
      <c r="AT164" s="158" t="n">
        <f aca="false">(AT162+AT163)*Assumption!$E$460</f>
        <v>896.258751942762</v>
      </c>
      <c r="AU164" s="158" t="n">
        <f aca="false">(AU162+AU163)*Assumption!$E$460</f>
        <v>899.910221040355</v>
      </c>
      <c r="AV164" s="158" t="n">
        <f aca="false">(AV162+AV163)*Assumption!$E$460</f>
        <v>903.576566675044</v>
      </c>
      <c r="AW164" s="158" t="n">
        <f aca="false">(AW162+AW163)*Assumption!$E$460</f>
        <v>907.257849455682</v>
      </c>
      <c r="AX164" s="158" t="n">
        <f aca="false">(AX162+AX163)*Assumption!$E$460</f>
        <v>910.954130238051</v>
      </c>
      <c r="AY164" s="158" t="n">
        <f aca="false">(AY162+AY163)*Assumption!$E$460</f>
        <v>914.665470125867</v>
      </c>
      <c r="AZ164" s="158" t="n">
        <f aca="false">(AZ162+AZ163)*Assumption!$E$460</f>
        <v>918.391930471789</v>
      </c>
      <c r="BA164" s="158" t="n">
        <f aca="false">(BA162+BA163)*Assumption!$E$460</f>
        <v>922.133572878434</v>
      </c>
      <c r="BB164" s="158" t="n">
        <f aca="false">(BB162+BB163)*Assumption!$E$460</f>
        <v>925.890459199399</v>
      </c>
      <c r="BC164" s="158" t="n">
        <f aca="false">(BC162+BC163)*Assumption!$E$460</f>
        <v>929.662651540276</v>
      </c>
      <c r="BD164" s="158" t="n">
        <f aca="false">(BD162+BD163)*Assumption!$E$460</f>
        <v>933.450212259686</v>
      </c>
      <c r="BE164" s="158" t="n">
        <f aca="false">(BE162+BE163)*Assumption!$E$460</f>
        <v>937.253203970305</v>
      </c>
      <c r="BF164" s="158" t="n">
        <f aca="false">(BF162+BF163)*Assumption!$E$460</f>
        <v>941.071689539901</v>
      </c>
      <c r="BG164" s="158" t="n">
        <f aca="false">(BG162+BG163)*Assumption!$E$460</f>
        <v>944.905732092374</v>
      </c>
      <c r="BH164" s="158" t="n">
        <f aca="false">(BH162+BH163)*Assumption!$E$460</f>
        <v>948.755395008797</v>
      </c>
      <c r="BI164" s="158" t="n">
        <f aca="false">(BI162+BI163)*Assumption!$E$460</f>
        <v>952.620741928467</v>
      </c>
      <c r="BJ164" s="158" t="n">
        <f aca="false">(BJ162+BJ163)*Assumption!$E$460</f>
        <v>956.501836749955</v>
      </c>
      <c r="BK164" s="158" t="n">
        <f aca="false">(BK162+BK163)*Assumption!$E$460</f>
        <v>960.398743632161</v>
      </c>
      <c r="BL164" s="158" t="n">
        <f aca="false">(BL162+BL163)*Assumption!$E$460</f>
        <v>964.311526995379</v>
      </c>
      <c r="BM164" s="158" t="n">
        <f aca="false">(BM162+BM163)*Assumption!$E$460</f>
        <v>968.240251522357</v>
      </c>
      <c r="BN164" s="158" t="n">
        <f aca="false">(BN162+BN163)*Assumption!$E$460</f>
        <v>950.004668901701</v>
      </c>
      <c r="BO164" s="158" t="n">
        <f aca="false">(BO162+BO163)*Assumption!$E$460</f>
        <v>950.289423772191</v>
      </c>
      <c r="BP164" s="158" t="n">
        <f aca="false">(BP162+BP163)*Assumption!$E$460</f>
        <v>950.240276016082</v>
      </c>
      <c r="BQ164" s="158" t="n">
        <f aca="false">(BQ162+BQ163)*Assumption!$E$460</f>
        <v>950.52599077912</v>
      </c>
      <c r="BR164" s="158" t="n">
        <f aca="false">(BR162+BR163)*Assumption!$E$460</f>
        <v>950.47780682628</v>
      </c>
      <c r="BS164" s="158" t="n">
        <f aca="false">(BS162+BS163)*Assumption!$E$460</f>
        <v>950.429426566052</v>
      </c>
      <c r="BT164" s="158" t="n">
        <f aca="false">(BT162+BT163)*Assumption!$E$460</f>
        <v>950.715911951845</v>
      </c>
      <c r="BU164" s="158" t="n">
        <f aca="false">(BU162+BU163)*Assumption!$E$460</f>
        <v>950.668501761371</v>
      </c>
      <c r="BV164" s="158" t="n">
        <f aca="false">(BV162+BV163)*Assumption!$E$460</f>
        <v>950.955961169103</v>
      </c>
      <c r="BW164" s="158" t="n">
        <f aca="false">(BW162+BW163)*Assumption!$E$460</f>
        <v>950.909528968856</v>
      </c>
      <c r="BX164" s="158" t="n">
        <f aca="false">(BX162+BX163)*Assumption!$E$460</f>
        <v>950.862907598077</v>
      </c>
      <c r="BY164" s="158" t="n">
        <f aca="false">(BY162+BY163)*Assumption!$E$460</f>
        <v>951.486221792441</v>
      </c>
      <c r="BZ164" s="158" t="n">
        <f aca="false">(BZ162+BZ163)*Assumption!$E$460</f>
        <v>947.384779114904</v>
      </c>
      <c r="CA164" s="158" t="n">
        <f aca="false">(CA162+CA163)*Assumption!$E$460</f>
        <v>942.011361907603</v>
      </c>
      <c r="CB164" s="158" t="n">
        <f aca="false">(CB162+CB163)*Assumption!$E$460</f>
        <v>936.221709647012</v>
      </c>
      <c r="CC164" s="158" t="n">
        <f aca="false">(CC162+CC163)*Assumption!$E$460</f>
        <v>930.802812712894</v>
      </c>
      <c r="CD164" s="158" t="n">
        <f aca="false">(CD162+CD163)*Assumption!$E$460</f>
        <v>924.967495435449</v>
      </c>
      <c r="CE164" s="158" t="n">
        <f aca="false">(CE162+CE163)*Assumption!$E$460</f>
        <v>919.108404353098</v>
      </c>
      <c r="CF164" s="158" t="n">
        <f aca="false">(CF162+CF163)*Assumption!$E$460</f>
        <v>913.619785694865</v>
      </c>
      <c r="CG164" s="158" t="n">
        <f aca="false">(CG162+CG163)*Assumption!$E$460</f>
        <v>907.714462638371</v>
      </c>
      <c r="CH164" s="158" t="n">
        <f aca="false">(CH162+CH163)*Assumption!$E$460</f>
        <v>902.179423651208</v>
      </c>
      <c r="CI164" s="158" t="n">
        <f aca="false">(CI162+CI163)*Assumption!$E$460</f>
        <v>896.227491143618</v>
      </c>
      <c r="CJ164" s="158" t="n">
        <f aca="false">(CJ162+CJ163)*Assumption!$E$460</f>
        <v>890.25130972624</v>
      </c>
      <c r="CK164" s="158" t="n">
        <f aca="false">(CK162+CK163)*Assumption!$E$460</f>
        <v>885.433809865353</v>
      </c>
      <c r="CL164" s="158" t="n">
        <f aca="false">(CL162+CL163)*Assumption!$E$460</f>
        <v>879.016047774115</v>
      </c>
      <c r="CM164" s="158" t="n">
        <f aca="false">(CM162+CM163)*Assumption!$E$460</f>
        <v>872.855608165586</v>
      </c>
      <c r="CN164" s="158" t="n">
        <f aca="false">(CN162+CN163)*Assumption!$E$460</f>
        <v>866.267840215355</v>
      </c>
      <c r="CO164" s="158" t="n">
        <f aca="false">(CO162+CO163)*Assumption!$E$460</f>
        <v>860.055462831212</v>
      </c>
      <c r="CP164" s="158" t="n">
        <f aca="false">(CP162+CP163)*Assumption!$E$460</f>
        <v>853.415545504439</v>
      </c>
      <c r="CQ164" s="158" t="n">
        <f aca="false">(CQ162+CQ163)*Assumption!$E$460</f>
        <v>846.748576332565</v>
      </c>
      <c r="CR164" s="158" t="n">
        <f aca="false">(CR162+CR163)*Assumption!$E$460</f>
        <v>840.456675051197</v>
      </c>
      <c r="CS164" s="158" t="n">
        <f aca="false">(CS162+CS163)*Assumption!$E$460</f>
        <v>833.736909837</v>
      </c>
      <c r="CT164" s="158" t="n">
        <f aca="false">(CT162+CT163)*Assumption!$E$460</f>
        <v>827.391997415698</v>
      </c>
      <c r="CU164" s="158" t="n">
        <f aca="false">(CU162+CU163)*Assumption!$E$460</f>
        <v>820.61900508762</v>
      </c>
      <c r="CV164" s="158" t="n">
        <f aca="false">(CV162+CV163)*Assumption!$E$460</f>
        <v>819.57058201818</v>
      </c>
      <c r="CW164" s="158" t="n">
        <f aca="false">(CW162+CW163)*Assumption!$E$460</f>
        <v>819.57058201818</v>
      </c>
      <c r="CX164" s="158" t="n">
        <f aca="false">(CX162+CX163)*Assumption!$E$460</f>
        <v>819.57058201818</v>
      </c>
      <c r="CY164" s="158" t="n">
        <f aca="false">(CY162+CY163)*Assumption!$E$460</f>
        <v>819.57058201818</v>
      </c>
      <c r="CZ164" s="158" t="n">
        <f aca="false">(CZ162+CZ163)*Assumption!$E$460</f>
        <v>819.57058201818</v>
      </c>
      <c r="DA164" s="158" t="n">
        <f aca="false">(DA162+DA163)*Assumption!$E$460</f>
        <v>819.57058201818</v>
      </c>
      <c r="DB164" s="158" t="n">
        <f aca="false">(DB162+DB163)*Assumption!$E$460</f>
        <v>819.57058201818</v>
      </c>
      <c r="DC164" s="158" t="n">
        <f aca="false">(DC162+DC163)*Assumption!$E$460</f>
        <v>819.57058201818</v>
      </c>
      <c r="DD164" s="158" t="n">
        <f aca="false">(DD162+DD163)*Assumption!$E$460</f>
        <v>819.57058201818</v>
      </c>
      <c r="DE164" s="158" t="n">
        <f aca="false">(DE162+DE163)*Assumption!$E$460</f>
        <v>819.57058201818</v>
      </c>
      <c r="DF164" s="158" t="n">
        <f aca="false">(DF162+DF163)*Assumption!$E$460</f>
        <v>819.57058201818</v>
      </c>
      <c r="DG164" s="158" t="n">
        <f aca="false">(DG162+DG163)*Assumption!$E$460</f>
        <v>819.57058201818</v>
      </c>
      <c r="DH164" s="158" t="n">
        <f aca="false">(DH162+DH163)*Assumption!$E$460</f>
        <v>819.57058201818</v>
      </c>
      <c r="DI164" s="158" t="n">
        <f aca="false">(DI162+DI163)*Assumption!$E$460</f>
        <v>819.57058201818</v>
      </c>
      <c r="DJ164" s="158" t="n">
        <f aca="false">(DJ162+DJ163)*Assumption!$E$460</f>
        <v>819.57058201818</v>
      </c>
      <c r="DK164" s="158" t="n">
        <f aca="false">(DK162+DK163)*Assumption!$E$460</f>
        <v>819.57058201818</v>
      </c>
      <c r="DL164" s="158" t="n">
        <f aca="false">(DL162+DL163)*Assumption!$E$460</f>
        <v>819.57058201818</v>
      </c>
      <c r="DM164" s="158" t="n">
        <f aca="false">(DM162+DM163)*Assumption!$E$460</f>
        <v>819.57058201818</v>
      </c>
      <c r="DN164" s="158" t="n">
        <f aca="false">(DN162+DN163)*Assumption!$E$460</f>
        <v>819.57058201818</v>
      </c>
      <c r="DO164" s="158" t="n">
        <f aca="false">(DO162+DO163)*Assumption!$E$460</f>
        <v>819.57058201818</v>
      </c>
      <c r="DP164" s="158" t="n">
        <f aca="false">(DP162+DP163)*Assumption!$E$460</f>
        <v>819.57058201818</v>
      </c>
      <c r="DQ164" s="158" t="n">
        <f aca="false">(DQ162+DQ163)*Assumption!$E$460</f>
        <v>819.57058201818</v>
      </c>
      <c r="DR164" s="158" t="n">
        <f aca="false">(DR162+DR163)*Assumption!$E$460</f>
        <v>819.57058201818</v>
      </c>
      <c r="DS164" s="158" t="n">
        <f aca="false">(DS162+DS163)*Assumption!$E$460</f>
        <v>819.57058201818</v>
      </c>
      <c r="DT164" s="158" t="n">
        <f aca="false">(DT162+DT163)*Assumption!$E$460</f>
        <v>819.57058201818</v>
      </c>
      <c r="DU164" s="158" t="n">
        <f aca="false">(DU162+DU163)*Assumption!$E$460</f>
        <v>822.909614018758</v>
      </c>
      <c r="DV164" s="158" t="n">
        <f aca="false">(DV162+DV163)*Assumption!$E$460</f>
        <v>826.262249649025</v>
      </c>
      <c r="DW164" s="158" t="n">
        <f aca="false">(DW162+DW163)*Assumption!$E$460</f>
        <v>829.628544331851</v>
      </c>
      <c r="DX164" s="158" t="n">
        <f aca="false">(DX162+DX163)*Assumption!$E$460</f>
        <v>0</v>
      </c>
      <c r="DY164" s="158" t="n">
        <f aca="false">(DY162+DY163)*Assumption!$E$460</f>
        <v>0</v>
      </c>
      <c r="DZ164" s="158" t="n">
        <f aca="false">(DZ162+DZ163)*Assumption!$E$460</f>
        <v>0</v>
      </c>
      <c r="EA164" s="158" t="n">
        <f aca="false">(EA162+EA163)*Assumption!$E$460</f>
        <v>0</v>
      </c>
      <c r="EB164" s="158" t="n">
        <f aca="false">(EB162+EB163)*Assumption!$E$460</f>
        <v>0</v>
      </c>
      <c r="EC164" s="158" t="n">
        <f aca="false">(EC162+EC163)*Assumption!$E$460</f>
        <v>0</v>
      </c>
      <c r="ED164" s="158" t="n">
        <f aca="false">(ED162+ED163)*Assumption!$E$460</f>
        <v>0</v>
      </c>
      <c r="EE164" s="158" t="n">
        <f aca="false">(EE162+EE163)*Assumption!$E$460</f>
        <v>0</v>
      </c>
      <c r="EF164" s="158" t="n">
        <f aca="false">(EF162+EF163)*Assumption!$E$460</f>
        <v>0</v>
      </c>
    </row>
    <row r="165" customFormat="false" ht="15" hidden="false" customHeight="false" outlineLevel="0" collapsed="false">
      <c r="A165" s="35" t="s">
        <v>614</v>
      </c>
      <c r="B165" s="241" t="s">
        <v>116</v>
      </c>
      <c r="C165" s="242" t="n">
        <f aca="false">SUM(E165:EF165)</f>
        <v>91331.5592559769</v>
      </c>
      <c r="E165" s="158" t="n">
        <f aca="false">MIN(E158,E163+E164)</f>
        <v>0</v>
      </c>
      <c r="F165" s="158" t="n">
        <f aca="false">MIN(F158,F163+F164)</f>
        <v>0</v>
      </c>
      <c r="G165" s="158" t="n">
        <f aca="false">MIN(G158,G163+G164)</f>
        <v>0</v>
      </c>
      <c r="H165" s="158" t="n">
        <f aca="false">MIN(H158,H163+H164)</f>
        <v>0</v>
      </c>
      <c r="I165" s="158" t="n">
        <f aca="false">MIN(I158,I163+I164)</f>
        <v>0</v>
      </c>
      <c r="J165" s="158" t="n">
        <f aca="false">MIN(J158,J163+J164)</f>
        <v>0</v>
      </c>
      <c r="K165" s="158" t="n">
        <f aca="false">MIN(K158,K163+K164)</f>
        <v>0</v>
      </c>
      <c r="L165" s="158" t="n">
        <f aca="false">MIN(L158,L163+L164)</f>
        <v>0</v>
      </c>
      <c r="M165" s="158" t="n">
        <f aca="false">MIN(M158,M163+M164)</f>
        <v>0</v>
      </c>
      <c r="N165" s="158" t="n">
        <f aca="false">MIN(N158,N163+N164)</f>
        <v>0</v>
      </c>
      <c r="O165" s="158" t="n">
        <f aca="false">MIN(O158,O163+O164)</f>
        <v>0</v>
      </c>
      <c r="P165" s="158" t="n">
        <f aca="false">MIN(P158,P163+P164)</f>
        <v>0</v>
      </c>
      <c r="Q165" s="158" t="n">
        <f aca="false">MIN(Q158,Q163+Q164)</f>
        <v>0</v>
      </c>
      <c r="R165" s="158" t="n">
        <f aca="false">MIN(R158,R163+R164)</f>
        <v>0</v>
      </c>
      <c r="S165" s="158" t="n">
        <f aca="false">MIN(S158,S163+S164)</f>
        <v>0</v>
      </c>
      <c r="T165" s="158" t="n">
        <f aca="false">MIN(T158,T163+T164)</f>
        <v>0</v>
      </c>
      <c r="U165" s="158" t="n">
        <f aca="false">MIN(U158,U163+U164)</f>
        <v>0</v>
      </c>
      <c r="V165" s="158" t="n">
        <f aca="false">MIN(V158,V163+V164)</f>
        <v>0</v>
      </c>
      <c r="W165" s="158" t="n">
        <f aca="false">MIN(W158,W163+W164)</f>
        <v>0</v>
      </c>
      <c r="X165" s="158" t="n">
        <f aca="false">MIN(X158,X163+X164)</f>
        <v>0</v>
      </c>
      <c r="Y165" s="158" t="n">
        <f aca="false">MIN(Y158,Y163+Y164)</f>
        <v>0</v>
      </c>
      <c r="Z165" s="158" t="n">
        <f aca="false">MIN(Z158,Z163+Z164)</f>
        <v>0</v>
      </c>
      <c r="AA165" s="158" t="n">
        <f aca="false">MIN(AA158,AA163+AA164)</f>
        <v>0</v>
      </c>
      <c r="AB165" s="158" t="n">
        <f aca="false">MIN(AB158,AB163+AB164)</f>
        <v>0</v>
      </c>
      <c r="AC165" s="158" t="n">
        <f aca="false">MIN(AC158,AC163+AC164)</f>
        <v>0</v>
      </c>
      <c r="AD165" s="158" t="n">
        <f aca="false">MIN(AD158,AD163+AD164)</f>
        <v>0</v>
      </c>
      <c r="AE165" s="158" t="n">
        <f aca="false">MIN(AE158,AE163+AE164)</f>
        <v>0</v>
      </c>
      <c r="AF165" s="158" t="n">
        <f aca="false">MIN(AF158,AF163+AF164)</f>
        <v>0</v>
      </c>
      <c r="AG165" s="158" t="n">
        <f aca="false">MIN(AG158,AG163+AG164)</f>
        <v>0</v>
      </c>
      <c r="AH165" s="158" t="n">
        <f aca="false">MIN(AH158,AH163+AH164)</f>
        <v>0</v>
      </c>
      <c r="AI165" s="158" t="n">
        <f aca="false">MIN(AI158,AI163+AI164)</f>
        <v>0</v>
      </c>
      <c r="AJ165" s="158" t="n">
        <f aca="false">MIN(AJ158,AJ163+AJ164)</f>
        <v>0</v>
      </c>
      <c r="AK165" s="158" t="n">
        <f aca="false">MIN(AK158,AK163+AK164)</f>
        <v>0</v>
      </c>
      <c r="AL165" s="158" t="n">
        <f aca="false">MIN(AL158,AL163+AL164)</f>
        <v>0</v>
      </c>
      <c r="AM165" s="158" t="n">
        <f aca="false">MIN(AM158,AM163+AM164)</f>
        <v>0</v>
      </c>
      <c r="AN165" s="158" t="n">
        <f aca="false">MIN(AN158,AN163+AN164)</f>
        <v>0</v>
      </c>
      <c r="AO165" s="158" t="n">
        <f aca="false">MIN(AO158,AO163+AO164)</f>
        <v>0</v>
      </c>
      <c r="AP165" s="158" t="n">
        <f aca="false">MIN(AP158,AP163+AP164)</f>
        <v>0</v>
      </c>
      <c r="AQ165" s="158" t="n">
        <f aca="false">MIN(AQ158,AQ163+AQ164)</f>
        <v>0</v>
      </c>
      <c r="AR165" s="158" t="n">
        <f aca="false">MIN(AR158,AR163+AR164)</f>
        <v>0</v>
      </c>
      <c r="AS165" s="158" t="n">
        <f aca="false">MIN(AS158,AS163+AS164)</f>
        <v>0</v>
      </c>
      <c r="AT165" s="158" t="n">
        <f aca="false">MIN(AT158,AT163+AT164)</f>
        <v>0</v>
      </c>
      <c r="AU165" s="158" t="n">
        <f aca="false">MIN(AU158,AU163+AU164)</f>
        <v>0</v>
      </c>
      <c r="AV165" s="158" t="n">
        <f aca="false">MIN(AV158,AV163+AV164)</f>
        <v>0</v>
      </c>
      <c r="AW165" s="158" t="n">
        <f aca="false">MIN(AW158,AW163+AW164)</f>
        <v>0</v>
      </c>
      <c r="AX165" s="158" t="n">
        <f aca="false">MIN(AX158,AX163+AX164)</f>
        <v>0</v>
      </c>
      <c r="AY165" s="158" t="n">
        <f aca="false">MIN(AY158,AY163+AY164)</f>
        <v>0</v>
      </c>
      <c r="AZ165" s="158" t="n">
        <f aca="false">MIN(AZ158,AZ163+AZ164)</f>
        <v>0</v>
      </c>
      <c r="BA165" s="158" t="n">
        <f aca="false">MIN(BA158,BA163+BA164)</f>
        <v>0</v>
      </c>
      <c r="BB165" s="158" t="n">
        <f aca="false">MIN(BB158,BB163+BB164)</f>
        <v>0</v>
      </c>
      <c r="BC165" s="158" t="n">
        <f aca="false">MIN(BC158,BC163+BC164)</f>
        <v>0</v>
      </c>
      <c r="BD165" s="158" t="n">
        <f aca="false">MIN(BD158,BD163+BD164)</f>
        <v>0</v>
      </c>
      <c r="BE165" s="158" t="n">
        <f aca="false">MIN(BE158,BE163+BE164)</f>
        <v>0</v>
      </c>
      <c r="BF165" s="158" t="n">
        <f aca="false">MIN(BF158,BF163+BF164)</f>
        <v>0</v>
      </c>
      <c r="BG165" s="158" t="n">
        <f aca="false">MIN(BG158,BG163+BG164)</f>
        <v>0</v>
      </c>
      <c r="BH165" s="158" t="n">
        <f aca="false">MIN(BH158,BH163+BH164)</f>
        <v>0</v>
      </c>
      <c r="BI165" s="158" t="n">
        <f aca="false">MIN(BI158,BI163+BI164)</f>
        <v>0</v>
      </c>
      <c r="BJ165" s="158" t="n">
        <f aca="false">MIN(BJ158,BJ163+BJ164)</f>
        <v>0</v>
      </c>
      <c r="BK165" s="158" t="n">
        <f aca="false">MIN(BK158,BK163+BK164)</f>
        <v>0</v>
      </c>
      <c r="BL165" s="158" t="n">
        <f aca="false">MIN(BL158,BL163+BL164)</f>
        <v>0</v>
      </c>
      <c r="BM165" s="158" t="n">
        <f aca="false">MIN(BM158,BM163+BM164)</f>
        <v>5444.19228170977</v>
      </c>
      <c r="BN165" s="158" t="n">
        <f aca="false">MIN(BN158,BN163+BN164)</f>
        <v>880.111144401344</v>
      </c>
      <c r="BO165" s="158" t="n">
        <f aca="false">MIN(BO158,BO163+BO164)</f>
        <v>962.352816717315</v>
      </c>
      <c r="BP165" s="158" t="n">
        <f aca="false">MIN(BP158,BP163+BP164)</f>
        <v>880.111144401344</v>
      </c>
      <c r="BQ165" s="158" t="n">
        <f aca="false">MIN(BQ158,BQ163+BQ164)</f>
        <v>962.352816717315</v>
      </c>
      <c r="BR165" s="158" t="n">
        <f aca="false">MIN(BR158,BR163+BR164)</f>
        <v>962.352816717315</v>
      </c>
      <c r="BS165" s="158" t="n">
        <f aca="false">MIN(BS158,BS163+BS164)</f>
        <v>880.111144401343</v>
      </c>
      <c r="BT165" s="158" t="n">
        <f aca="false">MIN(BT158,BT163+BT164)</f>
        <v>962.352816717315</v>
      </c>
      <c r="BU165" s="158" t="n">
        <f aca="false">MIN(BU158,BU163+BU164)</f>
        <v>880.111144401343</v>
      </c>
      <c r="BV165" s="158" t="n">
        <f aca="false">MIN(BV158,BV163+BV164)</f>
        <v>962.352816717315</v>
      </c>
      <c r="BW165" s="158" t="n">
        <f aca="false">MIN(BW158,BW163+BW164)</f>
        <v>962.352816717315</v>
      </c>
      <c r="BX165" s="158" t="n">
        <f aca="false">MIN(BX158,BX163+BX164)</f>
        <v>797.869472085372</v>
      </c>
      <c r="BY165" s="158" t="n">
        <f aca="false">MIN(BY158,BY163+BY164)</f>
        <v>1958.19168665776</v>
      </c>
      <c r="BZ165" s="158" t="n">
        <f aca="false">MIN(BZ158,BZ163+BZ164)</f>
        <v>2266.29836462435</v>
      </c>
      <c r="CA165" s="158" t="n">
        <f aca="false">MIN(CA158,CA163+CA164)</f>
        <v>2363.09048665776</v>
      </c>
      <c r="CB165" s="158" t="n">
        <f aca="false">MIN(CB158,CB163+CB164)</f>
        <v>2266.29836462435</v>
      </c>
      <c r="CC165" s="158" t="n">
        <f aca="false">MIN(CC158,CC163+CC164)</f>
        <v>2363.09048665776</v>
      </c>
      <c r="CD165" s="158" t="n">
        <f aca="false">MIN(CD158,CD163+CD164)</f>
        <v>2363.09048665776</v>
      </c>
      <c r="CE165" s="158" t="n">
        <f aca="false">MIN(CE158,CE163+CE164)</f>
        <v>2266.29836462435</v>
      </c>
      <c r="CF165" s="158" t="n">
        <f aca="false">MIN(CF158,CF163+CF164)</f>
        <v>2363.09048665776</v>
      </c>
      <c r="CG165" s="158" t="n">
        <f aca="false">MIN(CG158,CG163+CG164)</f>
        <v>2266.29836462435</v>
      </c>
      <c r="CH165" s="158" t="n">
        <f aca="false">MIN(CH158,CH163+CH164)</f>
        <v>2363.09048665776</v>
      </c>
      <c r="CI165" s="158" t="n">
        <f aca="false">MIN(CI158,CI163+CI164)</f>
        <v>2363.09048665776</v>
      </c>
      <c r="CJ165" s="158" t="n">
        <f aca="false">MIN(CJ158,CJ163+CJ164)</f>
        <v>2072.71412055752</v>
      </c>
      <c r="CK165" s="158" t="n">
        <f aca="false">MIN(CK158,CK163+CK164)</f>
        <v>2460.68346648972</v>
      </c>
      <c r="CL165" s="158" t="n">
        <f aca="false">MIN(CL158,CL163+CL164)</f>
        <v>2391.10550201564</v>
      </c>
      <c r="CM165" s="158" t="n">
        <f aca="false">MIN(CM158,CM163+CM164)</f>
        <v>2489.83346648972</v>
      </c>
      <c r="CN165" s="158" t="n">
        <f aca="false">MIN(CN158,CN163+CN164)</f>
        <v>2391.10550201564</v>
      </c>
      <c r="CO165" s="158" t="n">
        <f aca="false">MIN(CO158,CO163+CO164)</f>
        <v>2489.83346648972</v>
      </c>
      <c r="CP165" s="158" t="n">
        <f aca="false">MIN(CP158,CP163+CP164)</f>
        <v>2489.83346648972</v>
      </c>
      <c r="CQ165" s="158" t="n">
        <f aca="false">MIN(CQ158,CQ163+CQ164)</f>
        <v>2391.10550201564</v>
      </c>
      <c r="CR165" s="158" t="n">
        <f aca="false">MIN(CR158,CR163+CR164)</f>
        <v>2489.83346648972</v>
      </c>
      <c r="CS165" s="158" t="n">
        <f aca="false">MIN(CS158,CS163+CS164)</f>
        <v>2391.10550201564</v>
      </c>
      <c r="CT165" s="158" t="n">
        <f aca="false">MIN(CT158,CT163+CT164)</f>
        <v>2489.83346648972</v>
      </c>
      <c r="CU165" s="158" t="n">
        <f aca="false">MIN(CU158,CU163+CU164)</f>
        <v>1077.9560731582</v>
      </c>
      <c r="CV165" s="158" t="n">
        <f aca="false">MIN(CV158,CV163+CV164)</f>
        <v>819.57058201818</v>
      </c>
      <c r="CW165" s="158" t="n">
        <f aca="false">MIN(CW158,CW163+CW164)</f>
        <v>819.57058201818</v>
      </c>
      <c r="CX165" s="158" t="n">
        <f aca="false">MIN(CX158,CX163+CX164)</f>
        <v>819.57058201818</v>
      </c>
      <c r="CY165" s="158" t="n">
        <f aca="false">MIN(CY158,CY163+CY164)</f>
        <v>819.57058201818</v>
      </c>
      <c r="CZ165" s="158" t="n">
        <f aca="false">MIN(CZ158,CZ163+CZ164)</f>
        <v>819.57058201818</v>
      </c>
      <c r="DA165" s="158" t="n">
        <f aca="false">MIN(DA158,DA163+DA164)</f>
        <v>819.57058201818</v>
      </c>
      <c r="DB165" s="158" t="n">
        <f aca="false">MIN(DB158,DB163+DB164)</f>
        <v>819.57058201818</v>
      </c>
      <c r="DC165" s="158" t="n">
        <f aca="false">MIN(DC158,DC163+DC164)</f>
        <v>819.57058201818</v>
      </c>
      <c r="DD165" s="158" t="n">
        <f aca="false">MIN(DD158,DD163+DD164)</f>
        <v>819.57058201818</v>
      </c>
      <c r="DE165" s="158" t="n">
        <f aca="false">MIN(DE158,DE163+DE164)</f>
        <v>819.57058201818</v>
      </c>
      <c r="DF165" s="158" t="n">
        <f aca="false">MIN(DF158,DF163+DF164)</f>
        <v>819.57058201818</v>
      </c>
      <c r="DG165" s="158" t="n">
        <f aca="false">MIN(DG158,DG163+DG164)</f>
        <v>819.57058201818</v>
      </c>
      <c r="DH165" s="158" t="n">
        <f aca="false">MIN(DH158,DH163+DH164)</f>
        <v>819.57058201818</v>
      </c>
      <c r="DI165" s="158" t="n">
        <f aca="false">MIN(DI158,DI163+DI164)</f>
        <v>819.57058201818</v>
      </c>
      <c r="DJ165" s="158" t="n">
        <f aca="false">MIN(DJ158,DJ163+DJ164)</f>
        <v>819.57058201818</v>
      </c>
      <c r="DK165" s="158" t="n">
        <f aca="false">MIN(DK158,DK163+DK164)</f>
        <v>819.57058201818</v>
      </c>
      <c r="DL165" s="158" t="n">
        <f aca="false">MIN(DL158,DL163+DL164)</f>
        <v>819.57058201818</v>
      </c>
      <c r="DM165" s="158" t="n">
        <f aca="false">MIN(DM158,DM163+DM164)</f>
        <v>819.57058201818</v>
      </c>
      <c r="DN165" s="158" t="n">
        <f aca="false">MIN(DN158,DN163+DN164)</f>
        <v>819.57058201818</v>
      </c>
      <c r="DO165" s="158" t="n">
        <f aca="false">MIN(DO158,DO163+DO164)</f>
        <v>819.57058201818</v>
      </c>
      <c r="DP165" s="158" t="n">
        <f aca="false">MIN(DP158,DP163+DP164)</f>
        <v>819.57058201818</v>
      </c>
      <c r="DQ165" s="158" t="n">
        <f aca="false">MIN(DQ158,DQ163+DQ164)</f>
        <v>819.57058201818</v>
      </c>
      <c r="DR165" s="158" t="n">
        <f aca="false">MIN(DR158,DR163+DR164)</f>
        <v>819.57058201818</v>
      </c>
      <c r="DS165" s="158" t="n">
        <f aca="false">MIN(DS158,DS163+DS164)</f>
        <v>819.57058201818</v>
      </c>
      <c r="DT165" s="158" t="n">
        <f aca="false">MIN(DT158,DT163+DT164)</f>
        <v>0</v>
      </c>
      <c r="DU165" s="158" t="n">
        <f aca="false">MIN(DU158,DU163+DU164)</f>
        <v>0</v>
      </c>
      <c r="DV165" s="158" t="n">
        <f aca="false">MIN(DV158,DV163+DV164)</f>
        <v>0</v>
      </c>
      <c r="DW165" s="158" t="n">
        <f aca="false">MIN(DW158,DW163+DW164)</f>
        <v>3298.37099001781</v>
      </c>
      <c r="DX165" s="158" t="n">
        <f aca="false">MIN(DX158,DX163+DX164)</f>
        <v>0</v>
      </c>
      <c r="DY165" s="158" t="n">
        <f aca="false">MIN(DY158,DY163+DY164)</f>
        <v>0</v>
      </c>
      <c r="DZ165" s="158" t="n">
        <f aca="false">MIN(DZ158,DZ163+DZ164)</f>
        <v>0</v>
      </c>
      <c r="EA165" s="158" t="n">
        <f aca="false">MIN(EA158,EA163+EA164)</f>
        <v>0</v>
      </c>
      <c r="EB165" s="158" t="n">
        <f aca="false">MIN(EB158,EB163+EB164)</f>
        <v>0</v>
      </c>
      <c r="EC165" s="158" t="n">
        <f aca="false">MIN(EC158,EC163+EC164)</f>
        <v>0</v>
      </c>
      <c r="ED165" s="158" t="n">
        <f aca="false">MIN(ED158,ED163+ED164)</f>
        <v>0</v>
      </c>
      <c r="EE165" s="158" t="n">
        <f aca="false">MIN(EE158,EE163+EE164)</f>
        <v>0</v>
      </c>
      <c r="EF165" s="158" t="n">
        <f aca="false">MIN(EF158,EF163+EF164)</f>
        <v>0</v>
      </c>
    </row>
    <row r="166" customFormat="false" ht="15" hidden="false" customHeight="false" outlineLevel="0" collapsed="false">
      <c r="A166" s="35" t="s">
        <v>615</v>
      </c>
      <c r="B166" s="241" t="s">
        <v>116</v>
      </c>
      <c r="C166" s="242" t="n">
        <f aca="false">SUM(E166:EF166)</f>
        <v>201164.870175903</v>
      </c>
      <c r="E166" s="158" t="n">
        <f aca="false">IF(E155=2,MIN(E158-E165,E162+E141),0)</f>
        <v>0</v>
      </c>
      <c r="F166" s="158" t="n">
        <f aca="false">IF(F155=2,MIN(F158-F165,F162+F141),0)</f>
        <v>0</v>
      </c>
      <c r="G166" s="158" t="n">
        <f aca="false">IF(G155=2,MIN(G158-G165,G162+G141),0)</f>
        <v>0</v>
      </c>
      <c r="H166" s="158" t="n">
        <f aca="false">IF(H155=2,MIN(H158-H165,H162+H141),0)</f>
        <v>0</v>
      </c>
      <c r="I166" s="158" t="n">
        <f aca="false">IF(I155=2,MIN(I158-I165,I162+I141),0)</f>
        <v>0</v>
      </c>
      <c r="J166" s="158" t="n">
        <f aca="false">IF(J155=2,MIN(J158-J165,J162+J141),0)</f>
        <v>0</v>
      </c>
      <c r="K166" s="158" t="n">
        <f aca="false">IF(K155=2,MIN(K158-K165,K162+K141),0)</f>
        <v>0</v>
      </c>
      <c r="L166" s="158" t="n">
        <f aca="false">IF(L155=2,MIN(L158-L165,L162+L141),0)</f>
        <v>0</v>
      </c>
      <c r="M166" s="158" t="n">
        <f aca="false">IF(M155=2,MIN(M158-M165,M162+M141),0)</f>
        <v>0</v>
      </c>
      <c r="N166" s="158" t="n">
        <f aca="false">IF(N155=2,MIN(N158-N165,N162+N141),0)</f>
        <v>0</v>
      </c>
      <c r="O166" s="158" t="n">
        <f aca="false">IF(O155=2,MIN(O158-O165,O162+O141),0)</f>
        <v>0</v>
      </c>
      <c r="P166" s="158" t="n">
        <f aca="false">IF(P155=2,MIN(P158-P165,P162+P141),0)</f>
        <v>0</v>
      </c>
      <c r="Q166" s="158" t="n">
        <f aca="false">IF(Q155=2,MIN(Q158-Q165,Q162+Q141),0)</f>
        <v>0</v>
      </c>
      <c r="R166" s="158" t="n">
        <f aca="false">IF(R155=2,MIN(R158-R165,R162+R141),0)</f>
        <v>0</v>
      </c>
      <c r="S166" s="158" t="n">
        <f aca="false">IF(S155=2,MIN(S158-S165,S162+S141),0)</f>
        <v>0</v>
      </c>
      <c r="T166" s="158" t="n">
        <f aca="false">IF(T155=2,MIN(T158-T165,T162+T141),0)</f>
        <v>0</v>
      </c>
      <c r="U166" s="158" t="n">
        <f aca="false">IF(U155=2,MIN(U158-U165,U162+U141),0)</f>
        <v>0</v>
      </c>
      <c r="V166" s="158" t="n">
        <f aca="false">IF(V155=2,MIN(V158-V165,V162+V141),0)</f>
        <v>0</v>
      </c>
      <c r="W166" s="158" t="n">
        <f aca="false">IF(W155=2,MIN(W158-W165,W162+W141),0)</f>
        <v>0</v>
      </c>
      <c r="X166" s="158" t="n">
        <f aca="false">IF(X155=2,MIN(X158-X165,X162+X141),0)</f>
        <v>0</v>
      </c>
      <c r="Y166" s="158" t="n">
        <f aca="false">IF(Y155=2,MIN(Y158-Y165,Y162+Y141),0)</f>
        <v>0</v>
      </c>
      <c r="Z166" s="158" t="n">
        <f aca="false">IF(Z155=2,MIN(Z158-Z165,Z162+Z141),0)</f>
        <v>0</v>
      </c>
      <c r="AA166" s="158" t="n">
        <f aca="false">IF(AA155=2,MIN(AA158-AA165,AA162+AA141),0)</f>
        <v>0</v>
      </c>
      <c r="AB166" s="158" t="n">
        <f aca="false">IF(AB155=2,MIN(AB158-AB165,AB162+AB141),0)</f>
        <v>0</v>
      </c>
      <c r="AC166" s="158" t="n">
        <f aca="false">IF(AC155=2,MIN(AC158-AC165,AC162+AC141),0)</f>
        <v>0</v>
      </c>
      <c r="AD166" s="158" t="n">
        <f aca="false">IF(AD155=2,MIN(AD158-AD165,AD162+AD141),0)</f>
        <v>0</v>
      </c>
      <c r="AE166" s="158" t="n">
        <f aca="false">IF(AE155=2,MIN(AE158-AE165,AE162+AE141),0)</f>
        <v>0</v>
      </c>
      <c r="AF166" s="158" t="n">
        <f aca="false">IF(AF155=2,MIN(AF158-AF165,AF162+AF141),0)</f>
        <v>0</v>
      </c>
      <c r="AG166" s="158" t="n">
        <f aca="false">IF(AG155=2,MIN(AG158-AG165,AG162+AG141),0)</f>
        <v>0</v>
      </c>
      <c r="AH166" s="158" t="n">
        <f aca="false">IF(AH155=2,MIN(AH158-AH165,AH162+AH141),0)</f>
        <v>0</v>
      </c>
      <c r="AI166" s="158" t="n">
        <f aca="false">IF(AI155=2,MIN(AI158-AI165,AI162+AI141),0)</f>
        <v>0</v>
      </c>
      <c r="AJ166" s="158" t="n">
        <f aca="false">IF(AJ155=2,MIN(AJ158-AJ165,AJ162+AJ141),0)</f>
        <v>0</v>
      </c>
      <c r="AK166" s="158" t="n">
        <f aca="false">IF(AK155=2,MIN(AK158-AK165,AK162+AK141),0)</f>
        <v>0</v>
      </c>
      <c r="AL166" s="158" t="n">
        <f aca="false">IF(AL155=2,MIN(AL158-AL165,AL162+AL141),0)</f>
        <v>0</v>
      </c>
      <c r="AM166" s="158" t="n">
        <f aca="false">IF(AM155=2,MIN(AM158-AM165,AM162+AM141),0)</f>
        <v>0</v>
      </c>
      <c r="AN166" s="158" t="n">
        <f aca="false">IF(AN155=2,MIN(AN158-AN165,AN162+AN141),0)</f>
        <v>0</v>
      </c>
      <c r="AO166" s="158" t="n">
        <f aca="false">IF(AO155=2,MIN(AO158-AO165,AO162+AO141),0)</f>
        <v>0</v>
      </c>
      <c r="AP166" s="158" t="n">
        <f aca="false">IF(AP155=2,MIN(AP158-AP165,AP162+AP141),0)</f>
        <v>0</v>
      </c>
      <c r="AQ166" s="158" t="n">
        <f aca="false">IF(AQ155=2,MIN(AQ158-AQ165,AQ162+AQ141),0)</f>
        <v>0</v>
      </c>
      <c r="AR166" s="158" t="n">
        <f aca="false">IF(AR155=2,MIN(AR158-AR165,AR162+AR141),0)</f>
        <v>0</v>
      </c>
      <c r="AS166" s="158" t="n">
        <f aca="false">IF(AS155=2,MIN(AS158-AS165,AS162+AS141),0)</f>
        <v>0</v>
      </c>
      <c r="AT166" s="158" t="n">
        <f aca="false">IF(AT155=2,MIN(AT158-AT165,AT162+AT141),0)</f>
        <v>0</v>
      </c>
      <c r="AU166" s="158" t="n">
        <f aca="false">IF(AU155=2,MIN(AU158-AU165,AU162+AU141),0)</f>
        <v>0</v>
      </c>
      <c r="AV166" s="158" t="n">
        <f aca="false">IF(AV155=2,MIN(AV158-AV165,AV162+AV141),0)</f>
        <v>0</v>
      </c>
      <c r="AW166" s="158" t="n">
        <f aca="false">IF(AW155=2,MIN(AW158-AW165,AW162+AW141),0)</f>
        <v>0</v>
      </c>
      <c r="AX166" s="158" t="n">
        <f aca="false">IF(AX155=2,MIN(AX158-AX165,AX162+AX141),0)</f>
        <v>0</v>
      </c>
      <c r="AY166" s="158" t="n">
        <f aca="false">IF(AY155=2,MIN(AY158-AY165,AY162+AY141),0)</f>
        <v>0</v>
      </c>
      <c r="AZ166" s="158" t="n">
        <f aca="false">IF(AZ155=2,MIN(AZ158-AZ165,AZ162+AZ141),0)</f>
        <v>0</v>
      </c>
      <c r="BA166" s="158" t="n">
        <f aca="false">IF(BA155=2,MIN(BA158-BA165,BA162+BA141),0)</f>
        <v>0</v>
      </c>
      <c r="BB166" s="158" t="n">
        <f aca="false">IF(BB155=2,MIN(BB158-BB165,BB162+BB141),0)</f>
        <v>0</v>
      </c>
      <c r="BC166" s="158" t="n">
        <f aca="false">IF(BC155=2,MIN(BC158-BC165,BC162+BC141),0)</f>
        <v>0</v>
      </c>
      <c r="BD166" s="158" t="n">
        <f aca="false">IF(BD155=2,MIN(BD158-BD165,BD162+BD141),0)</f>
        <v>0</v>
      </c>
      <c r="BE166" s="158" t="n">
        <f aca="false">IF(BE155=2,MIN(BE158-BE165,BE162+BE141),0)</f>
        <v>0</v>
      </c>
      <c r="BF166" s="158" t="n">
        <f aca="false">IF(BF155=2,MIN(BF158-BF165,BF162+BF141),0)</f>
        <v>0</v>
      </c>
      <c r="BG166" s="158" t="n">
        <f aca="false">IF(BG155=2,MIN(BG158-BG165,BG162+BG141),0)</f>
        <v>0</v>
      </c>
      <c r="BH166" s="158" t="n">
        <f aca="false">IF(BH155=2,MIN(BH158-BH165,BH162+BH141),0)</f>
        <v>0</v>
      </c>
      <c r="BI166" s="158" t="n">
        <f aca="false">IF(BI155=2,MIN(BI158-BI165,BI162+BI141),0)</f>
        <v>0</v>
      </c>
      <c r="BJ166" s="158" t="n">
        <f aca="false">IF(BJ155=2,MIN(BJ158-BJ165,BJ162+BJ141),0)</f>
        <v>0</v>
      </c>
      <c r="BK166" s="158" t="n">
        <f aca="false">IF(BK155=2,MIN(BK158-BK165,BK162+BK141),0)</f>
        <v>0</v>
      </c>
      <c r="BL166" s="158" t="n">
        <f aca="false">IF(BL155=2,MIN(BL158-BL165,BL162+BL141),0)</f>
        <v>0</v>
      </c>
      <c r="BM166" s="158" t="n">
        <f aca="false">IF(BM155=2,MIN(BM158-BM165,BM162+BM141),0)</f>
        <v>0</v>
      </c>
      <c r="BN166" s="158" t="n">
        <f aca="false">IF(BN155=2,MIN(BN158-BN165,BN162+BN141),0)</f>
        <v>0</v>
      </c>
      <c r="BO166" s="158" t="n">
        <f aca="false">IF(BO155=2,MIN(BO158-BO165,BO162+BO141),0)</f>
        <v>0</v>
      </c>
      <c r="BP166" s="158" t="n">
        <f aca="false">IF(BP155=2,MIN(BP158-BP165,BP162+BP141),0)</f>
        <v>0</v>
      </c>
      <c r="BQ166" s="158" t="n">
        <f aca="false">IF(BQ155=2,MIN(BQ158-BQ165,BQ162+BQ141),0)</f>
        <v>0</v>
      </c>
      <c r="BR166" s="158" t="n">
        <f aca="false">IF(BR155=2,MIN(BR158-BR165,BR162+BR141),0)</f>
        <v>0</v>
      </c>
      <c r="BS166" s="158" t="n">
        <f aca="false">IF(BS155=2,MIN(BS158-BS165,BS162+BS141),0)</f>
        <v>0</v>
      </c>
      <c r="BT166" s="158" t="n">
        <f aca="false">IF(BT155=2,MIN(BT158-BT165,BT162+BT141),0)</f>
        <v>0</v>
      </c>
      <c r="BU166" s="158" t="n">
        <f aca="false">IF(BU155=2,MIN(BU158-BU165,BU162+BU141),0)</f>
        <v>0</v>
      </c>
      <c r="BV166" s="158" t="n">
        <f aca="false">IF(BV155=2,MIN(BV158-BV165,BV162+BV141),0)</f>
        <v>0</v>
      </c>
      <c r="BW166" s="158" t="n">
        <f aca="false">IF(BW155=2,MIN(BW158-BW165,BW162+BW141),0)</f>
        <v>0</v>
      </c>
      <c r="BX166" s="158" t="n">
        <f aca="false">IF(BX155=2,MIN(BX158-BX165,BX162+BX141),0)</f>
        <v>0</v>
      </c>
      <c r="BY166" s="158" t="n">
        <f aca="false">IF(BY155=2,MIN(BY158-BY165,BY162+BY141),0)</f>
        <v>0</v>
      </c>
      <c r="BZ166" s="158" t="n">
        <f aca="false">IF(BZ155=2,MIN(BZ158-BZ165,BZ162+BZ141),0)</f>
        <v>0</v>
      </c>
      <c r="CA166" s="158" t="n">
        <f aca="false">IF(CA155=2,MIN(CA158-CA165,CA162+CA141),0)</f>
        <v>0</v>
      </c>
      <c r="CB166" s="158" t="n">
        <f aca="false">IF(CB155=2,MIN(CB158-CB165,CB162+CB141),0)</f>
        <v>0</v>
      </c>
      <c r="CC166" s="158" t="n">
        <f aca="false">IF(CC155=2,MIN(CC158-CC165,CC162+CC141),0)</f>
        <v>0</v>
      </c>
      <c r="CD166" s="158" t="n">
        <f aca="false">IF(CD155=2,MIN(CD158-CD165,CD162+CD141),0)</f>
        <v>0</v>
      </c>
      <c r="CE166" s="158" t="n">
        <f aca="false">IF(CE155=2,MIN(CE158-CE165,CE162+CE141),0)</f>
        <v>0</v>
      </c>
      <c r="CF166" s="158" t="n">
        <f aca="false">IF(CF155=2,MIN(CF158-CF165,CF162+CF141),0)</f>
        <v>0</v>
      </c>
      <c r="CG166" s="158" t="n">
        <f aca="false">IF(CG155=2,MIN(CG158-CG165,CG162+CG141),0)</f>
        <v>0</v>
      </c>
      <c r="CH166" s="158" t="n">
        <f aca="false">IF(CH155=2,MIN(CH158-CH165,CH162+CH141),0)</f>
        <v>0</v>
      </c>
      <c r="CI166" s="158" t="n">
        <f aca="false">IF(CI155=2,MIN(CI158-CI165,CI162+CI141),0)</f>
        <v>0</v>
      </c>
      <c r="CJ166" s="158" t="n">
        <f aca="false">IF(CJ155=2,MIN(CJ158-CJ165,CJ162+CJ141),0)</f>
        <v>0</v>
      </c>
      <c r="CK166" s="158" t="n">
        <f aca="false">IF(CK155=2,MIN(CK158-CK165,CK162+CK141),0)</f>
        <v>0</v>
      </c>
      <c r="CL166" s="158" t="n">
        <f aca="false">IF(CL155=2,MIN(CL158-CL165,CL162+CL141),0)</f>
        <v>0</v>
      </c>
      <c r="CM166" s="158" t="n">
        <f aca="false">IF(CM155=2,MIN(CM158-CM165,CM162+CM141),0)</f>
        <v>0</v>
      </c>
      <c r="CN166" s="158" t="n">
        <f aca="false">IF(CN155=2,MIN(CN158-CN165,CN162+CN141),0)</f>
        <v>0</v>
      </c>
      <c r="CO166" s="158" t="n">
        <f aca="false">IF(CO155=2,MIN(CO158-CO165,CO162+CO141),0)</f>
        <v>0</v>
      </c>
      <c r="CP166" s="158" t="n">
        <f aca="false">IF(CP155=2,MIN(CP158-CP165,CP162+CP141),0)</f>
        <v>0</v>
      </c>
      <c r="CQ166" s="158" t="n">
        <f aca="false">IF(CQ155=2,MIN(CQ158-CQ165,CQ162+CQ141),0)</f>
        <v>0</v>
      </c>
      <c r="CR166" s="158" t="n">
        <f aca="false">IF(CR155=2,MIN(CR158-CR165,CR162+CR141),0)</f>
        <v>0</v>
      </c>
      <c r="CS166" s="158" t="n">
        <f aca="false">IF(CS155=2,MIN(CS158-CS165,CS162+CS141),0)</f>
        <v>0</v>
      </c>
      <c r="CT166" s="158" t="n">
        <f aca="false">IF(CT155=2,MIN(CT158-CT165,CT162+CT141),0)</f>
        <v>0</v>
      </c>
      <c r="CU166" s="158" t="n">
        <f aca="false">IF(CU155=2,MIN(CU158-CU165,CU162+CU141),0)</f>
        <v>0</v>
      </c>
      <c r="CV166" s="158" t="n">
        <f aca="false">IF(CV155=2,MIN(CV158-CV165,CV162+CV141),0)</f>
        <v>0</v>
      </c>
      <c r="CW166" s="158" t="n">
        <f aca="false">IF(CW155=2,MIN(CW158-CW165,CW162+CW141),0)</f>
        <v>0</v>
      </c>
      <c r="CX166" s="158" t="n">
        <f aca="false">IF(CX155=2,MIN(CX158-CX165,CX162+CX141),0)</f>
        <v>0</v>
      </c>
      <c r="CY166" s="158" t="n">
        <f aca="false">IF(CY155=2,MIN(CY158-CY165,CY162+CY141),0)</f>
        <v>0</v>
      </c>
      <c r="CZ166" s="158" t="n">
        <f aca="false">IF(CZ155=2,MIN(CZ158-CZ165,CZ162+CZ141),0)</f>
        <v>0</v>
      </c>
      <c r="DA166" s="158" t="n">
        <f aca="false">IF(DA155=2,MIN(DA158-DA165,DA162+DA141),0)</f>
        <v>0</v>
      </c>
      <c r="DB166" s="158" t="n">
        <f aca="false">IF(DB155=2,MIN(DB158-DB165,DB162+DB141),0)</f>
        <v>0</v>
      </c>
      <c r="DC166" s="158" t="n">
        <f aca="false">IF(DC155=2,MIN(DC158-DC165,DC162+DC141),0)</f>
        <v>0</v>
      </c>
      <c r="DD166" s="158" t="n">
        <f aca="false">IF(DD155=2,MIN(DD158-DD165,DD162+DD141),0)</f>
        <v>0</v>
      </c>
      <c r="DE166" s="158" t="n">
        <f aca="false">IF(DE155=2,MIN(DE158-DE165,DE162+DE141),0)</f>
        <v>0</v>
      </c>
      <c r="DF166" s="158" t="n">
        <f aca="false">IF(DF155=2,MIN(DF158-DF165,DF162+DF141),0)</f>
        <v>0</v>
      </c>
      <c r="DG166" s="158" t="n">
        <f aca="false">IF(DG155=2,MIN(DG158-DG165,DG162+DG141),0)</f>
        <v>0</v>
      </c>
      <c r="DH166" s="158" t="n">
        <f aca="false">IF(DH155=2,MIN(DH158-DH165,DH162+DH141),0)</f>
        <v>0</v>
      </c>
      <c r="DI166" s="158" t="n">
        <f aca="false">IF(DI155=2,MIN(DI158-DI165,DI162+DI141),0)</f>
        <v>0</v>
      </c>
      <c r="DJ166" s="158" t="n">
        <f aca="false">IF(DJ155=2,MIN(DJ158-DJ165,DJ162+DJ141),0)</f>
        <v>0</v>
      </c>
      <c r="DK166" s="158" t="n">
        <f aca="false">IF(DK155=2,MIN(DK158-DK165,DK162+DK141),0)</f>
        <v>0</v>
      </c>
      <c r="DL166" s="158" t="n">
        <f aca="false">IF(DL155=2,MIN(DL158-DL165,DL162+DL141),0)</f>
        <v>0</v>
      </c>
      <c r="DM166" s="158" t="n">
        <f aca="false">IF(DM155=2,MIN(DM158-DM165,DM162+DM141),0)</f>
        <v>0</v>
      </c>
      <c r="DN166" s="158" t="n">
        <f aca="false">IF(DN155=2,MIN(DN158-DN165,DN162+DN141),0)</f>
        <v>0</v>
      </c>
      <c r="DO166" s="158" t="n">
        <f aca="false">IF(DO155=2,MIN(DO158-DO165,DO162+DO141),0)</f>
        <v>0</v>
      </c>
      <c r="DP166" s="158" t="n">
        <f aca="false">IF(DP155=2,MIN(DP158-DP165,DP162+DP141),0)</f>
        <v>0</v>
      </c>
      <c r="DQ166" s="158" t="n">
        <f aca="false">IF(DQ155=2,MIN(DQ158-DQ165,DQ162+DQ141),0)</f>
        <v>0</v>
      </c>
      <c r="DR166" s="158" t="n">
        <f aca="false">IF(DR155=2,MIN(DR158-DR165,DR162+DR141),0)</f>
        <v>0</v>
      </c>
      <c r="DS166" s="158" t="n">
        <f aca="false">IF(DS155=2,MIN(DS158-DS165,DS162+DS141),0)</f>
        <v>0</v>
      </c>
      <c r="DT166" s="158" t="n">
        <f aca="false">IF(DT155=2,MIN(DT158-DT165,DT162+DT141),0)</f>
        <v>0</v>
      </c>
      <c r="DU166" s="158" t="n">
        <f aca="false">IF(DU155=2,MIN(DU158-DU165,DU162+DU141),0)</f>
        <v>0</v>
      </c>
      <c r="DV166" s="158" t="n">
        <f aca="false">IF(DV155=2,MIN(DV158-DV165,DV162+DV141),0)</f>
        <v>0</v>
      </c>
      <c r="DW166" s="158" t="n">
        <f aca="false">IF(DW155=2,MIN(DW158-DW165,DW162+DW141),0)</f>
        <v>201164.870175903</v>
      </c>
      <c r="DX166" s="158" t="n">
        <f aca="false">IF(DX155=2,MIN(DX158-DX165,DX162+DX141),0)</f>
        <v>0</v>
      </c>
      <c r="DY166" s="158" t="n">
        <f aca="false">IF(DY155=2,MIN(DY158-DY165,DY162+DY141),0)</f>
        <v>0</v>
      </c>
      <c r="DZ166" s="158" t="n">
        <f aca="false">IF(DZ155=2,MIN(DZ158-DZ165,DZ162+DZ141),0)</f>
        <v>0</v>
      </c>
      <c r="EA166" s="158" t="n">
        <f aca="false">IF(EA155=2,MIN(EA158-EA165,EA162+EA141),0)</f>
        <v>0</v>
      </c>
      <c r="EB166" s="158" t="n">
        <f aca="false">IF(EB155=2,MIN(EB158-EB165,EB162+EB141),0)</f>
        <v>0</v>
      </c>
      <c r="EC166" s="158" t="n">
        <f aca="false">IF(EC155=2,MIN(EC158-EC165,EC162+EC141),0)</f>
        <v>0</v>
      </c>
      <c r="ED166" s="158" t="n">
        <f aca="false">IF(ED155=2,MIN(ED158-ED165,ED162+ED141),0)</f>
        <v>0</v>
      </c>
      <c r="EE166" s="158" t="n">
        <f aca="false">IF(EE155=2,MIN(EE158-EE165,EE162+EE141),0)</f>
        <v>0</v>
      </c>
      <c r="EF166" s="158" t="n">
        <f aca="false">IF(EF155=2,MIN(EF158-EF165,EF162+EF141),0)</f>
        <v>0</v>
      </c>
    </row>
    <row r="167" customFormat="false" ht="15" hidden="false" customHeight="false" outlineLevel="0" collapsed="false">
      <c r="A167" s="35" t="s">
        <v>616</v>
      </c>
      <c r="B167" s="241" t="s">
        <v>116</v>
      </c>
      <c r="E167" s="158" t="n">
        <f aca="false">E163+E164-E165</f>
        <v>0</v>
      </c>
      <c r="F167" s="158" t="n">
        <f aca="false">F163+F164-F165</f>
        <v>0</v>
      </c>
      <c r="G167" s="158" t="n">
        <f aca="false">G163+G164-G165</f>
        <v>0</v>
      </c>
      <c r="H167" s="158" t="n">
        <f aca="false">H163+H164-H165</f>
        <v>0</v>
      </c>
      <c r="I167" s="158" t="n">
        <f aca="false">I163+I164-I165</f>
        <v>0</v>
      </c>
      <c r="J167" s="158" t="n">
        <f aca="false">J163+J164-J165</f>
        <v>0</v>
      </c>
      <c r="K167" s="158" t="n">
        <f aca="false">K163+K164-K165</f>
        <v>0</v>
      </c>
      <c r="L167" s="158" t="n">
        <f aca="false">L163+L164-L165</f>
        <v>0</v>
      </c>
      <c r="M167" s="158" t="n">
        <f aca="false">M163+M164-M165</f>
        <v>0</v>
      </c>
      <c r="N167" s="158" t="n">
        <f aca="false">N163+N164-N165</f>
        <v>0</v>
      </c>
      <c r="O167" s="158" t="n">
        <f aca="false">O163+O164-O165</f>
        <v>0</v>
      </c>
      <c r="P167" s="158" t="n">
        <f aca="false">P163+P164-P165</f>
        <v>0</v>
      </c>
      <c r="Q167" s="158" t="n">
        <f aca="false">Q163+Q164-Q165</f>
        <v>0</v>
      </c>
      <c r="R167" s="158" t="n">
        <f aca="false">R163+R164-R165</f>
        <v>0</v>
      </c>
      <c r="S167" s="158" t="n">
        <f aca="false">S163+S164-S165</f>
        <v>0</v>
      </c>
      <c r="T167" s="158" t="n">
        <f aca="false">T163+T164-T165</f>
        <v>0</v>
      </c>
      <c r="U167" s="158" t="n">
        <f aca="false">U163+U164-U165</f>
        <v>0</v>
      </c>
      <c r="V167" s="158" t="n">
        <f aca="false">V163+V164-V165</f>
        <v>0</v>
      </c>
      <c r="W167" s="158" t="n">
        <f aca="false">W163+W164-W165</f>
        <v>0</v>
      </c>
      <c r="X167" s="158" t="n">
        <f aca="false">X163+X164-X165</f>
        <v>819.57058201818</v>
      </c>
      <c r="Y167" s="158" t="n">
        <f aca="false">Y163+Y164-Y165</f>
        <v>1642.48019603694</v>
      </c>
      <c r="Z167" s="158" t="n">
        <f aca="false">Z163+Z164-Z165</f>
        <v>2468.74244568596</v>
      </c>
      <c r="AA167" s="158" t="n">
        <f aca="false">AA163+AA164-AA165</f>
        <v>3298.37099001781</v>
      </c>
      <c r="AB167" s="158" t="n">
        <f aca="false">AB163+AB164-AB165</f>
        <v>4131.37954373372</v>
      </c>
      <c r="AC167" s="158" t="n">
        <f aca="false">AC163+AC164-AC165</f>
        <v>4967.7818774103</v>
      </c>
      <c r="AD167" s="158" t="n">
        <f aca="false">AD163+AD164-AD165</f>
        <v>5807.59181772722</v>
      </c>
      <c r="AE167" s="158" t="n">
        <f aca="false">AE163+AE164-AE165</f>
        <v>6650.82324769572</v>
      </c>
      <c r="AF167" s="158" t="n">
        <f aca="false">AF163+AF164-AF165</f>
        <v>7497.49010688818</v>
      </c>
      <c r="AG167" s="158" t="n">
        <f aca="false">AG163+AG164-AG165</f>
        <v>8347.6063916685</v>
      </c>
      <c r="AH167" s="158" t="n">
        <f aca="false">AH163+AH164-AH165</f>
        <v>9201.18615542351</v>
      </c>
      <c r="AI167" s="158" t="n">
        <f aca="false">AI163+AI164-AI165</f>
        <v>10058.2435087953</v>
      </c>
      <c r="AJ167" s="158" t="n">
        <f aca="false">AJ163+AJ164-AJ165</f>
        <v>10918.7926199144</v>
      </c>
      <c r="AK167" s="158" t="n">
        <f aca="false">AK163+AK164-AK165</f>
        <v>11782.8477146341</v>
      </c>
      <c r="AL167" s="158" t="n">
        <f aca="false">AL163+AL164-AL165</f>
        <v>12650.4230767655</v>
      </c>
      <c r="AM167" s="158" t="n">
        <f aca="false">AM163+AM164-AM165</f>
        <v>13521.533048314</v>
      </c>
      <c r="AN167" s="158" t="n">
        <f aca="false">AN163+AN164-AN165</f>
        <v>14396.1920297157</v>
      </c>
      <c r="AO167" s="158" t="n">
        <f aca="false">AO163+AO164-AO165</f>
        <v>15274.4144800761</v>
      </c>
      <c r="AP167" s="158" t="n">
        <f aca="false">AP163+AP164-AP165</f>
        <v>16156.2149174089</v>
      </c>
      <c r="AQ167" s="158" t="n">
        <f aca="false">AQ163+AQ164-AQ165</f>
        <v>17041.6079188758</v>
      </c>
      <c r="AR167" s="158" t="n">
        <f aca="false">AR163+AR164-AR165</f>
        <v>17930.6081210279</v>
      </c>
      <c r="AS167" s="158" t="n">
        <f aca="false">AS163+AS164-AS165</f>
        <v>18823.2302200472</v>
      </c>
      <c r="AT167" s="158" t="n">
        <f aca="false">AT163+AT164-AT165</f>
        <v>19719.48897199</v>
      </c>
      <c r="AU167" s="158" t="n">
        <f aca="false">AU163+AU164-AU165</f>
        <v>20619.3991930303</v>
      </c>
      <c r="AV167" s="158" t="n">
        <f aca="false">AV163+AV164-AV165</f>
        <v>21522.9757597054</v>
      </c>
      <c r="AW167" s="158" t="n">
        <f aca="false">AW163+AW164-AW165</f>
        <v>22430.2336091611</v>
      </c>
      <c r="AX167" s="158" t="n">
        <f aca="false">AX163+AX164-AX165</f>
        <v>23341.1877393991</v>
      </c>
      <c r="AY167" s="158" t="n">
        <f aca="false">AY163+AY164-AY165</f>
        <v>24255.853209525</v>
      </c>
      <c r="AZ167" s="158" t="n">
        <f aca="false">AZ163+AZ164-AZ165</f>
        <v>25174.2451399968</v>
      </c>
      <c r="BA167" s="158" t="n">
        <f aca="false">BA163+BA164-BA165</f>
        <v>26096.3787128752</v>
      </c>
      <c r="BB167" s="158" t="n">
        <f aca="false">BB163+BB164-BB165</f>
        <v>27022.2691720746</v>
      </c>
      <c r="BC167" s="158" t="n">
        <f aca="false">BC163+BC164-BC165</f>
        <v>27951.9318236149</v>
      </c>
      <c r="BD167" s="158" t="n">
        <f aca="false">BD163+BD164-BD165</f>
        <v>28885.3820358746</v>
      </c>
      <c r="BE167" s="158" t="n">
        <f aca="false">BE163+BE164-BE165</f>
        <v>29822.6352398449</v>
      </c>
      <c r="BF167" s="158" t="n">
        <f aca="false">BF163+BF164-BF165</f>
        <v>30763.7069293848</v>
      </c>
      <c r="BG167" s="158" t="n">
        <f aca="false">BG163+BG164-BG165</f>
        <v>31708.6126614771</v>
      </c>
      <c r="BH167" s="158" t="n">
        <f aca="false">BH163+BH164-BH165</f>
        <v>32657.3680564859</v>
      </c>
      <c r="BI167" s="158" t="n">
        <f aca="false">BI163+BI164-BI165</f>
        <v>33609.9887984144</v>
      </c>
      <c r="BJ167" s="158" t="n">
        <f aca="false">BJ163+BJ164-BJ165</f>
        <v>34566.4906351644</v>
      </c>
      <c r="BK167" s="158" t="n">
        <f aca="false">BK163+BK164-BK165</f>
        <v>35526.8893787965</v>
      </c>
      <c r="BL167" s="158" t="n">
        <f aca="false">BL163+BL164-BL165</f>
        <v>36491.2009057919</v>
      </c>
      <c r="BM167" s="158" t="n">
        <f aca="false">BM163+BM164-BM165</f>
        <v>32015.2488756045</v>
      </c>
      <c r="BN167" s="158" t="n">
        <f aca="false">BN163+BN164-BN165</f>
        <v>32085.1424001048</v>
      </c>
      <c r="BO167" s="158" t="n">
        <f aca="false">BO163+BO164-BO165</f>
        <v>32073.0790071597</v>
      </c>
      <c r="BP167" s="158" t="n">
        <f aca="false">BP163+BP164-BP165</f>
        <v>32143.2081387745</v>
      </c>
      <c r="BQ167" s="158" t="n">
        <f aca="false">BQ163+BQ164-BQ165</f>
        <v>32131.3813128363</v>
      </c>
      <c r="BR167" s="158" t="n">
        <f aca="false">BR163+BR164-BR165</f>
        <v>32119.5063029452</v>
      </c>
      <c r="BS167" s="158" t="n">
        <f aca="false">BS163+BS164-BS165</f>
        <v>32189.8245851099</v>
      </c>
      <c r="BT167" s="158" t="n">
        <f aca="false">BT163+BT164-BT165</f>
        <v>32178.1876803445</v>
      </c>
      <c r="BU167" s="158" t="n">
        <f aca="false">BU163+BU164-BU165</f>
        <v>32248.7450377045</v>
      </c>
      <c r="BV167" s="158" t="n">
        <f aca="false">BV163+BV164-BV165</f>
        <v>32237.3481821563</v>
      </c>
      <c r="BW167" s="158" t="n">
        <f aca="false">BW163+BW164-BW165</f>
        <v>32225.9048944078</v>
      </c>
      <c r="BX167" s="158" t="n">
        <f aca="false">BX163+BX164-BX165</f>
        <v>32378.8983299205</v>
      </c>
      <c r="BY167" s="158" t="n">
        <f aca="false">BY163+BY164-BY165</f>
        <v>31372.1928650552</v>
      </c>
      <c r="BZ167" s="158" t="n">
        <f aca="false">BZ163+BZ164-BZ165</f>
        <v>30053.2792795458</v>
      </c>
      <c r="CA167" s="158" t="n">
        <f aca="false">CA163+CA164-CA165</f>
        <v>28632.2001547956</v>
      </c>
      <c r="CB167" s="158" t="n">
        <f aca="false">CB163+CB164-CB165</f>
        <v>27302.1234998183</v>
      </c>
      <c r="CC167" s="158" t="n">
        <f aca="false">CC163+CC164-CC165</f>
        <v>25869.8358258734</v>
      </c>
      <c r="CD167" s="158" t="n">
        <f aca="false">CD163+CD164-CD165</f>
        <v>24431.7128346511</v>
      </c>
      <c r="CE167" s="158" t="n">
        <f aca="false">CE163+CE164-CE165</f>
        <v>23084.5228743798</v>
      </c>
      <c r="CF167" s="158" t="n">
        <f aca="false">CF163+CF164-CF165</f>
        <v>21635.0521734169</v>
      </c>
      <c r="CG167" s="158" t="n">
        <f aca="false">CG163+CG164-CG165</f>
        <v>20276.468271431</v>
      </c>
      <c r="CH167" s="158" t="n">
        <f aca="false">CH163+CH164-CH165</f>
        <v>18815.5572084244</v>
      </c>
      <c r="CI167" s="158" t="n">
        <f aca="false">CI163+CI164-CI165</f>
        <v>17348.6942129103</v>
      </c>
      <c r="CJ167" s="158" t="n">
        <f aca="false">CJ163+CJ164-CJ165</f>
        <v>16166.231402079</v>
      </c>
      <c r="CK167" s="158" t="n">
        <f aca="false">CK163+CK164-CK165</f>
        <v>14590.9817454546</v>
      </c>
      <c r="CL167" s="158" t="n">
        <f aca="false">CL163+CL164-CL165</f>
        <v>13078.8922912131</v>
      </c>
      <c r="CM167" s="158" t="n">
        <f aca="false">CM163+CM164-CM165</f>
        <v>11461.9144328889</v>
      </c>
      <c r="CN167" s="158" t="n">
        <f aca="false">CN163+CN164-CN165</f>
        <v>9937.07677108865</v>
      </c>
      <c r="CO167" s="158" t="n">
        <f aca="false">CO163+CO164-CO165</f>
        <v>8307.29876743014</v>
      </c>
      <c r="CP167" s="158" t="n">
        <f aca="false">CP163+CP164-CP165</f>
        <v>6670.88084644486</v>
      </c>
      <c r="CQ167" s="158" t="n">
        <f aca="false">CQ163+CQ164-CQ165</f>
        <v>5126.52392076178</v>
      </c>
      <c r="CR167" s="158" t="n">
        <f aca="false">CR163+CR164-CR165</f>
        <v>3477.14712932325</v>
      </c>
      <c r="CS167" s="158" t="n">
        <f aca="false">CS163+CS164-CS165</f>
        <v>1919.77853714461</v>
      </c>
      <c r="CT167" s="158" t="n">
        <f aca="false">CT163+CT164-CT165</f>
        <v>257.337068070579</v>
      </c>
      <c r="CU167" s="158" t="n">
        <f aca="false">CU163+CU164-CU165</f>
        <v>0</v>
      </c>
      <c r="CV167" s="158" t="n">
        <f aca="false">CV163+CV164-CV165</f>
        <v>0</v>
      </c>
      <c r="CW167" s="158" t="n">
        <f aca="false">CW163+CW164-CW165</f>
        <v>0</v>
      </c>
      <c r="CX167" s="158" t="n">
        <f aca="false">CX163+CX164-CX165</f>
        <v>0</v>
      </c>
      <c r="CY167" s="158" t="n">
        <f aca="false">CY163+CY164-CY165</f>
        <v>0</v>
      </c>
      <c r="CZ167" s="158" t="n">
        <f aca="false">CZ163+CZ164-CZ165</f>
        <v>0</v>
      </c>
      <c r="DA167" s="158" t="n">
        <f aca="false">DA163+DA164-DA165</f>
        <v>0</v>
      </c>
      <c r="DB167" s="158" t="n">
        <f aca="false">DB163+DB164-DB165</f>
        <v>0</v>
      </c>
      <c r="DC167" s="158" t="n">
        <f aca="false">DC163+DC164-DC165</f>
        <v>0</v>
      </c>
      <c r="DD167" s="158" t="n">
        <f aca="false">DD163+DD164-DD165</f>
        <v>0</v>
      </c>
      <c r="DE167" s="158" t="n">
        <f aca="false">DE163+DE164-DE165</f>
        <v>0</v>
      </c>
      <c r="DF167" s="158" t="n">
        <f aca="false">DF163+DF164-DF165</f>
        <v>0</v>
      </c>
      <c r="DG167" s="158" t="n">
        <f aca="false">DG163+DG164-DG165</f>
        <v>0</v>
      </c>
      <c r="DH167" s="158" t="n">
        <f aca="false">DH163+DH164-DH165</f>
        <v>0</v>
      </c>
      <c r="DI167" s="158" t="n">
        <f aca="false">DI163+DI164-DI165</f>
        <v>0</v>
      </c>
      <c r="DJ167" s="158" t="n">
        <f aca="false">DJ163+DJ164-DJ165</f>
        <v>0</v>
      </c>
      <c r="DK167" s="158" t="n">
        <f aca="false">DK163+DK164-DK165</f>
        <v>0</v>
      </c>
      <c r="DL167" s="158" t="n">
        <f aca="false">DL163+DL164-DL165</f>
        <v>0</v>
      </c>
      <c r="DM167" s="158" t="n">
        <f aca="false">DM163+DM164-DM165</f>
        <v>0</v>
      </c>
      <c r="DN167" s="158" t="n">
        <f aca="false">DN163+DN164-DN165</f>
        <v>0</v>
      </c>
      <c r="DO167" s="158" t="n">
        <f aca="false">DO163+DO164-DO165</f>
        <v>0</v>
      </c>
      <c r="DP167" s="158" t="n">
        <f aca="false">DP163+DP164-DP165</f>
        <v>0</v>
      </c>
      <c r="DQ167" s="158" t="n">
        <f aca="false">DQ163+DQ164-DQ165</f>
        <v>0</v>
      </c>
      <c r="DR167" s="158" t="n">
        <f aca="false">DR163+DR164-DR165</f>
        <v>0</v>
      </c>
      <c r="DS167" s="158" t="n">
        <f aca="false">DS163+DS164-DS165</f>
        <v>0</v>
      </c>
      <c r="DT167" s="158" t="n">
        <f aca="false">DT163+DT164-DT165</f>
        <v>819.57058201818</v>
      </c>
      <c r="DU167" s="158" t="n">
        <f aca="false">DU163+DU164-DU165</f>
        <v>1642.48019603694</v>
      </c>
      <c r="DV167" s="158" t="n">
        <f aca="false">DV163+DV164-DV165</f>
        <v>2468.74244568596</v>
      </c>
      <c r="DW167" s="158" t="n">
        <f aca="false">DW163+DW164-DW165</f>
        <v>0</v>
      </c>
      <c r="DX167" s="158" t="n">
        <f aca="false">DX163+DX164-DX165</f>
        <v>0</v>
      </c>
      <c r="DY167" s="158" t="n">
        <f aca="false">DY163+DY164-DY165</f>
        <v>0</v>
      </c>
      <c r="DZ167" s="158" t="n">
        <f aca="false">DZ163+DZ164-DZ165</f>
        <v>0</v>
      </c>
      <c r="EA167" s="158" t="n">
        <f aca="false">EA163+EA164-EA165</f>
        <v>0</v>
      </c>
      <c r="EB167" s="158" t="n">
        <f aca="false">EB163+EB164-EB165</f>
        <v>0</v>
      </c>
      <c r="EC167" s="158" t="n">
        <f aca="false">EC163+EC164-EC165</f>
        <v>0</v>
      </c>
      <c r="ED167" s="158" t="n">
        <f aca="false">ED163+ED164-ED165</f>
        <v>0</v>
      </c>
      <c r="EE167" s="158" t="n">
        <f aca="false">EE163+EE164-EE165</f>
        <v>0</v>
      </c>
      <c r="EF167" s="158" t="n">
        <f aca="false">EF163+EF164-EF165</f>
        <v>0</v>
      </c>
    </row>
    <row r="168" customFormat="false" ht="15" hidden="false" customHeight="false" outlineLevel="0" collapsed="false">
      <c r="A168" s="35" t="s">
        <v>617</v>
      </c>
      <c r="B168" s="241" t="s">
        <v>116</v>
      </c>
      <c r="C168" s="242" t="n">
        <f aca="false">SUM(E168:EF168)</f>
        <v>443763.146531994</v>
      </c>
      <c r="E168" s="158" t="n">
        <f aca="false">E158-E165-E166</f>
        <v>0</v>
      </c>
      <c r="F168" s="158" t="n">
        <f aca="false">F158-F165-F166</f>
        <v>0</v>
      </c>
      <c r="G168" s="158" t="n">
        <f aca="false">G158-G165-G166</f>
        <v>0</v>
      </c>
      <c r="H168" s="158" t="n">
        <f aca="false">H158-H165-H166</f>
        <v>0</v>
      </c>
      <c r="I168" s="158" t="n">
        <f aca="false">I158-I165-I166</f>
        <v>0</v>
      </c>
      <c r="J168" s="158" t="n">
        <f aca="false">J158-J165-J166</f>
        <v>0</v>
      </c>
      <c r="K168" s="158" t="n">
        <f aca="false">K158-K165-K166</f>
        <v>0</v>
      </c>
      <c r="L168" s="158" t="n">
        <f aca="false">L158-L165-L166</f>
        <v>0</v>
      </c>
      <c r="M168" s="158" t="n">
        <f aca="false">M158-M165-M166</f>
        <v>0</v>
      </c>
      <c r="N168" s="158" t="n">
        <f aca="false">N158-N165-N166</f>
        <v>0</v>
      </c>
      <c r="O168" s="158" t="n">
        <f aca="false">O158-O165-O166</f>
        <v>0</v>
      </c>
      <c r="P168" s="158" t="n">
        <f aca="false">P158-P165-P166</f>
        <v>0</v>
      </c>
      <c r="Q168" s="158" t="n">
        <f aca="false">Q158-Q165-Q166</f>
        <v>0</v>
      </c>
      <c r="R168" s="158" t="n">
        <f aca="false">R158-R165-R166</f>
        <v>0</v>
      </c>
      <c r="S168" s="158" t="n">
        <f aca="false">S158-S165-S166</f>
        <v>0</v>
      </c>
      <c r="T168" s="158" t="n">
        <f aca="false">T158-T165-T166</f>
        <v>0</v>
      </c>
      <c r="U168" s="158" t="n">
        <f aca="false">U158-U165-U166</f>
        <v>0</v>
      </c>
      <c r="V168" s="158" t="n">
        <f aca="false">V158-V165-V166</f>
        <v>0</v>
      </c>
      <c r="W168" s="158" t="n">
        <f aca="false">W158-W165-W166</f>
        <v>0</v>
      </c>
      <c r="X168" s="158" t="n">
        <f aca="false">X158-X165-X166</f>
        <v>0</v>
      </c>
      <c r="Y168" s="158" t="n">
        <f aca="false">Y158-Y165-Y166</f>
        <v>0</v>
      </c>
      <c r="Z168" s="158" t="n">
        <f aca="false">Z158-Z165-Z166</f>
        <v>0</v>
      </c>
      <c r="AA168" s="158" t="n">
        <f aca="false">AA158-AA165-AA166</f>
        <v>0</v>
      </c>
      <c r="AB168" s="158" t="n">
        <f aca="false">AB158-AB165-AB166</f>
        <v>0</v>
      </c>
      <c r="AC168" s="158" t="n">
        <f aca="false">AC158-AC165-AC166</f>
        <v>0</v>
      </c>
      <c r="AD168" s="158" t="n">
        <f aca="false">AD158-AD165-AD166</f>
        <v>0</v>
      </c>
      <c r="AE168" s="158" t="n">
        <f aca="false">AE158-AE165-AE166</f>
        <v>0</v>
      </c>
      <c r="AF168" s="158" t="n">
        <f aca="false">AF158-AF165-AF166</f>
        <v>0</v>
      </c>
      <c r="AG168" s="158" t="n">
        <f aca="false">AG158-AG165-AG166</f>
        <v>0</v>
      </c>
      <c r="AH168" s="158" t="n">
        <f aca="false">AH158-AH165-AH166</f>
        <v>0</v>
      </c>
      <c r="AI168" s="158" t="n">
        <f aca="false">AI158-AI165-AI166</f>
        <v>0</v>
      </c>
      <c r="AJ168" s="158" t="n">
        <f aca="false">AJ158-AJ165-AJ166</f>
        <v>0</v>
      </c>
      <c r="AK168" s="158" t="n">
        <f aca="false">AK158-AK165-AK166</f>
        <v>0</v>
      </c>
      <c r="AL168" s="158" t="n">
        <f aca="false">AL158-AL165-AL166</f>
        <v>0</v>
      </c>
      <c r="AM168" s="158" t="n">
        <f aca="false">AM158-AM165-AM166</f>
        <v>0</v>
      </c>
      <c r="AN168" s="158" t="n">
        <f aca="false">AN158-AN165-AN166</f>
        <v>0</v>
      </c>
      <c r="AO168" s="158" t="n">
        <f aca="false">AO158-AO165-AO166</f>
        <v>0</v>
      </c>
      <c r="AP168" s="158" t="n">
        <f aca="false">AP158-AP165-AP166</f>
        <v>0</v>
      </c>
      <c r="AQ168" s="158" t="n">
        <f aca="false">AQ158-AQ165-AQ166</f>
        <v>0</v>
      </c>
      <c r="AR168" s="158" t="n">
        <f aca="false">AR158-AR165-AR166</f>
        <v>0</v>
      </c>
      <c r="AS168" s="158" t="n">
        <f aca="false">AS158-AS165-AS166</f>
        <v>0</v>
      </c>
      <c r="AT168" s="158" t="n">
        <f aca="false">AT158-AT165-AT166</f>
        <v>0</v>
      </c>
      <c r="AU168" s="158" t="n">
        <f aca="false">AU158-AU165-AU166</f>
        <v>0</v>
      </c>
      <c r="AV168" s="158" t="n">
        <f aca="false">AV158-AV165-AV166</f>
        <v>0</v>
      </c>
      <c r="AW168" s="158" t="n">
        <f aca="false">AW158-AW165-AW166</f>
        <v>0</v>
      </c>
      <c r="AX168" s="158" t="n">
        <f aca="false">AX158-AX165-AX166</f>
        <v>0</v>
      </c>
      <c r="AY168" s="158" t="n">
        <f aca="false">AY158-AY165-AY166</f>
        <v>0</v>
      </c>
      <c r="AZ168" s="158" t="n">
        <f aca="false">AZ158-AZ165-AZ166</f>
        <v>0</v>
      </c>
      <c r="BA168" s="158" t="n">
        <f aca="false">BA158-BA165-BA166</f>
        <v>0</v>
      </c>
      <c r="BB168" s="158" t="n">
        <f aca="false">BB158-BB165-BB166</f>
        <v>0</v>
      </c>
      <c r="BC168" s="158" t="n">
        <f aca="false">BC158-BC165-BC166</f>
        <v>0</v>
      </c>
      <c r="BD168" s="158" t="n">
        <f aca="false">BD158-BD165-BD166</f>
        <v>0</v>
      </c>
      <c r="BE168" s="158" t="n">
        <f aca="false">BE158-BE165-BE166</f>
        <v>0</v>
      </c>
      <c r="BF168" s="158" t="n">
        <f aca="false">BF158-BF165-BF166</f>
        <v>0</v>
      </c>
      <c r="BG168" s="158" t="n">
        <f aca="false">BG158-BG165-BG166</f>
        <v>0</v>
      </c>
      <c r="BH168" s="158" t="n">
        <f aca="false">BH158-BH165-BH166</f>
        <v>0</v>
      </c>
      <c r="BI168" s="158" t="n">
        <f aca="false">BI158-BI165-BI166</f>
        <v>0</v>
      </c>
      <c r="BJ168" s="158" t="n">
        <f aca="false">BJ158-BJ165-BJ166</f>
        <v>0</v>
      </c>
      <c r="BK168" s="158" t="n">
        <f aca="false">BK158-BK165-BK166</f>
        <v>0</v>
      </c>
      <c r="BL168" s="158" t="n">
        <f aca="false">BL158-BL165-BL166</f>
        <v>0</v>
      </c>
      <c r="BM168" s="158" t="n">
        <f aca="false">BM158-BM165-BM166</f>
        <v>0</v>
      </c>
      <c r="BN168" s="158" t="n">
        <f aca="false">BN158-BN165-BN166</f>
        <v>0</v>
      </c>
      <c r="BO168" s="158" t="n">
        <f aca="false">BO158-BO165-BO166</f>
        <v>0</v>
      </c>
      <c r="BP168" s="158" t="n">
        <f aca="false">BP158-BP165-BP166</f>
        <v>0</v>
      </c>
      <c r="BQ168" s="158" t="n">
        <f aca="false">BQ158-BQ165-BQ166</f>
        <v>0</v>
      </c>
      <c r="BR168" s="158" t="n">
        <f aca="false">BR158-BR165-BR166</f>
        <v>0</v>
      </c>
      <c r="BS168" s="158" t="n">
        <f aca="false">BS158-BS165-BS166</f>
        <v>0</v>
      </c>
      <c r="BT168" s="158" t="n">
        <f aca="false">BT158-BT165-BT166</f>
        <v>0</v>
      </c>
      <c r="BU168" s="158" t="n">
        <f aca="false">BU158-BU165-BU166</f>
        <v>0</v>
      </c>
      <c r="BV168" s="158" t="n">
        <f aca="false">BV158-BV165-BV166</f>
        <v>0</v>
      </c>
      <c r="BW168" s="158" t="n">
        <f aca="false">BW158-BW165-BW166</f>
        <v>0</v>
      </c>
      <c r="BX168" s="158" t="n">
        <f aca="false">BX158-BX165-BX166</f>
        <v>0</v>
      </c>
      <c r="BY168" s="158" t="n">
        <f aca="false">BY158-BY165-BY166</f>
        <v>0</v>
      </c>
      <c r="BZ168" s="158" t="n">
        <f aca="false">BZ158-BZ165-BZ166</f>
        <v>0</v>
      </c>
      <c r="CA168" s="158" t="n">
        <f aca="false">CA158-CA165-CA166</f>
        <v>0</v>
      </c>
      <c r="CB168" s="158" t="n">
        <f aca="false">CB158-CB165-CB166</f>
        <v>0</v>
      </c>
      <c r="CC168" s="158" t="n">
        <f aca="false">CC158-CC165-CC166</f>
        <v>0</v>
      </c>
      <c r="CD168" s="158" t="n">
        <f aca="false">CD158-CD165-CD166</f>
        <v>0</v>
      </c>
      <c r="CE168" s="158" t="n">
        <f aca="false">CE158-CE165-CE166</f>
        <v>0</v>
      </c>
      <c r="CF168" s="158" t="n">
        <f aca="false">CF158-CF165-CF166</f>
        <v>0</v>
      </c>
      <c r="CG168" s="158" t="n">
        <f aca="false">CG158-CG165-CG166</f>
        <v>0</v>
      </c>
      <c r="CH168" s="158" t="n">
        <f aca="false">CH158-CH165-CH166</f>
        <v>0</v>
      </c>
      <c r="CI168" s="158" t="n">
        <f aca="false">CI158-CI165-CI166</f>
        <v>0</v>
      </c>
      <c r="CJ168" s="158" t="n">
        <f aca="false">CJ158-CJ165-CJ166</f>
        <v>0</v>
      </c>
      <c r="CK168" s="158" t="n">
        <f aca="false">CK158-CK165-CK166</f>
        <v>0</v>
      </c>
      <c r="CL168" s="158" t="n">
        <f aca="false">CL158-CL165-CL166</f>
        <v>0</v>
      </c>
      <c r="CM168" s="158" t="n">
        <f aca="false">CM158-CM165-CM166</f>
        <v>0</v>
      </c>
      <c r="CN168" s="158" t="n">
        <f aca="false">CN158-CN165-CN166</f>
        <v>0</v>
      </c>
      <c r="CO168" s="158" t="n">
        <f aca="false">CO158-CO165-CO166</f>
        <v>0</v>
      </c>
      <c r="CP168" s="158" t="n">
        <f aca="false">CP158-CP165-CP166</f>
        <v>0</v>
      </c>
      <c r="CQ168" s="158" t="n">
        <f aca="false">CQ158-CQ165-CQ166</f>
        <v>0</v>
      </c>
      <c r="CR168" s="158" t="n">
        <f aca="false">CR158-CR165-CR166</f>
        <v>0</v>
      </c>
      <c r="CS168" s="158" t="n">
        <f aca="false">CS158-CS165-CS166</f>
        <v>0</v>
      </c>
      <c r="CT168" s="158" t="n">
        <f aca="false">CT158-CT165-CT166</f>
        <v>0</v>
      </c>
      <c r="CU168" s="158" t="n">
        <f aca="false">CU158-CU165-CU166</f>
        <v>1411.87739333153</v>
      </c>
      <c r="CV168" s="158" t="n">
        <f aca="false">CV158-CV165-CV166</f>
        <v>1374.0789910493</v>
      </c>
      <c r="CW168" s="158" t="n">
        <f aca="false">CW158-CW165-CW166</f>
        <v>1769.80772390015</v>
      </c>
      <c r="CX168" s="158" t="n">
        <f aca="false">CX158-CX165-CX166</f>
        <v>1669.10520013658</v>
      </c>
      <c r="CY168" s="158" t="n">
        <f aca="false">CY158-CY165-CY166</f>
        <v>1769.80772390015</v>
      </c>
      <c r="CZ168" s="158" t="n">
        <f aca="false">CZ158-CZ165-CZ166</f>
        <v>1669.10520013658</v>
      </c>
      <c r="DA168" s="158" t="n">
        <f aca="false">DA158-DA165-DA166</f>
        <v>1769.80772390015</v>
      </c>
      <c r="DB168" s="158" t="n">
        <f aca="false">DB158-DB165-DB166</f>
        <v>1769.80772390015</v>
      </c>
      <c r="DC168" s="158" t="n">
        <f aca="false">DC158-DC165-DC166</f>
        <v>1669.10520013658</v>
      </c>
      <c r="DD168" s="158" t="n">
        <f aca="false">DD158-DD165-DD166</f>
        <v>1769.80772390015</v>
      </c>
      <c r="DE168" s="158" t="n">
        <f aca="false">DE158-DE165-DE166</f>
        <v>1669.10520013658</v>
      </c>
      <c r="DF168" s="158" t="n">
        <f aca="false">DF158-DF165-DF166</f>
        <v>1769.80772390015</v>
      </c>
      <c r="DG168" s="158" t="n">
        <f aca="false">DG158-DG165-DG166</f>
        <v>1769.80772390015</v>
      </c>
      <c r="DH168" s="158" t="n">
        <f aca="false">DH158-DH165-DH166</f>
        <v>1467.70015260946</v>
      </c>
      <c r="DI168" s="158" t="n">
        <f aca="false">DI158-DI165-DI166</f>
        <v>1871.34346011732</v>
      </c>
      <c r="DJ168" s="158" t="n">
        <f aca="false">DJ158-DJ165-DJ166</f>
        <v>1768.62688587849</v>
      </c>
      <c r="DK168" s="158" t="n">
        <f aca="false">DK158-DK165-DK166</f>
        <v>1871.34346011732</v>
      </c>
      <c r="DL168" s="158" t="n">
        <f aca="false">DL158-DL165-DL166</f>
        <v>1768.62688587849</v>
      </c>
      <c r="DM168" s="158" t="n">
        <f aca="false">DM158-DM165-DM166</f>
        <v>1871.34346011732</v>
      </c>
      <c r="DN168" s="158" t="n">
        <f aca="false">DN158-DN165-DN166</f>
        <v>1871.34346011732</v>
      </c>
      <c r="DO168" s="158" t="n">
        <f aca="false">DO158-DO165-DO166</f>
        <v>1768.62688587849</v>
      </c>
      <c r="DP168" s="158" t="n">
        <f aca="false">DP158-DP165-DP166</f>
        <v>1871.34346011732</v>
      </c>
      <c r="DQ168" s="158" t="n">
        <f aca="false">DQ158-DQ165-DQ166</f>
        <v>1768.62688587849</v>
      </c>
      <c r="DR168" s="158" t="n">
        <f aca="false">DR158-DR165-DR166</f>
        <v>1871.34346011732</v>
      </c>
      <c r="DS168" s="158" t="n">
        <f aca="false">DS158-DS165-DS166</f>
        <v>1871.34346011732</v>
      </c>
      <c r="DT168" s="158" t="n">
        <f aca="false">DT158-DT165-DT166</f>
        <v>0</v>
      </c>
      <c r="DU168" s="158" t="n">
        <f aca="false">DU158-DU165-DU166</f>
        <v>0</v>
      </c>
      <c r="DV168" s="158" t="n">
        <f aca="false">DV158-DV165-DV166</f>
        <v>0</v>
      </c>
      <c r="DW168" s="158" t="n">
        <f aca="false">DW158-DW165-DW166</f>
        <v>400270.503362821</v>
      </c>
      <c r="DX168" s="158" t="n">
        <f aca="false">DX158-DX165-DX166</f>
        <v>0</v>
      </c>
      <c r="DY168" s="158" t="n">
        <f aca="false">DY158-DY165-DY166</f>
        <v>0</v>
      </c>
      <c r="DZ168" s="158" t="n">
        <f aca="false">DZ158-DZ165-DZ166</f>
        <v>0</v>
      </c>
      <c r="EA168" s="158" t="n">
        <f aca="false">EA158-EA165-EA166</f>
        <v>0</v>
      </c>
      <c r="EB168" s="158" t="n">
        <f aca="false">EB158-EB165-EB166</f>
        <v>0</v>
      </c>
      <c r="EC168" s="158" t="n">
        <f aca="false">EC158-EC165-EC166</f>
        <v>0</v>
      </c>
      <c r="ED168" s="158" t="n">
        <f aca="false">ED158-ED165-ED166</f>
        <v>0</v>
      </c>
      <c r="EE168" s="158" t="n">
        <f aca="false">EE158-EE165-EE166</f>
        <v>0</v>
      </c>
      <c r="EF168" s="158" t="n">
        <f aca="false">EF158-EF165-EF166</f>
        <v>0</v>
      </c>
    </row>
    <row r="170" customFormat="false" ht="15" hidden="false" customHeight="false" outlineLevel="0" collapsed="false">
      <c r="A170" s="176" t="s">
        <v>618</v>
      </c>
      <c r="B170" s="86"/>
      <c r="C170" s="250" t="s">
        <v>619</v>
      </c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/>
      <c r="BK170" s="86"/>
      <c r="BL170" s="86"/>
      <c r="BM170" s="86"/>
      <c r="BN170" s="86"/>
      <c r="BO170" s="86"/>
      <c r="BP170" s="86"/>
      <c r="BQ170" s="86"/>
      <c r="BR170" s="86"/>
      <c r="BS170" s="86"/>
      <c r="BT170" s="86"/>
      <c r="BU170" s="86"/>
      <c r="BV170" s="86"/>
      <c r="BW170" s="86"/>
      <c r="BX170" s="86"/>
      <c r="BY170" s="86"/>
      <c r="BZ170" s="86"/>
      <c r="CA170" s="86"/>
      <c r="CB170" s="86"/>
      <c r="CC170" s="86"/>
      <c r="CD170" s="86"/>
      <c r="CE170" s="86"/>
      <c r="CF170" s="86"/>
      <c r="CG170" s="86"/>
      <c r="CH170" s="86"/>
      <c r="CI170" s="86"/>
      <c r="CJ170" s="86"/>
      <c r="CK170" s="86"/>
      <c r="CL170" s="86"/>
      <c r="CM170" s="86"/>
      <c r="CN170" s="86"/>
      <c r="CO170" s="86"/>
      <c r="CP170" s="86"/>
      <c r="CQ170" s="86"/>
      <c r="CR170" s="86"/>
      <c r="CS170" s="86"/>
      <c r="CT170" s="86"/>
      <c r="CU170" s="86"/>
      <c r="CV170" s="86"/>
      <c r="CW170" s="86"/>
      <c r="CX170" s="86"/>
      <c r="CY170" s="86"/>
      <c r="CZ170" s="86"/>
      <c r="DA170" s="86"/>
      <c r="DB170" s="86"/>
      <c r="DC170" s="86"/>
      <c r="DD170" s="86"/>
      <c r="DE170" s="86"/>
      <c r="DF170" s="86"/>
      <c r="DG170" s="86"/>
      <c r="DH170" s="86"/>
      <c r="DI170" s="86"/>
      <c r="DJ170" s="86"/>
      <c r="DK170" s="86"/>
      <c r="DL170" s="86"/>
      <c r="DM170" s="86"/>
      <c r="DN170" s="86"/>
      <c r="DO170" s="86"/>
      <c r="DP170" s="86"/>
      <c r="DQ170" s="86"/>
      <c r="DR170" s="86"/>
      <c r="DS170" s="86"/>
      <c r="DT170" s="86"/>
      <c r="DU170" s="86"/>
      <c r="DV170" s="86"/>
      <c r="DW170" s="86"/>
      <c r="DX170" s="86"/>
      <c r="DY170" s="86"/>
      <c r="DZ170" s="86"/>
      <c r="EA170" s="86"/>
      <c r="EB170" s="86"/>
      <c r="EC170" s="86"/>
      <c r="ED170" s="86"/>
      <c r="EE170" s="86"/>
      <c r="EF170" s="86"/>
    </row>
    <row r="171" customFormat="false" ht="15" hidden="false" customHeight="false" outlineLevel="0" collapsed="false">
      <c r="A171" s="35" t="s">
        <v>620</v>
      </c>
      <c r="B171" s="241" t="s">
        <v>116</v>
      </c>
      <c r="C171" s="251" t="n">
        <f aca="false">IFERROR((1+IRR(E171:EF171,0.01))^12-1,0)</f>
        <v>0.203927870290842</v>
      </c>
      <c r="E171" s="158" t="n">
        <f aca="false">-E140+E168</f>
        <v>-15820.1801474049</v>
      </c>
      <c r="F171" s="158" t="n">
        <f aca="false">-F140+F168</f>
        <v>0</v>
      </c>
      <c r="G171" s="158" t="n">
        <f aca="false">-G140+G168</f>
        <v>0</v>
      </c>
      <c r="H171" s="158" t="n">
        <f aca="false">-H140+H168</f>
        <v>0</v>
      </c>
      <c r="I171" s="158" t="n">
        <f aca="false">-I140+I168</f>
        <v>0</v>
      </c>
      <c r="J171" s="158" t="n">
        <f aca="false">-J140+J168</f>
        <v>0</v>
      </c>
      <c r="K171" s="158" t="n">
        <f aca="false">-K140+K168</f>
        <v>0</v>
      </c>
      <c r="L171" s="158" t="n">
        <f aca="false">-L140+L168</f>
        <v>0</v>
      </c>
      <c r="M171" s="158" t="n">
        <f aca="false">-M140+M168</f>
        <v>0</v>
      </c>
      <c r="N171" s="158" t="n">
        <f aca="false">-N140+N168</f>
        <v>0</v>
      </c>
      <c r="O171" s="158" t="n">
        <f aca="false">-O140+O168</f>
        <v>0</v>
      </c>
      <c r="P171" s="158" t="n">
        <f aca="false">-P140+P168</f>
        <v>0</v>
      </c>
      <c r="Q171" s="158" t="n">
        <f aca="false">-Q140+Q168</f>
        <v>0</v>
      </c>
      <c r="R171" s="158" t="n">
        <f aca="false">-R140+R168</f>
        <v>0</v>
      </c>
      <c r="S171" s="158" t="n">
        <f aca="false">-S140+S168</f>
        <v>0</v>
      </c>
      <c r="T171" s="158" t="n">
        <f aca="false">-T140+T168</f>
        <v>0</v>
      </c>
      <c r="U171" s="158" t="n">
        <f aca="false">-U140+U168</f>
        <v>0</v>
      </c>
      <c r="V171" s="158" t="n">
        <f aca="false">-V140+V168</f>
        <v>0</v>
      </c>
      <c r="W171" s="158" t="n">
        <f aca="false">-W140+W168</f>
        <v>-70393.3356422678</v>
      </c>
      <c r="X171" s="158" t="n">
        <f aca="false">-X140+X168</f>
        <v>0</v>
      </c>
      <c r="Y171" s="158" t="n">
        <f aca="false">-Y140+Y168</f>
        <v>0</v>
      </c>
      <c r="Z171" s="158" t="n">
        <f aca="false">-Z140+Z168</f>
        <v>0</v>
      </c>
      <c r="AA171" s="158" t="n">
        <f aca="false">-AA140+AA168</f>
        <v>0</v>
      </c>
      <c r="AB171" s="158" t="n">
        <f aca="false">-AB140+AB168</f>
        <v>0</v>
      </c>
      <c r="AC171" s="158" t="n">
        <f aca="false">-AC140+AC168</f>
        <v>0</v>
      </c>
      <c r="AD171" s="158" t="n">
        <f aca="false">-AD140+AD168</f>
        <v>0</v>
      </c>
      <c r="AE171" s="158" t="n">
        <f aca="false">-AE140+AE168</f>
        <v>0</v>
      </c>
      <c r="AF171" s="158" t="n">
        <f aca="false">-AF140+AF168</f>
        <v>0</v>
      </c>
      <c r="AG171" s="158" t="n">
        <f aca="false">-AG140+AG168</f>
        <v>0</v>
      </c>
      <c r="AH171" s="158" t="n">
        <f aca="false">-AH140+AH168</f>
        <v>0</v>
      </c>
      <c r="AI171" s="158" t="n">
        <f aca="false">-AI140+AI168</f>
        <v>0</v>
      </c>
      <c r="AJ171" s="158" t="n">
        <f aca="false">-AJ140+AJ168</f>
        <v>0</v>
      </c>
      <c r="AK171" s="158" t="n">
        <f aca="false">-AK140+AK168</f>
        <v>0</v>
      </c>
      <c r="AL171" s="158" t="n">
        <f aca="false">-AL140+AL168</f>
        <v>0</v>
      </c>
      <c r="AM171" s="158" t="n">
        <f aca="false">-AM140+AM168</f>
        <v>0</v>
      </c>
      <c r="AN171" s="158" t="n">
        <f aca="false">-AN140+AN168</f>
        <v>0</v>
      </c>
      <c r="AO171" s="158" t="n">
        <f aca="false">-AO140+AO168</f>
        <v>0</v>
      </c>
      <c r="AP171" s="158" t="n">
        <f aca="false">-AP140+AP168</f>
        <v>0</v>
      </c>
      <c r="AQ171" s="158" t="n">
        <f aca="false">-AQ140+AQ168</f>
        <v>0</v>
      </c>
      <c r="AR171" s="158" t="n">
        <f aca="false">-AR140+AR168</f>
        <v>0</v>
      </c>
      <c r="AS171" s="158" t="n">
        <f aca="false">-AS140+AS168</f>
        <v>0</v>
      </c>
      <c r="AT171" s="158" t="n">
        <f aca="false">-AT140+AT168</f>
        <v>0</v>
      </c>
      <c r="AU171" s="158" t="n">
        <f aca="false">-AU140+AU168</f>
        <v>0</v>
      </c>
      <c r="AV171" s="158" t="n">
        <f aca="false">-AV140+AV168</f>
        <v>0</v>
      </c>
      <c r="AW171" s="158" t="n">
        <f aca="false">-AW140+AW168</f>
        <v>0</v>
      </c>
      <c r="AX171" s="158" t="n">
        <f aca="false">-AX140+AX168</f>
        <v>0</v>
      </c>
      <c r="AY171" s="158" t="n">
        <f aca="false">-AY140+AY168</f>
        <v>0</v>
      </c>
      <c r="AZ171" s="158" t="n">
        <f aca="false">-AZ140+AZ168</f>
        <v>0</v>
      </c>
      <c r="BA171" s="158" t="n">
        <f aca="false">-BA140+BA168</f>
        <v>0</v>
      </c>
      <c r="BB171" s="158" t="n">
        <f aca="false">-BB140+BB168</f>
        <v>0</v>
      </c>
      <c r="BC171" s="158" t="n">
        <f aca="false">-BC140+BC168</f>
        <v>0</v>
      </c>
      <c r="BD171" s="158" t="n">
        <f aca="false">-BD140+BD168</f>
        <v>0</v>
      </c>
      <c r="BE171" s="158" t="n">
        <f aca="false">-BE140+BE168</f>
        <v>0</v>
      </c>
      <c r="BF171" s="158" t="n">
        <f aca="false">-BF140+BF168</f>
        <v>0</v>
      </c>
      <c r="BG171" s="158" t="n">
        <f aca="false">-BG140+BG168</f>
        <v>0</v>
      </c>
      <c r="BH171" s="158" t="n">
        <f aca="false">-BH140+BH168</f>
        <v>0</v>
      </c>
      <c r="BI171" s="158" t="n">
        <f aca="false">-BI140+BI168</f>
        <v>0</v>
      </c>
      <c r="BJ171" s="158" t="n">
        <f aca="false">-BJ140+BJ168</f>
        <v>0</v>
      </c>
      <c r="BK171" s="158" t="n">
        <f aca="false">-BK140+BK168</f>
        <v>0</v>
      </c>
      <c r="BL171" s="158" t="n">
        <f aca="false">-BL140+BL168</f>
        <v>0</v>
      </c>
      <c r="BM171" s="158" t="n">
        <f aca="false">-BM140+BM168</f>
        <v>0</v>
      </c>
      <c r="BN171" s="158" t="n">
        <f aca="false">-BN140+BN168</f>
        <v>0</v>
      </c>
      <c r="BO171" s="158" t="n">
        <f aca="false">-BO140+BO168</f>
        <v>0</v>
      </c>
      <c r="BP171" s="158" t="n">
        <f aca="false">-BP140+BP168</f>
        <v>0</v>
      </c>
      <c r="BQ171" s="158" t="n">
        <f aca="false">-BQ140+BQ168</f>
        <v>0</v>
      </c>
      <c r="BR171" s="158" t="n">
        <f aca="false">-BR140+BR168</f>
        <v>0</v>
      </c>
      <c r="BS171" s="158" t="n">
        <f aca="false">-BS140+BS168</f>
        <v>0</v>
      </c>
      <c r="BT171" s="158" t="n">
        <f aca="false">-BT140+BT168</f>
        <v>0</v>
      </c>
      <c r="BU171" s="158" t="n">
        <f aca="false">-BU140+BU168</f>
        <v>0</v>
      </c>
      <c r="BV171" s="158" t="n">
        <f aca="false">-BV140+BV168</f>
        <v>0</v>
      </c>
      <c r="BW171" s="158" t="n">
        <f aca="false">-BW140+BW168</f>
        <v>0</v>
      </c>
      <c r="BX171" s="158" t="n">
        <f aca="false">-BX140+BX168</f>
        <v>0</v>
      </c>
      <c r="BY171" s="158" t="n">
        <f aca="false">-BY140+BY168</f>
        <v>0</v>
      </c>
      <c r="BZ171" s="158" t="n">
        <f aca="false">-BZ140+BZ168</f>
        <v>0</v>
      </c>
      <c r="CA171" s="158" t="n">
        <f aca="false">-CA140+CA168</f>
        <v>0</v>
      </c>
      <c r="CB171" s="158" t="n">
        <f aca="false">-CB140+CB168</f>
        <v>0</v>
      </c>
      <c r="CC171" s="158" t="n">
        <f aca="false">-CC140+CC168</f>
        <v>0</v>
      </c>
      <c r="CD171" s="158" t="n">
        <f aca="false">-CD140+CD168</f>
        <v>0</v>
      </c>
      <c r="CE171" s="158" t="n">
        <f aca="false">-CE140+CE168</f>
        <v>0</v>
      </c>
      <c r="CF171" s="158" t="n">
        <f aca="false">-CF140+CF168</f>
        <v>0</v>
      </c>
      <c r="CG171" s="158" t="n">
        <f aca="false">-CG140+CG168</f>
        <v>0</v>
      </c>
      <c r="CH171" s="158" t="n">
        <f aca="false">-CH140+CH168</f>
        <v>0</v>
      </c>
      <c r="CI171" s="158" t="n">
        <f aca="false">-CI140+CI168</f>
        <v>0</v>
      </c>
      <c r="CJ171" s="158" t="n">
        <f aca="false">-CJ140+CJ168</f>
        <v>0</v>
      </c>
      <c r="CK171" s="158" t="n">
        <f aca="false">-CK140+CK168</f>
        <v>0</v>
      </c>
      <c r="CL171" s="158" t="n">
        <f aca="false">-CL140+CL168</f>
        <v>0</v>
      </c>
      <c r="CM171" s="158" t="n">
        <f aca="false">-CM140+CM168</f>
        <v>0</v>
      </c>
      <c r="CN171" s="158" t="n">
        <f aca="false">-CN140+CN168</f>
        <v>0</v>
      </c>
      <c r="CO171" s="158" t="n">
        <f aca="false">-CO140+CO168</f>
        <v>0</v>
      </c>
      <c r="CP171" s="158" t="n">
        <f aca="false">-CP140+CP168</f>
        <v>0</v>
      </c>
      <c r="CQ171" s="158" t="n">
        <f aca="false">-CQ140+CQ168</f>
        <v>0</v>
      </c>
      <c r="CR171" s="158" t="n">
        <f aca="false">-CR140+CR168</f>
        <v>0</v>
      </c>
      <c r="CS171" s="158" t="n">
        <f aca="false">-CS140+CS168</f>
        <v>0</v>
      </c>
      <c r="CT171" s="158" t="n">
        <f aca="false">-CT140+CT168</f>
        <v>0</v>
      </c>
      <c r="CU171" s="158" t="n">
        <f aca="false">-CU140+CU168</f>
        <v>1411.87739333153</v>
      </c>
      <c r="CV171" s="158" t="n">
        <f aca="false">-CV140+CV168</f>
        <v>1374.0789910493</v>
      </c>
      <c r="CW171" s="158" t="n">
        <f aca="false">-CW140+CW168</f>
        <v>1769.80772390015</v>
      </c>
      <c r="CX171" s="158" t="n">
        <f aca="false">-CX140+CX168</f>
        <v>1669.10520013658</v>
      </c>
      <c r="CY171" s="158" t="n">
        <f aca="false">-CY140+CY168</f>
        <v>1769.80772390015</v>
      </c>
      <c r="CZ171" s="158" t="n">
        <f aca="false">-CZ140+CZ168</f>
        <v>1669.10520013658</v>
      </c>
      <c r="DA171" s="158" t="n">
        <f aca="false">-DA140+DA168</f>
        <v>1769.80772390015</v>
      </c>
      <c r="DB171" s="158" t="n">
        <f aca="false">-DB140+DB168</f>
        <v>1769.80772390015</v>
      </c>
      <c r="DC171" s="158" t="n">
        <f aca="false">-DC140+DC168</f>
        <v>1669.10520013658</v>
      </c>
      <c r="DD171" s="158" t="n">
        <f aca="false">-DD140+DD168</f>
        <v>1769.80772390015</v>
      </c>
      <c r="DE171" s="158" t="n">
        <f aca="false">-DE140+DE168</f>
        <v>1669.10520013658</v>
      </c>
      <c r="DF171" s="158" t="n">
        <f aca="false">-DF140+DF168</f>
        <v>1769.80772390015</v>
      </c>
      <c r="DG171" s="158" t="n">
        <f aca="false">-DG140+DG168</f>
        <v>1769.80772390015</v>
      </c>
      <c r="DH171" s="158" t="n">
        <f aca="false">-DH140+DH168</f>
        <v>1467.70015260946</v>
      </c>
      <c r="DI171" s="158" t="n">
        <f aca="false">-DI140+DI168</f>
        <v>1871.34346011732</v>
      </c>
      <c r="DJ171" s="158" t="n">
        <f aca="false">-DJ140+DJ168</f>
        <v>1768.62688587849</v>
      </c>
      <c r="DK171" s="158" t="n">
        <f aca="false">-DK140+DK168</f>
        <v>1871.34346011732</v>
      </c>
      <c r="DL171" s="158" t="n">
        <f aca="false">-DL140+DL168</f>
        <v>1768.62688587849</v>
      </c>
      <c r="DM171" s="158" t="n">
        <f aca="false">-DM140+DM168</f>
        <v>1871.34346011732</v>
      </c>
      <c r="DN171" s="158" t="n">
        <f aca="false">-DN140+DN168</f>
        <v>1871.34346011732</v>
      </c>
      <c r="DO171" s="158" t="n">
        <f aca="false">-DO140+DO168</f>
        <v>1768.62688587849</v>
      </c>
      <c r="DP171" s="158" t="n">
        <f aca="false">-DP140+DP168</f>
        <v>1871.34346011732</v>
      </c>
      <c r="DQ171" s="158" t="n">
        <f aca="false">-DQ140+DQ168</f>
        <v>1768.62688587849</v>
      </c>
      <c r="DR171" s="158" t="n">
        <f aca="false">-DR140+DR168</f>
        <v>1871.34346011732</v>
      </c>
      <c r="DS171" s="158" t="n">
        <f aca="false">-DS140+DS168</f>
        <v>1871.34346011732</v>
      </c>
      <c r="DT171" s="158" t="n">
        <f aca="false">-DT140+DT168</f>
        <v>0</v>
      </c>
      <c r="DU171" s="158" t="n">
        <f aca="false">-DU140+DU168</f>
        <v>0</v>
      </c>
      <c r="DV171" s="158" t="n">
        <f aca="false">-DV140+DV168</f>
        <v>0</v>
      </c>
      <c r="DW171" s="158" t="n">
        <f aca="false">-DW140+DW168</f>
        <v>400270.503362821</v>
      </c>
      <c r="DX171" s="158" t="n">
        <f aca="false">-DX140+DX168</f>
        <v>0</v>
      </c>
      <c r="DY171" s="158" t="n">
        <f aca="false">-DY140+DY168</f>
        <v>0</v>
      </c>
      <c r="DZ171" s="158" t="n">
        <f aca="false">-DZ140+DZ168</f>
        <v>0</v>
      </c>
      <c r="EA171" s="158" t="n">
        <f aca="false">-EA140+EA168</f>
        <v>0</v>
      </c>
      <c r="EB171" s="158" t="n">
        <f aca="false">-EB140+EB168</f>
        <v>0</v>
      </c>
      <c r="EC171" s="158" t="n">
        <f aca="false">-EC140+EC168</f>
        <v>0</v>
      </c>
      <c r="ED171" s="158" t="n">
        <f aca="false">-ED140+ED168</f>
        <v>0</v>
      </c>
      <c r="EE171" s="158" t="n">
        <f aca="false">-EE140+EE168</f>
        <v>0</v>
      </c>
      <c r="EF171" s="158" t="n">
        <f aca="false">-EF140+EF168</f>
        <v>0</v>
      </c>
    </row>
    <row r="172" customFormat="false" ht="15" hidden="false" customHeight="false" outlineLevel="0" collapsed="false">
      <c r="A172" s="35" t="s">
        <v>621</v>
      </c>
      <c r="B172" s="241" t="s">
        <v>116</v>
      </c>
      <c r="C172" s="251" t="n">
        <f aca="false">IFERROR((1+IRR(E172:EF172,0.01))^12-1,0)</f>
        <v>0.0499999999985936</v>
      </c>
      <c r="E172" s="158" t="n">
        <f aca="false">-E141+E165+E166</f>
        <v>0</v>
      </c>
      <c r="F172" s="158" t="n">
        <f aca="false">-F141+F165+F166</f>
        <v>0</v>
      </c>
      <c r="G172" s="158" t="n">
        <f aca="false">-G141+G165+G166</f>
        <v>0</v>
      </c>
      <c r="H172" s="158" t="n">
        <f aca="false">-H141+H165+H166</f>
        <v>0</v>
      </c>
      <c r="I172" s="158" t="n">
        <f aca="false">-I141+I165+I166</f>
        <v>0</v>
      </c>
      <c r="J172" s="158" t="n">
        <f aca="false">-J141+J165+J166</f>
        <v>0</v>
      </c>
      <c r="K172" s="158" t="n">
        <f aca="false">-K141+K165+K166</f>
        <v>0</v>
      </c>
      <c r="L172" s="158" t="n">
        <f aca="false">-L141+L165+L166</f>
        <v>0</v>
      </c>
      <c r="M172" s="158" t="n">
        <f aca="false">-M141+M165+M166</f>
        <v>0</v>
      </c>
      <c r="N172" s="158" t="n">
        <f aca="false">-N141+N165+N166</f>
        <v>0</v>
      </c>
      <c r="O172" s="158" t="n">
        <f aca="false">-O141+O165+O166</f>
        <v>0</v>
      </c>
      <c r="P172" s="158" t="n">
        <f aca="false">-P141+P165+P166</f>
        <v>0</v>
      </c>
      <c r="Q172" s="158" t="n">
        <f aca="false">-Q141+Q165+Q166</f>
        <v>0</v>
      </c>
      <c r="R172" s="158" t="n">
        <f aca="false">-R141+R165+R166</f>
        <v>0</v>
      </c>
      <c r="S172" s="158" t="n">
        <f aca="false">-S141+S165+S166</f>
        <v>0</v>
      </c>
      <c r="T172" s="158" t="n">
        <f aca="false">-T141+T165+T166</f>
        <v>0</v>
      </c>
      <c r="U172" s="158" t="n">
        <f aca="false">-U141+U165+U166</f>
        <v>0</v>
      </c>
      <c r="V172" s="158" t="n">
        <f aca="false">-V141+V165+V166</f>
        <v>0</v>
      </c>
      <c r="W172" s="158" t="n">
        <f aca="false">-W141+W165+W166</f>
        <v>-201164.870175903</v>
      </c>
      <c r="X172" s="158" t="n">
        <f aca="false">-X141+X165+X166</f>
        <v>0</v>
      </c>
      <c r="Y172" s="158" t="n">
        <f aca="false">-Y141+Y165+Y166</f>
        <v>0</v>
      </c>
      <c r="Z172" s="158" t="n">
        <f aca="false">-Z141+Z165+Z166</f>
        <v>0</v>
      </c>
      <c r="AA172" s="158" t="n">
        <f aca="false">-AA141+AA165+AA166</f>
        <v>0</v>
      </c>
      <c r="AB172" s="158" t="n">
        <f aca="false">-AB141+AB165+AB166</f>
        <v>0</v>
      </c>
      <c r="AC172" s="158" t="n">
        <f aca="false">-AC141+AC165+AC166</f>
        <v>0</v>
      </c>
      <c r="AD172" s="158" t="n">
        <f aca="false">-AD141+AD165+AD166</f>
        <v>0</v>
      </c>
      <c r="AE172" s="158" t="n">
        <f aca="false">-AE141+AE165+AE166</f>
        <v>0</v>
      </c>
      <c r="AF172" s="158" t="n">
        <f aca="false">-AF141+AF165+AF166</f>
        <v>0</v>
      </c>
      <c r="AG172" s="158" t="n">
        <f aca="false">-AG141+AG165+AG166</f>
        <v>0</v>
      </c>
      <c r="AH172" s="158" t="n">
        <f aca="false">-AH141+AH165+AH166</f>
        <v>0</v>
      </c>
      <c r="AI172" s="158" t="n">
        <f aca="false">-AI141+AI165+AI166</f>
        <v>0</v>
      </c>
      <c r="AJ172" s="158" t="n">
        <f aca="false">-AJ141+AJ165+AJ166</f>
        <v>0</v>
      </c>
      <c r="AK172" s="158" t="n">
        <f aca="false">-AK141+AK165+AK166</f>
        <v>0</v>
      </c>
      <c r="AL172" s="158" t="n">
        <f aca="false">-AL141+AL165+AL166</f>
        <v>0</v>
      </c>
      <c r="AM172" s="158" t="n">
        <f aca="false">-AM141+AM165+AM166</f>
        <v>0</v>
      </c>
      <c r="AN172" s="158" t="n">
        <f aca="false">-AN141+AN165+AN166</f>
        <v>0</v>
      </c>
      <c r="AO172" s="158" t="n">
        <f aca="false">-AO141+AO165+AO166</f>
        <v>0</v>
      </c>
      <c r="AP172" s="158" t="n">
        <f aca="false">-AP141+AP165+AP166</f>
        <v>0</v>
      </c>
      <c r="AQ172" s="158" t="n">
        <f aca="false">-AQ141+AQ165+AQ166</f>
        <v>0</v>
      </c>
      <c r="AR172" s="158" t="n">
        <f aca="false">-AR141+AR165+AR166</f>
        <v>0</v>
      </c>
      <c r="AS172" s="158" t="n">
        <f aca="false">-AS141+AS165+AS166</f>
        <v>0</v>
      </c>
      <c r="AT172" s="158" t="n">
        <f aca="false">-AT141+AT165+AT166</f>
        <v>0</v>
      </c>
      <c r="AU172" s="158" t="n">
        <f aca="false">-AU141+AU165+AU166</f>
        <v>0</v>
      </c>
      <c r="AV172" s="158" t="n">
        <f aca="false">-AV141+AV165+AV166</f>
        <v>0</v>
      </c>
      <c r="AW172" s="158" t="n">
        <f aca="false">-AW141+AW165+AW166</f>
        <v>0</v>
      </c>
      <c r="AX172" s="158" t="n">
        <f aca="false">-AX141+AX165+AX166</f>
        <v>0</v>
      </c>
      <c r="AY172" s="158" t="n">
        <f aca="false">-AY141+AY165+AY166</f>
        <v>0</v>
      </c>
      <c r="AZ172" s="158" t="n">
        <f aca="false">-AZ141+AZ165+AZ166</f>
        <v>0</v>
      </c>
      <c r="BA172" s="158" t="n">
        <f aca="false">-BA141+BA165+BA166</f>
        <v>0</v>
      </c>
      <c r="BB172" s="158" t="n">
        <f aca="false">-BB141+BB165+BB166</f>
        <v>0</v>
      </c>
      <c r="BC172" s="158" t="n">
        <f aca="false">-BC141+BC165+BC166</f>
        <v>0</v>
      </c>
      <c r="BD172" s="158" t="n">
        <f aca="false">-BD141+BD165+BD166</f>
        <v>0</v>
      </c>
      <c r="BE172" s="158" t="n">
        <f aca="false">-BE141+BE165+BE166</f>
        <v>0</v>
      </c>
      <c r="BF172" s="158" t="n">
        <f aca="false">-BF141+BF165+BF166</f>
        <v>0</v>
      </c>
      <c r="BG172" s="158" t="n">
        <f aca="false">-BG141+BG165+BG166</f>
        <v>0</v>
      </c>
      <c r="BH172" s="158" t="n">
        <f aca="false">-BH141+BH165+BH166</f>
        <v>0</v>
      </c>
      <c r="BI172" s="158" t="n">
        <f aca="false">-BI141+BI165+BI166</f>
        <v>0</v>
      </c>
      <c r="BJ172" s="158" t="n">
        <f aca="false">-BJ141+BJ165+BJ166</f>
        <v>0</v>
      </c>
      <c r="BK172" s="158" t="n">
        <f aca="false">-BK141+BK165+BK166</f>
        <v>0</v>
      </c>
      <c r="BL172" s="158" t="n">
        <f aca="false">-BL141+BL165+BL166</f>
        <v>0</v>
      </c>
      <c r="BM172" s="158" t="n">
        <f aca="false">-BM141+BM165+BM166</f>
        <v>5444.19228170977</v>
      </c>
      <c r="BN172" s="158" t="n">
        <f aca="false">-BN141+BN165+BN166</f>
        <v>880.111144401344</v>
      </c>
      <c r="BO172" s="158" t="n">
        <f aca="false">-BO141+BO165+BO166</f>
        <v>962.352816717315</v>
      </c>
      <c r="BP172" s="158" t="n">
        <f aca="false">-BP141+BP165+BP166</f>
        <v>880.111144401344</v>
      </c>
      <c r="BQ172" s="158" t="n">
        <f aca="false">-BQ141+BQ165+BQ166</f>
        <v>962.352816717315</v>
      </c>
      <c r="BR172" s="158" t="n">
        <f aca="false">-BR141+BR165+BR166</f>
        <v>962.352816717315</v>
      </c>
      <c r="BS172" s="158" t="n">
        <f aca="false">-BS141+BS165+BS166</f>
        <v>880.111144401343</v>
      </c>
      <c r="BT172" s="158" t="n">
        <f aca="false">-BT141+BT165+BT166</f>
        <v>962.352816717315</v>
      </c>
      <c r="BU172" s="158" t="n">
        <f aca="false">-BU141+BU165+BU166</f>
        <v>880.111144401343</v>
      </c>
      <c r="BV172" s="158" t="n">
        <f aca="false">-BV141+BV165+BV166</f>
        <v>962.352816717315</v>
      </c>
      <c r="BW172" s="158" t="n">
        <f aca="false">-BW141+BW165+BW166</f>
        <v>962.352816717315</v>
      </c>
      <c r="BX172" s="158" t="n">
        <f aca="false">-BX141+BX165+BX166</f>
        <v>797.869472085372</v>
      </c>
      <c r="BY172" s="158" t="n">
        <f aca="false">-BY141+BY165+BY166</f>
        <v>1958.19168665776</v>
      </c>
      <c r="BZ172" s="158" t="n">
        <f aca="false">-BZ141+BZ165+BZ166</f>
        <v>2266.29836462435</v>
      </c>
      <c r="CA172" s="158" t="n">
        <f aca="false">-CA141+CA165+CA166</f>
        <v>2363.09048665776</v>
      </c>
      <c r="CB172" s="158" t="n">
        <f aca="false">-CB141+CB165+CB166</f>
        <v>2266.29836462435</v>
      </c>
      <c r="CC172" s="158" t="n">
        <f aca="false">-CC141+CC165+CC166</f>
        <v>2363.09048665776</v>
      </c>
      <c r="CD172" s="158" t="n">
        <f aca="false">-CD141+CD165+CD166</f>
        <v>2363.09048665776</v>
      </c>
      <c r="CE172" s="158" t="n">
        <f aca="false">-CE141+CE165+CE166</f>
        <v>2266.29836462435</v>
      </c>
      <c r="CF172" s="158" t="n">
        <f aca="false">-CF141+CF165+CF166</f>
        <v>2363.09048665776</v>
      </c>
      <c r="CG172" s="158" t="n">
        <f aca="false">-CG141+CG165+CG166</f>
        <v>2266.29836462435</v>
      </c>
      <c r="CH172" s="158" t="n">
        <f aca="false">-CH141+CH165+CH166</f>
        <v>2363.09048665776</v>
      </c>
      <c r="CI172" s="158" t="n">
        <f aca="false">-CI141+CI165+CI166</f>
        <v>2363.09048665776</v>
      </c>
      <c r="CJ172" s="158" t="n">
        <f aca="false">-CJ141+CJ165+CJ166</f>
        <v>2072.71412055752</v>
      </c>
      <c r="CK172" s="158" t="n">
        <f aca="false">-CK141+CK165+CK166</f>
        <v>2460.68346648972</v>
      </c>
      <c r="CL172" s="158" t="n">
        <f aca="false">-CL141+CL165+CL166</f>
        <v>2391.10550201564</v>
      </c>
      <c r="CM172" s="158" t="n">
        <f aca="false">-CM141+CM165+CM166</f>
        <v>2489.83346648972</v>
      </c>
      <c r="CN172" s="158" t="n">
        <f aca="false">-CN141+CN165+CN166</f>
        <v>2391.10550201564</v>
      </c>
      <c r="CO172" s="158" t="n">
        <f aca="false">-CO141+CO165+CO166</f>
        <v>2489.83346648972</v>
      </c>
      <c r="CP172" s="158" t="n">
        <f aca="false">-CP141+CP165+CP166</f>
        <v>2489.83346648972</v>
      </c>
      <c r="CQ172" s="158" t="n">
        <f aca="false">-CQ141+CQ165+CQ166</f>
        <v>2391.10550201564</v>
      </c>
      <c r="CR172" s="158" t="n">
        <f aca="false">-CR141+CR165+CR166</f>
        <v>2489.83346648972</v>
      </c>
      <c r="CS172" s="158" t="n">
        <f aca="false">-CS141+CS165+CS166</f>
        <v>2391.10550201564</v>
      </c>
      <c r="CT172" s="158" t="n">
        <f aca="false">-CT141+CT165+CT166</f>
        <v>2489.83346648972</v>
      </c>
      <c r="CU172" s="158" t="n">
        <f aca="false">-CU141+CU165+CU166</f>
        <v>1077.9560731582</v>
      </c>
      <c r="CV172" s="158" t="n">
        <f aca="false">-CV141+CV165+CV166</f>
        <v>819.57058201818</v>
      </c>
      <c r="CW172" s="158" t="n">
        <f aca="false">-CW141+CW165+CW166</f>
        <v>819.57058201818</v>
      </c>
      <c r="CX172" s="158" t="n">
        <f aca="false">-CX141+CX165+CX166</f>
        <v>819.57058201818</v>
      </c>
      <c r="CY172" s="158" t="n">
        <f aca="false">-CY141+CY165+CY166</f>
        <v>819.57058201818</v>
      </c>
      <c r="CZ172" s="158" t="n">
        <f aca="false">-CZ141+CZ165+CZ166</f>
        <v>819.57058201818</v>
      </c>
      <c r="DA172" s="158" t="n">
        <f aca="false">-DA141+DA165+DA166</f>
        <v>819.57058201818</v>
      </c>
      <c r="DB172" s="158" t="n">
        <f aca="false">-DB141+DB165+DB166</f>
        <v>819.57058201818</v>
      </c>
      <c r="DC172" s="158" t="n">
        <f aca="false">-DC141+DC165+DC166</f>
        <v>819.57058201818</v>
      </c>
      <c r="DD172" s="158" t="n">
        <f aca="false">-DD141+DD165+DD166</f>
        <v>819.57058201818</v>
      </c>
      <c r="DE172" s="158" t="n">
        <f aca="false">-DE141+DE165+DE166</f>
        <v>819.57058201818</v>
      </c>
      <c r="DF172" s="158" t="n">
        <f aca="false">-DF141+DF165+DF166</f>
        <v>819.57058201818</v>
      </c>
      <c r="DG172" s="158" t="n">
        <f aca="false">-DG141+DG165+DG166</f>
        <v>819.57058201818</v>
      </c>
      <c r="DH172" s="158" t="n">
        <f aca="false">-DH141+DH165+DH166</f>
        <v>819.57058201818</v>
      </c>
      <c r="DI172" s="158" t="n">
        <f aca="false">-DI141+DI165+DI166</f>
        <v>819.57058201818</v>
      </c>
      <c r="DJ172" s="158" t="n">
        <f aca="false">-DJ141+DJ165+DJ166</f>
        <v>819.57058201818</v>
      </c>
      <c r="DK172" s="158" t="n">
        <f aca="false">-DK141+DK165+DK166</f>
        <v>819.57058201818</v>
      </c>
      <c r="DL172" s="158" t="n">
        <f aca="false">-DL141+DL165+DL166</f>
        <v>819.57058201818</v>
      </c>
      <c r="DM172" s="158" t="n">
        <f aca="false">-DM141+DM165+DM166</f>
        <v>819.57058201818</v>
      </c>
      <c r="DN172" s="158" t="n">
        <f aca="false">-DN141+DN165+DN166</f>
        <v>819.57058201818</v>
      </c>
      <c r="DO172" s="158" t="n">
        <f aca="false">-DO141+DO165+DO166</f>
        <v>819.57058201818</v>
      </c>
      <c r="DP172" s="158" t="n">
        <f aca="false">-DP141+DP165+DP166</f>
        <v>819.57058201818</v>
      </c>
      <c r="DQ172" s="158" t="n">
        <f aca="false">-DQ141+DQ165+DQ166</f>
        <v>819.57058201818</v>
      </c>
      <c r="DR172" s="158" t="n">
        <f aca="false">-DR141+DR165+DR166</f>
        <v>819.57058201818</v>
      </c>
      <c r="DS172" s="158" t="n">
        <f aca="false">-DS141+DS165+DS166</f>
        <v>819.57058201818</v>
      </c>
      <c r="DT172" s="158" t="n">
        <f aca="false">-DT141+DT165+DT166</f>
        <v>0</v>
      </c>
      <c r="DU172" s="158" t="n">
        <f aca="false">-DU141+DU165+DU166</f>
        <v>0</v>
      </c>
      <c r="DV172" s="158" t="n">
        <f aca="false">-DV141+DV165+DV166</f>
        <v>0</v>
      </c>
      <c r="DW172" s="158" t="n">
        <f aca="false">-DW141+DW165+DW166</f>
        <v>204463.241165921</v>
      </c>
      <c r="DX172" s="158" t="n">
        <f aca="false">-DX141+DX165+DX166</f>
        <v>0</v>
      </c>
      <c r="DY172" s="158" t="n">
        <f aca="false">-DY141+DY165+DY166</f>
        <v>0</v>
      </c>
      <c r="DZ172" s="158" t="n">
        <f aca="false">-DZ141+DZ165+DZ166</f>
        <v>0</v>
      </c>
      <c r="EA172" s="158" t="n">
        <f aca="false">-EA141+EA165+EA166</f>
        <v>0</v>
      </c>
      <c r="EB172" s="158" t="n">
        <f aca="false">-EB141+EB165+EB166</f>
        <v>0</v>
      </c>
      <c r="EC172" s="158" t="n">
        <f aca="false">-EC141+EC165+EC166</f>
        <v>0</v>
      </c>
      <c r="ED172" s="158" t="n">
        <f aca="false">-ED141+ED165+ED166</f>
        <v>0</v>
      </c>
      <c r="EE172" s="158" t="n">
        <f aca="false">-EE141+EE165+EE166</f>
        <v>0</v>
      </c>
      <c r="EF172" s="158" t="n">
        <f aca="false">-EF141+EF165+EF166</f>
        <v>0</v>
      </c>
    </row>
    <row r="173" customFormat="false" ht="15" hidden="false" customHeight="false" outlineLevel="0" collapsed="false">
      <c r="A173" s="243" t="s">
        <v>622</v>
      </c>
      <c r="B173" s="244" t="s">
        <v>116</v>
      </c>
      <c r="C173" s="252" t="n">
        <f aca="false">IFERROR((1+IRR(E173:EF173,0.01))^12-1,0)</f>
        <v>0.121116349565578</v>
      </c>
      <c r="D173" s="13"/>
      <c r="E173" s="246" t="n">
        <f aca="false">E171+E172</f>
        <v>-15820.1801474049</v>
      </c>
      <c r="F173" s="246" t="n">
        <f aca="false">F171+F172</f>
        <v>0</v>
      </c>
      <c r="G173" s="246" t="n">
        <f aca="false">G171+G172</f>
        <v>0</v>
      </c>
      <c r="H173" s="246" t="n">
        <f aca="false">H171+H172</f>
        <v>0</v>
      </c>
      <c r="I173" s="246" t="n">
        <f aca="false">I171+I172</f>
        <v>0</v>
      </c>
      <c r="J173" s="246" t="n">
        <f aca="false">J171+J172</f>
        <v>0</v>
      </c>
      <c r="K173" s="246" t="n">
        <f aca="false">K171+K172</f>
        <v>0</v>
      </c>
      <c r="L173" s="246" t="n">
        <f aca="false">L171+L172</f>
        <v>0</v>
      </c>
      <c r="M173" s="246" t="n">
        <f aca="false">M171+M172</f>
        <v>0</v>
      </c>
      <c r="N173" s="246" t="n">
        <f aca="false">N171+N172</f>
        <v>0</v>
      </c>
      <c r="O173" s="246" t="n">
        <f aca="false">O171+O172</f>
        <v>0</v>
      </c>
      <c r="P173" s="246" t="n">
        <f aca="false">P171+P172</f>
        <v>0</v>
      </c>
      <c r="Q173" s="246" t="n">
        <f aca="false">Q171+Q172</f>
        <v>0</v>
      </c>
      <c r="R173" s="246" t="n">
        <f aca="false">R171+R172</f>
        <v>0</v>
      </c>
      <c r="S173" s="246" t="n">
        <f aca="false">S171+S172</f>
        <v>0</v>
      </c>
      <c r="T173" s="246" t="n">
        <f aca="false">T171+T172</f>
        <v>0</v>
      </c>
      <c r="U173" s="246" t="n">
        <f aca="false">U171+U172</f>
        <v>0</v>
      </c>
      <c r="V173" s="246" t="n">
        <f aca="false">V171+V172</f>
        <v>0</v>
      </c>
      <c r="W173" s="246" t="n">
        <f aca="false">W171+W172</f>
        <v>-271558.205818171</v>
      </c>
      <c r="X173" s="246" t="n">
        <f aca="false">X171+X172</f>
        <v>0</v>
      </c>
      <c r="Y173" s="246" t="n">
        <f aca="false">Y171+Y172</f>
        <v>0</v>
      </c>
      <c r="Z173" s="246" t="n">
        <f aca="false">Z171+Z172</f>
        <v>0</v>
      </c>
      <c r="AA173" s="246" t="n">
        <f aca="false">AA171+AA172</f>
        <v>0</v>
      </c>
      <c r="AB173" s="246" t="n">
        <f aca="false">AB171+AB172</f>
        <v>0</v>
      </c>
      <c r="AC173" s="246" t="n">
        <f aca="false">AC171+AC172</f>
        <v>0</v>
      </c>
      <c r="AD173" s="246" t="n">
        <f aca="false">AD171+AD172</f>
        <v>0</v>
      </c>
      <c r="AE173" s="246" t="n">
        <f aca="false">AE171+AE172</f>
        <v>0</v>
      </c>
      <c r="AF173" s="246" t="n">
        <f aca="false">AF171+AF172</f>
        <v>0</v>
      </c>
      <c r="AG173" s="246" t="n">
        <f aca="false">AG171+AG172</f>
        <v>0</v>
      </c>
      <c r="AH173" s="246" t="n">
        <f aca="false">AH171+AH172</f>
        <v>0</v>
      </c>
      <c r="AI173" s="246" t="n">
        <f aca="false">AI171+AI172</f>
        <v>0</v>
      </c>
      <c r="AJ173" s="246" t="n">
        <f aca="false">AJ171+AJ172</f>
        <v>0</v>
      </c>
      <c r="AK173" s="246" t="n">
        <f aca="false">AK171+AK172</f>
        <v>0</v>
      </c>
      <c r="AL173" s="246" t="n">
        <f aca="false">AL171+AL172</f>
        <v>0</v>
      </c>
      <c r="AM173" s="246" t="n">
        <f aca="false">AM171+AM172</f>
        <v>0</v>
      </c>
      <c r="AN173" s="246" t="n">
        <f aca="false">AN171+AN172</f>
        <v>0</v>
      </c>
      <c r="AO173" s="246" t="n">
        <f aca="false">AO171+AO172</f>
        <v>0</v>
      </c>
      <c r="AP173" s="246" t="n">
        <f aca="false">AP171+AP172</f>
        <v>0</v>
      </c>
      <c r="AQ173" s="246" t="n">
        <f aca="false">AQ171+AQ172</f>
        <v>0</v>
      </c>
      <c r="AR173" s="246" t="n">
        <f aca="false">AR171+AR172</f>
        <v>0</v>
      </c>
      <c r="AS173" s="246" t="n">
        <f aca="false">AS171+AS172</f>
        <v>0</v>
      </c>
      <c r="AT173" s="246" t="n">
        <f aca="false">AT171+AT172</f>
        <v>0</v>
      </c>
      <c r="AU173" s="246" t="n">
        <f aca="false">AU171+AU172</f>
        <v>0</v>
      </c>
      <c r="AV173" s="246" t="n">
        <f aca="false">AV171+AV172</f>
        <v>0</v>
      </c>
      <c r="AW173" s="246" t="n">
        <f aca="false">AW171+AW172</f>
        <v>0</v>
      </c>
      <c r="AX173" s="246" t="n">
        <f aca="false">AX171+AX172</f>
        <v>0</v>
      </c>
      <c r="AY173" s="246" t="n">
        <f aca="false">AY171+AY172</f>
        <v>0</v>
      </c>
      <c r="AZ173" s="246" t="n">
        <f aca="false">AZ171+AZ172</f>
        <v>0</v>
      </c>
      <c r="BA173" s="246" t="n">
        <f aca="false">BA171+BA172</f>
        <v>0</v>
      </c>
      <c r="BB173" s="246" t="n">
        <f aca="false">BB171+BB172</f>
        <v>0</v>
      </c>
      <c r="BC173" s="246" t="n">
        <f aca="false">BC171+BC172</f>
        <v>0</v>
      </c>
      <c r="BD173" s="246" t="n">
        <f aca="false">BD171+BD172</f>
        <v>0</v>
      </c>
      <c r="BE173" s="246" t="n">
        <f aca="false">BE171+BE172</f>
        <v>0</v>
      </c>
      <c r="BF173" s="246" t="n">
        <f aca="false">BF171+BF172</f>
        <v>0</v>
      </c>
      <c r="BG173" s="246" t="n">
        <f aca="false">BG171+BG172</f>
        <v>0</v>
      </c>
      <c r="BH173" s="246" t="n">
        <f aca="false">BH171+BH172</f>
        <v>0</v>
      </c>
      <c r="BI173" s="246" t="n">
        <f aca="false">BI171+BI172</f>
        <v>0</v>
      </c>
      <c r="BJ173" s="246" t="n">
        <f aca="false">BJ171+BJ172</f>
        <v>0</v>
      </c>
      <c r="BK173" s="246" t="n">
        <f aca="false">BK171+BK172</f>
        <v>0</v>
      </c>
      <c r="BL173" s="246" t="n">
        <f aca="false">BL171+BL172</f>
        <v>0</v>
      </c>
      <c r="BM173" s="246" t="n">
        <f aca="false">BM171+BM172</f>
        <v>5444.19228170977</v>
      </c>
      <c r="BN173" s="246" t="n">
        <f aca="false">BN171+BN172</f>
        <v>880.111144401344</v>
      </c>
      <c r="BO173" s="246" t="n">
        <f aca="false">BO171+BO172</f>
        <v>962.352816717315</v>
      </c>
      <c r="BP173" s="246" t="n">
        <f aca="false">BP171+BP172</f>
        <v>880.111144401344</v>
      </c>
      <c r="BQ173" s="246" t="n">
        <f aca="false">BQ171+BQ172</f>
        <v>962.352816717315</v>
      </c>
      <c r="BR173" s="246" t="n">
        <f aca="false">BR171+BR172</f>
        <v>962.352816717315</v>
      </c>
      <c r="BS173" s="246" t="n">
        <f aca="false">BS171+BS172</f>
        <v>880.111144401343</v>
      </c>
      <c r="BT173" s="246" t="n">
        <f aca="false">BT171+BT172</f>
        <v>962.352816717315</v>
      </c>
      <c r="BU173" s="246" t="n">
        <f aca="false">BU171+BU172</f>
        <v>880.111144401343</v>
      </c>
      <c r="BV173" s="246" t="n">
        <f aca="false">BV171+BV172</f>
        <v>962.352816717315</v>
      </c>
      <c r="BW173" s="246" t="n">
        <f aca="false">BW171+BW172</f>
        <v>962.352816717315</v>
      </c>
      <c r="BX173" s="246" t="n">
        <f aca="false">BX171+BX172</f>
        <v>797.869472085372</v>
      </c>
      <c r="BY173" s="246" t="n">
        <f aca="false">BY171+BY172</f>
        <v>1958.19168665776</v>
      </c>
      <c r="BZ173" s="246" t="n">
        <f aca="false">BZ171+BZ172</f>
        <v>2266.29836462435</v>
      </c>
      <c r="CA173" s="246" t="n">
        <f aca="false">CA171+CA172</f>
        <v>2363.09048665776</v>
      </c>
      <c r="CB173" s="246" t="n">
        <f aca="false">CB171+CB172</f>
        <v>2266.29836462435</v>
      </c>
      <c r="CC173" s="246" t="n">
        <f aca="false">CC171+CC172</f>
        <v>2363.09048665776</v>
      </c>
      <c r="CD173" s="246" t="n">
        <f aca="false">CD171+CD172</f>
        <v>2363.09048665776</v>
      </c>
      <c r="CE173" s="246" t="n">
        <f aca="false">CE171+CE172</f>
        <v>2266.29836462435</v>
      </c>
      <c r="CF173" s="246" t="n">
        <f aca="false">CF171+CF172</f>
        <v>2363.09048665776</v>
      </c>
      <c r="CG173" s="246" t="n">
        <f aca="false">CG171+CG172</f>
        <v>2266.29836462435</v>
      </c>
      <c r="CH173" s="246" t="n">
        <f aca="false">CH171+CH172</f>
        <v>2363.09048665776</v>
      </c>
      <c r="CI173" s="246" t="n">
        <f aca="false">CI171+CI172</f>
        <v>2363.09048665776</v>
      </c>
      <c r="CJ173" s="246" t="n">
        <f aca="false">CJ171+CJ172</f>
        <v>2072.71412055752</v>
      </c>
      <c r="CK173" s="246" t="n">
        <f aca="false">CK171+CK172</f>
        <v>2460.68346648972</v>
      </c>
      <c r="CL173" s="246" t="n">
        <f aca="false">CL171+CL172</f>
        <v>2391.10550201564</v>
      </c>
      <c r="CM173" s="246" t="n">
        <f aca="false">CM171+CM172</f>
        <v>2489.83346648972</v>
      </c>
      <c r="CN173" s="246" t="n">
        <f aca="false">CN171+CN172</f>
        <v>2391.10550201564</v>
      </c>
      <c r="CO173" s="246" t="n">
        <f aca="false">CO171+CO172</f>
        <v>2489.83346648972</v>
      </c>
      <c r="CP173" s="246" t="n">
        <f aca="false">CP171+CP172</f>
        <v>2489.83346648972</v>
      </c>
      <c r="CQ173" s="246" t="n">
        <f aca="false">CQ171+CQ172</f>
        <v>2391.10550201564</v>
      </c>
      <c r="CR173" s="246" t="n">
        <f aca="false">CR171+CR172</f>
        <v>2489.83346648972</v>
      </c>
      <c r="CS173" s="246" t="n">
        <f aca="false">CS171+CS172</f>
        <v>2391.10550201564</v>
      </c>
      <c r="CT173" s="246" t="n">
        <f aca="false">CT171+CT172</f>
        <v>2489.83346648972</v>
      </c>
      <c r="CU173" s="246" t="n">
        <f aca="false">CU171+CU172</f>
        <v>2489.83346648972</v>
      </c>
      <c r="CV173" s="246" t="n">
        <f aca="false">CV171+CV172</f>
        <v>2193.64957306748</v>
      </c>
      <c r="CW173" s="246" t="n">
        <f aca="false">CW171+CW172</f>
        <v>2589.37830591833</v>
      </c>
      <c r="CX173" s="246" t="n">
        <f aca="false">CX171+CX172</f>
        <v>2488.67578215476</v>
      </c>
      <c r="CY173" s="246" t="n">
        <f aca="false">CY171+CY172</f>
        <v>2589.37830591833</v>
      </c>
      <c r="CZ173" s="246" t="n">
        <f aca="false">CZ171+CZ172</f>
        <v>2488.67578215476</v>
      </c>
      <c r="DA173" s="246" t="n">
        <f aca="false">DA171+DA172</f>
        <v>2589.37830591833</v>
      </c>
      <c r="DB173" s="246" t="n">
        <f aca="false">DB171+DB172</f>
        <v>2589.37830591833</v>
      </c>
      <c r="DC173" s="246" t="n">
        <f aca="false">DC171+DC172</f>
        <v>2488.67578215476</v>
      </c>
      <c r="DD173" s="246" t="n">
        <f aca="false">DD171+DD172</f>
        <v>2589.37830591833</v>
      </c>
      <c r="DE173" s="246" t="n">
        <f aca="false">DE171+DE172</f>
        <v>2488.67578215476</v>
      </c>
      <c r="DF173" s="246" t="n">
        <f aca="false">DF171+DF172</f>
        <v>2589.37830591833</v>
      </c>
      <c r="DG173" s="246" t="n">
        <f aca="false">DG171+DG172</f>
        <v>2589.37830591833</v>
      </c>
      <c r="DH173" s="246" t="n">
        <f aca="false">DH171+DH172</f>
        <v>2287.27073462764</v>
      </c>
      <c r="DI173" s="246" t="n">
        <f aca="false">DI171+DI172</f>
        <v>2690.9140421355</v>
      </c>
      <c r="DJ173" s="246" t="n">
        <f aca="false">DJ171+DJ172</f>
        <v>2588.19746789667</v>
      </c>
      <c r="DK173" s="246" t="n">
        <f aca="false">DK171+DK172</f>
        <v>2690.9140421355</v>
      </c>
      <c r="DL173" s="246" t="n">
        <f aca="false">DL171+DL172</f>
        <v>2588.19746789667</v>
      </c>
      <c r="DM173" s="246" t="n">
        <f aca="false">DM171+DM172</f>
        <v>2690.9140421355</v>
      </c>
      <c r="DN173" s="246" t="n">
        <f aca="false">DN171+DN172</f>
        <v>2690.9140421355</v>
      </c>
      <c r="DO173" s="246" t="n">
        <f aca="false">DO171+DO172</f>
        <v>2588.19746789667</v>
      </c>
      <c r="DP173" s="246" t="n">
        <f aca="false">DP171+DP172</f>
        <v>2690.9140421355</v>
      </c>
      <c r="DQ173" s="246" t="n">
        <f aca="false">DQ171+DQ172</f>
        <v>2588.19746789667</v>
      </c>
      <c r="DR173" s="246" t="n">
        <f aca="false">DR171+DR172</f>
        <v>2690.9140421355</v>
      </c>
      <c r="DS173" s="246" t="n">
        <f aca="false">DS171+DS172</f>
        <v>2690.9140421355</v>
      </c>
      <c r="DT173" s="246" t="n">
        <f aca="false">DT171+DT172</f>
        <v>0</v>
      </c>
      <c r="DU173" s="246" t="n">
        <f aca="false">DU171+DU172</f>
        <v>0</v>
      </c>
      <c r="DV173" s="246" t="n">
        <f aca="false">DV171+DV172</f>
        <v>0</v>
      </c>
      <c r="DW173" s="246" t="n">
        <f aca="false">DW171+DW172</f>
        <v>604733.744528742</v>
      </c>
      <c r="DX173" s="246" t="n">
        <f aca="false">DX171+DX172</f>
        <v>0</v>
      </c>
      <c r="DY173" s="246" t="n">
        <f aca="false">DY171+DY172</f>
        <v>0</v>
      </c>
      <c r="DZ173" s="246" t="n">
        <f aca="false">DZ171+DZ172</f>
        <v>0</v>
      </c>
      <c r="EA173" s="246" t="n">
        <f aca="false">EA171+EA172</f>
        <v>0</v>
      </c>
      <c r="EB173" s="246" t="n">
        <f aca="false">EB171+EB172</f>
        <v>0</v>
      </c>
      <c r="EC173" s="246" t="n">
        <f aca="false">EC171+EC172</f>
        <v>0</v>
      </c>
      <c r="ED173" s="246" t="n">
        <f aca="false">ED171+ED172</f>
        <v>0</v>
      </c>
      <c r="EE173" s="246" t="n">
        <f aca="false">EE171+EE172</f>
        <v>0</v>
      </c>
      <c r="EF173" s="246" t="n">
        <f aca="false">EF171+EF172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13" min="3" style="0" width="11"/>
  </cols>
  <sheetData>
    <row r="1" customFormat="false" ht="15" hidden="false" customHeight="false" outlineLevel="0" collapsed="false">
      <c r="A1" s="235" t="s">
        <v>623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63" t="s">
        <v>63</v>
      </c>
      <c r="B3" s="151" t="s">
        <v>62</v>
      </c>
      <c r="C3" s="253" t="n">
        <f aca="false">YEAR(Assumption!$E$8)</f>
        <v>2026</v>
      </c>
      <c r="D3" s="253" t="n">
        <f aca="false">C3+1</f>
        <v>2027</v>
      </c>
      <c r="E3" s="253" t="n">
        <f aca="false">D3+1</f>
        <v>2028</v>
      </c>
      <c r="F3" s="253" t="n">
        <f aca="false">E3+1</f>
        <v>2029</v>
      </c>
      <c r="G3" s="253" t="n">
        <f aca="false">F3+1</f>
        <v>2030</v>
      </c>
      <c r="H3" s="253" t="n">
        <f aca="false">G3+1</f>
        <v>2031</v>
      </c>
      <c r="I3" s="253" t="n">
        <f aca="false">H3+1</f>
        <v>2032</v>
      </c>
      <c r="J3" s="253" t="n">
        <f aca="false">I3+1</f>
        <v>2033</v>
      </c>
      <c r="K3" s="253" t="n">
        <f aca="false">J3+1</f>
        <v>2034</v>
      </c>
      <c r="L3" s="253" t="n">
        <f aca="false">K3+1</f>
        <v>2035</v>
      </c>
      <c r="M3" s="253" t="n">
        <f aca="false">L3+1</f>
        <v>2036</v>
      </c>
    </row>
    <row r="4" customFormat="false" ht="15" hidden="false" customHeight="false" outlineLevel="0" collapsed="false">
      <c r="A4" s="176" t="s">
        <v>624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customFormat="false" ht="15" hidden="false" customHeight="false" outlineLevel="0" collapsed="false">
      <c r="A5" s="139" t="s">
        <v>507</v>
      </c>
      <c r="B5" s="254" t="n">
        <f aca="false">SUM(C5:M5)</f>
        <v>1022866.31264512</v>
      </c>
      <c r="C5" s="255" t="n">
        <f aca="false">SUMIF(CF!$E$7:$EF$7,C$3,CF!$E$41:$EF$41)</f>
        <v>0</v>
      </c>
      <c r="D5" s="255" t="n">
        <f aca="false">SUMIF(CF!$E$7:$EF$7,D$3,CF!$E$41:$EF$41)</f>
        <v>0</v>
      </c>
      <c r="E5" s="255" t="n">
        <f aca="false">SUMIF(CF!$E$7:$EF$7,E$3,CF!$E$41:$EF$41)</f>
        <v>0</v>
      </c>
      <c r="F5" s="255" t="n">
        <f aca="false">SUMIF(CF!$E$7:$EF$7,F$3,CF!$E$41:$EF$41)</f>
        <v>0</v>
      </c>
      <c r="G5" s="255" t="n">
        <f aca="false">SUMIF(CF!$E$7:$EF$7,G$3,CF!$E$41:$EF$41)</f>
        <v>0</v>
      </c>
      <c r="H5" s="255" t="n">
        <f aca="false">SUMIF(CF!$E$7:$EF$7,H$3,CF!$E$41:$EF$41)</f>
        <v>145507.983609283</v>
      </c>
      <c r="I5" s="255" t="n">
        <f aca="false">SUMIF(CF!$E$7:$EF$7,I$3,CF!$E$41:$EF$41)</f>
        <v>200951.56552145</v>
      </c>
      <c r="J5" s="255" t="n">
        <f aca="false">SUMIF(CF!$E$7:$EF$7,J$3,CF!$E$41:$EF$41)</f>
        <v>209248.629594741</v>
      </c>
      <c r="K5" s="255" t="n">
        <f aca="false">SUMIF(CF!$E$7:$EF$7,K$3,CF!$E$41:$EF$41)</f>
        <v>213433.602186636</v>
      </c>
      <c r="L5" s="255" t="n">
        <f aca="false">SUMIF(CF!$E$7:$EF$7,L$3,CF!$E$41:$EF$41)</f>
        <v>217702.274230369</v>
      </c>
      <c r="M5" s="255" t="n">
        <f aca="false">SUMIF(CF!$E$7:$EF$7,M$3,CF!$E$41:$EF$41)</f>
        <v>36022.2575026365</v>
      </c>
    </row>
    <row r="6" customFormat="false" ht="15" hidden="false" customHeight="false" outlineLevel="0" collapsed="false">
      <c r="A6" s="139" t="s">
        <v>508</v>
      </c>
      <c r="B6" s="254" t="n">
        <f aca="false">SUM(C6:M6)</f>
        <v>706913.035153105</v>
      </c>
      <c r="C6" s="255" t="n">
        <f aca="false">SUMIF(CF!$E$7:$EF$7,C$3,CF!$E$56:$EF$56)</f>
        <v>0</v>
      </c>
      <c r="D6" s="255" t="n">
        <f aca="false">SUMIF(CF!$E$7:$EF$7,D$3,CF!$E$56:$EF$56)</f>
        <v>0</v>
      </c>
      <c r="E6" s="255" t="n">
        <f aca="false">SUMIF(CF!$E$7:$EF$7,E$3,CF!$E$56:$EF$56)</f>
        <v>0</v>
      </c>
      <c r="F6" s="255" t="n">
        <f aca="false">SUMIF(CF!$E$7:$EF$7,F$3,CF!$E$56:$EF$56)</f>
        <v>0</v>
      </c>
      <c r="G6" s="255" t="n">
        <f aca="false">SUMIF(CF!$E$7:$EF$7,G$3,CF!$E$56:$EF$56)</f>
        <v>0</v>
      </c>
      <c r="H6" s="255" t="n">
        <f aca="false">SUMIF(CF!$E$7:$EF$7,H$3,CF!$E$56:$EF$56)</f>
        <v>102004.834980596</v>
      </c>
      <c r="I6" s="255" t="n">
        <f aca="false">SUMIF(CF!$E$7:$EF$7,I$3,CF!$E$56:$EF$56)</f>
        <v>138846.409991242</v>
      </c>
      <c r="J6" s="255" t="n">
        <f aca="false">SUMIF(CF!$E$7:$EF$7,J$3,CF!$E$56:$EF$56)</f>
        <v>144187.64897349</v>
      </c>
      <c r="K6" s="255" t="n">
        <f aca="false">SUMIF(CF!$E$7:$EF$7,K$3,CF!$E$56:$EF$56)</f>
        <v>147071.40195296</v>
      </c>
      <c r="L6" s="255" t="n">
        <f aca="false">SUMIF(CF!$E$7:$EF$7,L$3,CF!$E$56:$EF$56)</f>
        <v>150012.829992019</v>
      </c>
      <c r="M6" s="255" t="n">
        <f aca="false">SUMIF(CF!$E$7:$EF$7,M$3,CF!$E$56:$EF$56)</f>
        <v>24789.9092627982</v>
      </c>
    </row>
    <row r="7" customFormat="false" ht="15" hidden="false" customHeight="false" outlineLevel="0" collapsed="false">
      <c r="A7" s="112" t="s">
        <v>523</v>
      </c>
      <c r="B7" s="254" t="n">
        <f aca="false">SUM(C7:M7)</f>
        <v>32621.51164802</v>
      </c>
      <c r="C7" s="175" t="n">
        <f aca="false">SUMIF(CF!$E$7:$EF$7,C$3,CF!$E$59:$EF$59)</f>
        <v>0</v>
      </c>
      <c r="D7" s="175" t="n">
        <f aca="false">SUMIF(CF!$E$7:$EF$7,D$3,CF!$E$59:$EF$59)</f>
        <v>0</v>
      </c>
      <c r="E7" s="175" t="n">
        <f aca="false">SUMIF(CF!$E$7:$EF$7,E$3,CF!$E$59:$EF$59)</f>
        <v>0</v>
      </c>
      <c r="F7" s="175" t="n">
        <f aca="false">SUMIF(CF!$E$7:$EF$7,F$3,CF!$E$59:$EF$59)</f>
        <v>0</v>
      </c>
      <c r="G7" s="175" t="n">
        <f aca="false">SUMIF(CF!$E$7:$EF$7,G$3,CF!$E$59:$EF$59)</f>
        <v>0</v>
      </c>
      <c r="H7" s="175" t="n">
        <f aca="false">SUMIF(CF!$E$7:$EF$7,H$3,CF!$E$59:$EF$59)</f>
        <v>4591.644</v>
      </c>
      <c r="I7" s="175" t="n">
        <f aca="false">SUMIF(CF!$E$7:$EF$7,I$3,CF!$E$59:$EF$59)</f>
        <v>6399.91488</v>
      </c>
      <c r="J7" s="175" t="n">
        <f aca="false">SUMIF(CF!$E$7:$EF$7,J$3,CF!$E$59:$EF$59)</f>
        <v>6687.5350176</v>
      </c>
      <c r="K7" s="175" t="n">
        <f aca="false">SUMIF(CF!$E$7:$EF$7,K$3,CF!$E$59:$EF$59)</f>
        <v>6821.285717952</v>
      </c>
      <c r="L7" s="175" t="n">
        <f aca="false">SUMIF(CF!$E$7:$EF$7,L$3,CF!$E$59:$EF$59)</f>
        <v>6957.71143231104</v>
      </c>
      <c r="M7" s="175" t="n">
        <f aca="false">SUMIF(CF!$E$7:$EF$7,M$3,CF!$E$59:$EF$59)</f>
        <v>1163.42060015693</v>
      </c>
    </row>
    <row r="8" customFormat="false" ht="15" hidden="false" customHeight="false" outlineLevel="0" collapsed="false">
      <c r="A8" s="112" t="s">
        <v>524</v>
      </c>
      <c r="B8" s="254" t="n">
        <f aca="false">SUM(C8:M8)</f>
        <v>42839.1665090576</v>
      </c>
      <c r="C8" s="175" t="n">
        <f aca="false">SUMIF(CF!$E$7:$EF$7,C$3,CF!$E$60:$EF$60)</f>
        <v>0</v>
      </c>
      <c r="D8" s="175" t="n">
        <f aca="false">SUMIF(CF!$E$7:$EF$7,D$3,CF!$E$60:$EF$60)</f>
        <v>0</v>
      </c>
      <c r="E8" s="175" t="n">
        <f aca="false">SUMIF(CF!$E$7:$EF$7,E$3,CF!$E$60:$EF$60)</f>
        <v>0</v>
      </c>
      <c r="F8" s="175" t="n">
        <f aca="false">SUMIF(CF!$E$7:$EF$7,F$3,CF!$E$60:$EF$60)</f>
        <v>0</v>
      </c>
      <c r="G8" s="175" t="n">
        <f aca="false">SUMIF(CF!$E$7:$EF$7,G$3,CF!$E$60:$EF$60)</f>
        <v>0</v>
      </c>
      <c r="H8" s="175" t="n">
        <f aca="false">SUMIF(CF!$E$7:$EF$7,H$3,CF!$E$60:$EF$60)</f>
        <v>6131.91390068743</v>
      </c>
      <c r="I8" s="175" t="n">
        <f aca="false">SUMIF(CF!$E$7:$EF$7,I$3,CF!$E$60:$EF$60)</f>
        <v>8419.12703438276</v>
      </c>
      <c r="J8" s="175" t="n">
        <f aca="false">SUMIF(CF!$E$7:$EF$7,J$3,CF!$E$60:$EF$60)</f>
        <v>8752.59956470431</v>
      </c>
      <c r="K8" s="175" t="n">
        <f aca="false">SUMIF(CF!$E$7:$EF$7,K$3,CF!$E$60:$EF$60)</f>
        <v>8927.6515559984</v>
      </c>
      <c r="L8" s="175" t="n">
        <f aca="false">SUMIF(CF!$E$7:$EF$7,L$3,CF!$E$60:$EF$60)</f>
        <v>9106.20458711836</v>
      </c>
      <c r="M8" s="175" t="n">
        <f aca="false">SUMIF(CF!$E$7:$EF$7,M$3,CF!$E$60:$EF$60)</f>
        <v>1501.66986616632</v>
      </c>
    </row>
    <row r="9" customFormat="false" ht="15" hidden="false" customHeight="false" outlineLevel="0" collapsed="false">
      <c r="A9" s="112" t="s">
        <v>525</v>
      </c>
      <c r="B9" s="254" t="n">
        <f aca="false">SUM(C9:M9)</f>
        <v>132976.804478938</v>
      </c>
      <c r="C9" s="175" t="n">
        <f aca="false">SUMIF(CF!$E$7:$EF$7,C$3,CF!$E$61:$EF$61)</f>
        <v>0</v>
      </c>
      <c r="D9" s="175" t="n">
        <f aca="false">SUMIF(CF!$E$7:$EF$7,D$3,CF!$E$61:$EF$61)</f>
        <v>0</v>
      </c>
      <c r="E9" s="175" t="n">
        <f aca="false">SUMIF(CF!$E$7:$EF$7,E$3,CF!$E$61:$EF$61)</f>
        <v>0</v>
      </c>
      <c r="F9" s="175" t="n">
        <f aca="false">SUMIF(CF!$E$7:$EF$7,F$3,CF!$E$61:$EF$61)</f>
        <v>0</v>
      </c>
      <c r="G9" s="175" t="n">
        <f aca="false">SUMIF(CF!$E$7:$EF$7,G$3,CF!$E$61:$EF$61)</f>
        <v>0</v>
      </c>
      <c r="H9" s="175" t="n">
        <f aca="false">SUMIF(CF!$E$7:$EF$7,H$3,CF!$E$61:$EF$61)</f>
        <v>19034.037828</v>
      </c>
      <c r="I9" s="175" t="n">
        <f aca="false">SUMIF(CF!$E$7:$EF$7,I$3,CF!$E$61:$EF$61)</f>
        <v>26133.7626468</v>
      </c>
      <c r="J9" s="175" t="n">
        <f aca="false">SUMIF(CF!$E$7:$EF$7,J$3,CF!$E$61:$EF$61)</f>
        <v>27168.892764336</v>
      </c>
      <c r="K9" s="175" t="n">
        <f aca="false">SUMIF(CF!$E$7:$EF$7,K$3,CF!$E$61:$EF$61)</f>
        <v>27712.2706196227</v>
      </c>
      <c r="L9" s="175" t="n">
        <f aca="false">SUMIF(CF!$E$7:$EF$7,L$3,CF!$E$61:$EF$61)</f>
        <v>28266.5160320152</v>
      </c>
      <c r="M9" s="175" t="n">
        <f aca="false">SUMIF(CF!$E$7:$EF$7,M$3,CF!$E$61:$EF$61)</f>
        <v>4661.32458816375</v>
      </c>
    </row>
    <row r="10" customFormat="false" ht="15" hidden="false" customHeight="false" outlineLevel="0" collapsed="false">
      <c r="A10" s="112" t="s">
        <v>526</v>
      </c>
      <c r="B10" s="254" t="n">
        <f aca="false">SUM(C10:M10)</f>
        <v>66369.0377920937</v>
      </c>
      <c r="C10" s="175" t="n">
        <f aca="false">SUMIF(CF!$E$7:$EF$7,C$3,CF!$E$62:$EF$62)</f>
        <v>0</v>
      </c>
      <c r="D10" s="175" t="n">
        <f aca="false">SUMIF(CF!$E$7:$EF$7,D$3,CF!$E$62:$EF$62)</f>
        <v>0</v>
      </c>
      <c r="E10" s="175" t="n">
        <f aca="false">SUMIF(CF!$E$7:$EF$7,E$3,CF!$E$62:$EF$62)</f>
        <v>0</v>
      </c>
      <c r="F10" s="175" t="n">
        <f aca="false">SUMIF(CF!$E$7:$EF$7,F$3,CF!$E$62:$EF$62)</f>
        <v>0</v>
      </c>
      <c r="G10" s="175" t="n">
        <f aca="false">SUMIF(CF!$E$7:$EF$7,G$3,CF!$E$62:$EF$62)</f>
        <v>0</v>
      </c>
      <c r="H10" s="175" t="n">
        <f aca="false">SUMIF(CF!$E$7:$EF$7,H$3,CF!$E$62:$EF$62)</f>
        <v>7156.6406</v>
      </c>
      <c r="I10" s="175" t="n">
        <f aca="false">SUMIF(CF!$E$7:$EF$7,I$3,CF!$E$62:$EF$62)</f>
        <v>13113.8779630252</v>
      </c>
      <c r="J10" s="175" t="n">
        <f aca="false">SUMIF(CF!$E$7:$EF$7,J$3,CF!$E$62:$EF$62)</f>
        <v>14252.7108084907</v>
      </c>
      <c r="K10" s="175" t="n">
        <f aca="false">SUMIF(CF!$E$7:$EF$7,K$3,CF!$E$62:$EF$62)</f>
        <v>14537.7650246606</v>
      </c>
      <c r="L10" s="175" t="n">
        <f aca="false">SUMIF(CF!$E$7:$EF$7,L$3,CF!$E$62:$EF$62)</f>
        <v>14828.5203251538</v>
      </c>
      <c r="M10" s="175" t="n">
        <f aca="false">SUMIF(CF!$E$7:$EF$7,M$3,CF!$E$62:$EF$62)</f>
        <v>2479.52307076342</v>
      </c>
    </row>
    <row r="11" customFormat="false" ht="15" hidden="false" customHeight="false" outlineLevel="0" collapsed="false">
      <c r="A11" s="112" t="s">
        <v>527</v>
      </c>
      <c r="B11" s="254" t="n">
        <f aca="false">SUM(C11:M11)</f>
        <v>41146.7570639016</v>
      </c>
      <c r="C11" s="175" t="n">
        <f aca="false">SUMIF(CF!$E$7:$EF$7,C$3,CF!$E$63:$EF$63)</f>
        <v>0</v>
      </c>
      <c r="D11" s="175" t="n">
        <f aca="false">SUMIF(CF!$E$7:$EF$7,D$3,CF!$E$63:$EF$63)</f>
        <v>0</v>
      </c>
      <c r="E11" s="175" t="n">
        <f aca="false">SUMIF(CF!$E$7:$EF$7,E$3,CF!$E$63:$EF$63)</f>
        <v>0</v>
      </c>
      <c r="F11" s="175" t="n">
        <f aca="false">SUMIF(CF!$E$7:$EF$7,F$3,CF!$E$63:$EF$63)</f>
        <v>0</v>
      </c>
      <c r="G11" s="175" t="n">
        <f aca="false">SUMIF(CF!$E$7:$EF$7,G$3,CF!$E$63:$EF$63)</f>
        <v>0</v>
      </c>
      <c r="H11" s="175" t="n">
        <f aca="false">SUMIF(CF!$E$7:$EF$7,H$3,CF!$E$63:$EF$63)</f>
        <v>6588.9123</v>
      </c>
      <c r="I11" s="175" t="n">
        <f aca="false">SUMIF(CF!$E$7:$EF$7,I$3,CF!$E$63:$EF$63)</f>
        <v>8038.473006</v>
      </c>
      <c r="J11" s="175" t="n">
        <f aca="false">SUMIF(CF!$E$7:$EF$7,J$3,CF!$E$63:$EF$63)</f>
        <v>8199.24246612</v>
      </c>
      <c r="K11" s="175" t="n">
        <f aca="false">SUMIF(CF!$E$7:$EF$7,K$3,CF!$E$63:$EF$63)</f>
        <v>8363.2273154424</v>
      </c>
      <c r="L11" s="175" t="n">
        <f aca="false">SUMIF(CF!$E$7:$EF$7,L$3,CF!$E$63:$EF$63)</f>
        <v>8530.49186175125</v>
      </c>
      <c r="M11" s="175" t="n">
        <f aca="false">SUMIF(CF!$E$7:$EF$7,M$3,CF!$E$63:$EF$63)</f>
        <v>1426.41011458791</v>
      </c>
    </row>
    <row r="12" customFormat="false" ht="15" hidden="false" customHeight="false" outlineLevel="0" collapsed="false">
      <c r="A12" s="33" t="s">
        <v>528</v>
      </c>
      <c r="B12" s="254" t="n">
        <f aca="false">SUM(C12:M12)</f>
        <v>315953.27749201</v>
      </c>
      <c r="C12" s="255" t="n">
        <f aca="false">SUMIF(CF!$E$7:$EF$7,C$3,CF!$E$64:$EF$64)</f>
        <v>0</v>
      </c>
      <c r="D12" s="255" t="n">
        <f aca="false">SUMIF(CF!$E$7:$EF$7,D$3,CF!$E$64:$EF$64)</f>
        <v>0</v>
      </c>
      <c r="E12" s="255" t="n">
        <f aca="false">SUMIF(CF!$E$7:$EF$7,E$3,CF!$E$64:$EF$64)</f>
        <v>0</v>
      </c>
      <c r="F12" s="255" t="n">
        <f aca="false">SUMIF(CF!$E$7:$EF$7,F$3,CF!$E$64:$EF$64)</f>
        <v>0</v>
      </c>
      <c r="G12" s="255" t="n">
        <f aca="false">SUMIF(CF!$E$7:$EF$7,G$3,CF!$E$64:$EF$64)</f>
        <v>0</v>
      </c>
      <c r="H12" s="255" t="n">
        <f aca="false">SUMIF(CF!$E$7:$EF$7,H$3,CF!$E$64:$EF$64)</f>
        <v>43503.1486286874</v>
      </c>
      <c r="I12" s="255" t="n">
        <f aca="false">SUMIF(CF!$E$7:$EF$7,I$3,CF!$E$64:$EF$64)</f>
        <v>62105.155530208</v>
      </c>
      <c r="J12" s="255" t="n">
        <f aca="false">SUMIF(CF!$E$7:$EF$7,J$3,CF!$E$64:$EF$64)</f>
        <v>65060.980621251</v>
      </c>
      <c r="K12" s="255" t="n">
        <f aca="false">SUMIF(CF!$E$7:$EF$7,K$3,CF!$E$64:$EF$64)</f>
        <v>66362.2002336761</v>
      </c>
      <c r="L12" s="255" t="n">
        <f aca="false">SUMIF(CF!$E$7:$EF$7,L$3,CF!$E$64:$EF$64)</f>
        <v>67689.4442383496</v>
      </c>
      <c r="M12" s="255" t="n">
        <f aca="false">SUMIF(CF!$E$7:$EF$7,M$3,CF!$E$64:$EF$64)</f>
        <v>11232.3482398383</v>
      </c>
    </row>
    <row r="13" customFormat="false" ht="15" hidden="false" customHeight="false" outlineLevel="0" collapsed="false">
      <c r="A13" s="139" t="s">
        <v>625</v>
      </c>
      <c r="B13" s="254" t="n">
        <f aca="false">SUM(C13:M13)</f>
        <v>63114.7895222759</v>
      </c>
      <c r="C13" s="255" t="n">
        <f aca="false">SUMIF(CF!$E$7:$EF$7,C$3,CF!$E$74:$EF$74)</f>
        <v>0</v>
      </c>
      <c r="D13" s="255" t="n">
        <f aca="false">SUMIF(CF!$E$7:$EF$7,D$3,CF!$E$74:$EF$74)</f>
        <v>0</v>
      </c>
      <c r="E13" s="255" t="n">
        <f aca="false">SUMIF(CF!$E$7:$EF$7,E$3,CF!$E$74:$EF$74)</f>
        <v>0</v>
      </c>
      <c r="F13" s="255" t="n">
        <f aca="false">SUMIF(CF!$E$7:$EF$7,F$3,CF!$E$74:$EF$74)</f>
        <v>0</v>
      </c>
      <c r="G13" s="255" t="n">
        <f aca="false">SUMIF(CF!$E$7:$EF$7,G$3,CF!$E$74:$EF$74)</f>
        <v>0</v>
      </c>
      <c r="H13" s="255" t="n">
        <f aca="false">SUMIF(CF!$E$7:$EF$7,H$3,CF!$E$74:$EF$74)</f>
        <v>8190.59829511748</v>
      </c>
      <c r="I13" s="255" t="n">
        <f aca="false">SUMIF(CF!$E$7:$EF$7,I$3,CF!$E$74:$EF$74)</f>
        <v>10504.0362041685</v>
      </c>
      <c r="J13" s="255" t="n">
        <f aca="false">SUMIF(CF!$E$7:$EF$7,J$3,CF!$E$74:$EF$74)</f>
        <v>10820.971748242</v>
      </c>
      <c r="K13" s="255" t="n">
        <f aca="false">SUMIF(CF!$E$7:$EF$7,K$3,CF!$E$74:$EF$74)</f>
        <v>10956.8127711971</v>
      </c>
      <c r="L13" s="255" t="n">
        <f aca="false">SUMIF(CF!$E$7:$EF$7,L$3,CF!$E$74:$EF$74)</f>
        <v>11083.5896146112</v>
      </c>
      <c r="M13" s="255" t="n">
        <f aca="false">SUMIF(CF!$E$7:$EF$7,M$3,CF!$E$74:$EF$74)</f>
        <v>11558.7808889397</v>
      </c>
    </row>
    <row r="14" customFormat="false" ht="15" hidden="false" customHeight="false" outlineLevel="0" collapsed="false">
      <c r="A14" s="139" t="s">
        <v>626</v>
      </c>
      <c r="B14" s="254" t="n">
        <f aca="false">SUM(C14:M14)</f>
        <v>252838.487969735</v>
      </c>
      <c r="C14" s="255" t="n">
        <f aca="false">SUMIF(CF!$E$7:$EF$7,C$3,CF!$E$75:$EF$75)</f>
        <v>0</v>
      </c>
      <c r="D14" s="255" t="n">
        <f aca="false">SUMIF(CF!$E$7:$EF$7,D$3,CF!$E$75:$EF$75)</f>
        <v>0</v>
      </c>
      <c r="E14" s="255" t="n">
        <f aca="false">SUMIF(CF!$E$7:$EF$7,E$3,CF!$E$75:$EF$75)</f>
        <v>0</v>
      </c>
      <c r="F14" s="255" t="n">
        <f aca="false">SUMIF(CF!$E$7:$EF$7,F$3,CF!$E$75:$EF$75)</f>
        <v>0</v>
      </c>
      <c r="G14" s="255" t="n">
        <f aca="false">SUMIF(CF!$E$7:$EF$7,G$3,CF!$E$75:$EF$75)</f>
        <v>0</v>
      </c>
      <c r="H14" s="255" t="n">
        <f aca="false">SUMIF(CF!$E$7:$EF$7,H$3,CF!$E$75:$EF$75)</f>
        <v>35312.5503335699</v>
      </c>
      <c r="I14" s="255" t="n">
        <f aca="false">SUMIF(CF!$E$7:$EF$7,I$3,CF!$E$75:$EF$75)</f>
        <v>51601.1193260395</v>
      </c>
      <c r="J14" s="255" t="n">
        <f aca="false">SUMIF(CF!$E$7:$EF$7,J$3,CF!$E$75:$EF$75)</f>
        <v>54240.008873009</v>
      </c>
      <c r="K14" s="255" t="n">
        <f aca="false">SUMIF(CF!$E$7:$EF$7,K$3,CF!$E$75:$EF$75)</f>
        <v>55405.387462479</v>
      </c>
      <c r="L14" s="255" t="n">
        <f aca="false">SUMIF(CF!$E$7:$EF$7,L$3,CF!$E$75:$EF$75)</f>
        <v>56605.8546237384</v>
      </c>
      <c r="M14" s="255" t="n">
        <f aca="false">SUMIF(CF!$E$7:$EF$7,M$3,CF!$E$75:$EF$75)</f>
        <v>-326.43264910133</v>
      </c>
    </row>
    <row r="15" customFormat="false" ht="15" hidden="false" customHeight="false" outlineLevel="0" collapsed="false">
      <c r="A15" s="176" t="s">
        <v>627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</row>
    <row r="16" customFormat="false" ht="15" hidden="false" customHeight="false" outlineLevel="0" collapsed="false">
      <c r="A16" s="139" t="s">
        <v>628</v>
      </c>
      <c r="B16" s="254" t="n">
        <f aca="false">SUM(C16:M16)</f>
        <v>1401070.21428999</v>
      </c>
      <c r="C16" s="255" t="n">
        <f aca="false">SUMIF(CF!$E$7:$EF$7,C$3,CF!$E$100:$EF$100)</f>
        <v>13874.923886845</v>
      </c>
      <c r="D16" s="255" t="n">
        <f aca="false">SUMIF(CF!$E$7:$EF$7,D$3,CF!$E$100:$EF$100)</f>
        <v>253559.354104367</v>
      </c>
      <c r="E16" s="255" t="n">
        <f aca="false">SUMIF(CF!$E$7:$EF$7,E$3,CF!$E$100:$EF$100)</f>
        <v>315713.703303668</v>
      </c>
      <c r="F16" s="255" t="n">
        <f aca="false">SUMIF(CF!$E$7:$EF$7,F$3,CF!$E$100:$EF$100)</f>
        <v>457532.553799015</v>
      </c>
      <c r="G16" s="255" t="n">
        <f aca="false">SUMIF(CF!$E$7:$EF$7,G$3,CF!$E$100:$EF$100)</f>
        <v>263441.497721613</v>
      </c>
      <c r="H16" s="255" t="n">
        <f aca="false">SUMIF(CF!$E$7:$EF$7,H$3,CF!$E$100:$EF$100)</f>
        <v>96948.1814744797</v>
      </c>
      <c r="I16" s="255" t="n">
        <f aca="false">SUMIF(CF!$E$7:$EF$7,I$3,CF!$E$100:$EF$100)</f>
        <v>0</v>
      </c>
      <c r="J16" s="255" t="n">
        <f aca="false">SUMIF(CF!$E$7:$EF$7,J$3,CF!$E$100:$EF$100)</f>
        <v>0</v>
      </c>
      <c r="K16" s="255" t="n">
        <f aca="false">SUMIF(CF!$E$7:$EF$7,K$3,CF!$E$100:$EF$100)</f>
        <v>0</v>
      </c>
      <c r="L16" s="255" t="n">
        <f aca="false">SUMIF(CF!$E$7:$EF$7,L$3,CF!$E$100:$EF$100)</f>
        <v>0</v>
      </c>
      <c r="M16" s="255" t="n">
        <f aca="false">SUMIF(CF!$E$7:$EF$7,M$3,CF!$E$100:$EF$100)</f>
        <v>0</v>
      </c>
    </row>
    <row r="17" customFormat="false" ht="15" hidden="false" customHeight="false" outlineLevel="0" collapsed="false">
      <c r="A17" s="33" t="s">
        <v>629</v>
      </c>
      <c r="B17" s="254" t="n">
        <f aca="false">SUM(C17:M17)</f>
        <v>95505.6823353484</v>
      </c>
      <c r="C17" s="255" t="n">
        <f aca="false">SUMIF(CF!$E$7:$EF$7,C$3,CF!$E$112:$EF$112)</f>
        <v>0</v>
      </c>
      <c r="D17" s="255" t="n">
        <f aca="false">SUMIF(CF!$E$7:$EF$7,D$3,CF!$E$112:$EF$112)</f>
        <v>13410.9913450602</v>
      </c>
      <c r="E17" s="255" t="n">
        <f aca="false">SUMIF(CF!$E$7:$EF$7,E$3,CF!$E$112:$EF$112)</f>
        <v>6486.97549526581</v>
      </c>
      <c r="F17" s="255" t="n">
        <f aca="false">SUMIF(CF!$E$7:$EF$7,F$3,CF!$E$112:$EF$112)</f>
        <v>24417.028901852</v>
      </c>
      <c r="G17" s="255" t="n">
        <f aca="false">SUMIF(CF!$E$7:$EF$7,G$3,CF!$E$112:$EF$112)</f>
        <v>43104.7457124166</v>
      </c>
      <c r="H17" s="255" t="n">
        <f aca="false">SUMIF(CF!$E$7:$EF$7,H$3,CF!$E$112:$EF$112)</f>
        <v>8085.94088075381</v>
      </c>
      <c r="I17" s="255" t="n">
        <f aca="false">SUMIF(CF!$E$7:$EF$7,I$3,CF!$E$112:$EF$112)</f>
        <v>0</v>
      </c>
      <c r="J17" s="255" t="n">
        <f aca="false">SUMIF(CF!$E$7:$EF$7,J$3,CF!$E$112:$EF$112)</f>
        <v>0</v>
      </c>
      <c r="K17" s="255" t="n">
        <f aca="false">SUMIF(CF!$E$7:$EF$7,K$3,CF!$E$112:$EF$112)</f>
        <v>0</v>
      </c>
      <c r="L17" s="255" t="n">
        <f aca="false">SUMIF(CF!$E$7:$EF$7,L$3,CF!$E$112:$EF$112)</f>
        <v>0</v>
      </c>
      <c r="M17" s="255" t="n">
        <f aca="false">SUMIF(CF!$E$7:$EF$7,M$3,CF!$E$112:$EF$112)</f>
        <v>0</v>
      </c>
    </row>
    <row r="18" customFormat="false" ht="15" hidden="false" customHeight="false" outlineLevel="0" collapsed="false">
      <c r="A18" s="35" t="s">
        <v>584</v>
      </c>
      <c r="B18" s="254" t="n">
        <f aca="false">SUM(C18:M18)</f>
        <v>198878.570275</v>
      </c>
      <c r="C18" s="175" t="n">
        <f aca="false">SUMIF(CF!$E$7:$EF$7,C$3,CF!$E$129:$EF$129)</f>
        <v>0</v>
      </c>
      <c r="D18" s="175" t="n">
        <f aca="false">SUMIF(CF!$E$7:$EF$7,D$3,CF!$E$129:$EF$129)</f>
        <v>0</v>
      </c>
      <c r="E18" s="175" t="n">
        <f aca="false">SUMIF(CF!$E$7:$EF$7,E$3,CF!$E$129:$EF$129)</f>
        <v>0</v>
      </c>
      <c r="F18" s="175" t="n">
        <f aca="false">SUMIF(CF!$E$7:$EF$7,F$3,CF!$E$129:$EF$129)</f>
        <v>0</v>
      </c>
      <c r="G18" s="175" t="n">
        <f aca="false">SUMIF(CF!$E$7:$EF$7,G$3,CF!$E$129:$EF$129)</f>
        <v>0</v>
      </c>
      <c r="H18" s="175" t="n">
        <f aca="false">SUMIF(CF!$E$7:$EF$7,H$3,CF!$E$129:$EF$129)</f>
        <v>33146.4283791667</v>
      </c>
      <c r="I18" s="175" t="n">
        <f aca="false">SUMIF(CF!$E$7:$EF$7,I$3,CF!$E$129:$EF$129)</f>
        <v>39775.714055</v>
      </c>
      <c r="J18" s="175" t="n">
        <f aca="false">SUMIF(CF!$E$7:$EF$7,J$3,CF!$E$129:$EF$129)</f>
        <v>39775.714055</v>
      </c>
      <c r="K18" s="175" t="n">
        <f aca="false">SUMIF(CF!$E$7:$EF$7,K$3,CF!$E$129:$EF$129)</f>
        <v>39775.714055</v>
      </c>
      <c r="L18" s="175" t="n">
        <f aca="false">SUMIF(CF!$E$7:$EF$7,L$3,CF!$E$129:$EF$129)</f>
        <v>39775.714055</v>
      </c>
      <c r="M18" s="175" t="n">
        <f aca="false">SUMIF(CF!$E$7:$EF$7,M$3,CF!$E$129:$EF$129)</f>
        <v>6629.28567583333</v>
      </c>
    </row>
    <row r="19" customFormat="false" ht="15" hidden="false" customHeight="false" outlineLevel="0" collapsed="false">
      <c r="A19" s="35" t="s">
        <v>583</v>
      </c>
      <c r="B19" s="254" t="n">
        <f aca="false">SUM(C19:M19)</f>
        <v>7596.6828</v>
      </c>
      <c r="C19" s="175" t="n">
        <f aca="false">SUMIF(CF!$E$7:$EF$7,C$3,CF!$E$128:$EF$128)</f>
        <v>0</v>
      </c>
      <c r="D19" s="175" t="n">
        <f aca="false">SUMIF(CF!$E$7:$EF$7,D$3,CF!$E$128:$EF$128)</f>
        <v>0</v>
      </c>
      <c r="E19" s="175" t="n">
        <f aca="false">SUMIF(CF!$E$7:$EF$7,E$3,CF!$E$128:$EF$128)</f>
        <v>0</v>
      </c>
      <c r="F19" s="175" t="n">
        <f aca="false">SUMIF(CF!$E$7:$EF$7,F$3,CF!$E$128:$EF$128)</f>
        <v>0</v>
      </c>
      <c r="G19" s="175" t="n">
        <f aca="false">SUMIF(CF!$E$7:$EF$7,G$3,CF!$E$128:$EF$128)</f>
        <v>0</v>
      </c>
      <c r="H19" s="175" t="n">
        <f aca="false">SUMIF(CF!$E$7:$EF$7,H$3,CF!$E$128:$EF$128)</f>
        <v>7596.6828</v>
      </c>
      <c r="I19" s="175" t="n">
        <f aca="false">SUMIF(CF!$E$7:$EF$7,I$3,CF!$E$128:$EF$128)</f>
        <v>0</v>
      </c>
      <c r="J19" s="175" t="n">
        <f aca="false">SUMIF(CF!$E$7:$EF$7,J$3,CF!$E$128:$EF$128)</f>
        <v>0</v>
      </c>
      <c r="K19" s="175" t="n">
        <f aca="false">SUMIF(CF!$E$7:$EF$7,K$3,CF!$E$128:$EF$128)</f>
        <v>0</v>
      </c>
      <c r="L19" s="175" t="n">
        <f aca="false">SUMIF(CF!$E$7:$EF$7,L$3,CF!$E$128:$EF$128)</f>
        <v>0</v>
      </c>
      <c r="M19" s="175" t="n">
        <f aca="false">SUMIF(CF!$E$7:$EF$7,M$3,CF!$E$128:$EF$128)</f>
        <v>0</v>
      </c>
    </row>
    <row r="20" customFormat="false" ht="15" hidden="false" customHeight="false" outlineLevel="0" collapsed="false">
      <c r="A20" s="176" t="s">
        <v>630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</row>
    <row r="21" customFormat="false" ht="15" hidden="false" customHeight="false" outlineLevel="0" collapsed="false">
      <c r="A21" s="33" t="s">
        <v>631</v>
      </c>
      <c r="B21" s="254" t="n">
        <f aca="false">SUM(C21:M21)</f>
        <v>287378.385965576</v>
      </c>
      <c r="C21" s="255" t="n">
        <f aca="false">SUMIF(CF!$E$7:$EF$7,C$3,CF!$E$142:$EF$142)</f>
        <v>15820.1801474049</v>
      </c>
      <c r="D21" s="255" t="n">
        <f aca="false">SUMIF(CF!$E$7:$EF$7,D$3,CF!$E$142:$EF$142)</f>
        <v>271558.205818171</v>
      </c>
      <c r="E21" s="255" t="n">
        <f aca="false">SUMIF(CF!$E$7:$EF$7,E$3,CF!$E$142:$EF$142)</f>
        <v>0</v>
      </c>
      <c r="F21" s="255" t="n">
        <f aca="false">SUMIF(CF!$E$7:$EF$7,F$3,CF!$E$142:$EF$142)</f>
        <v>0</v>
      </c>
      <c r="G21" s="255" t="n">
        <f aca="false">SUMIF(CF!$E$7:$EF$7,G$3,CF!$E$142:$EF$142)</f>
        <v>0</v>
      </c>
      <c r="H21" s="255" t="n">
        <f aca="false">SUMIF(CF!$E$7:$EF$7,H$3,CF!$E$142:$EF$142)</f>
        <v>0</v>
      </c>
      <c r="I21" s="255" t="n">
        <f aca="false">SUMIF(CF!$E$7:$EF$7,I$3,CF!$E$142:$EF$142)</f>
        <v>0</v>
      </c>
      <c r="J21" s="255" t="n">
        <f aca="false">SUMIF(CF!$E$7:$EF$7,J$3,CF!$E$142:$EF$142)</f>
        <v>0</v>
      </c>
      <c r="K21" s="255" t="n">
        <f aca="false">SUMIF(CF!$E$7:$EF$7,K$3,CF!$E$142:$EF$142)</f>
        <v>0</v>
      </c>
      <c r="L21" s="255" t="n">
        <f aca="false">SUMIF(CF!$E$7:$EF$7,L$3,CF!$E$142:$EF$142)</f>
        <v>0</v>
      </c>
      <c r="M21" s="255" t="n">
        <f aca="false">SUMIF(CF!$E$7:$EF$7,M$3,CF!$E$142:$EF$142)</f>
        <v>0</v>
      </c>
    </row>
    <row r="22" customFormat="false" ht="15" hidden="false" customHeight="false" outlineLevel="0" collapsed="false">
      <c r="A22" s="139" t="s">
        <v>632</v>
      </c>
      <c r="B22" s="254" t="n">
        <f aca="false">SUM(C22:M22)</f>
        <v>941952</v>
      </c>
      <c r="C22" s="255" t="n">
        <f aca="false">SUMIF(CF!$E$7:$EF$7,C$3,CF!$E$84:$EF$84)</f>
        <v>0</v>
      </c>
      <c r="D22" s="255" t="n">
        <f aca="false">SUMIF(CF!$E$7:$EF$7,D$3,CF!$E$84:$EF$84)</f>
        <v>68060.16</v>
      </c>
      <c r="E22" s="255" t="n">
        <f aca="false">SUMIF(CF!$E$7:$EF$7,E$3,CF!$E$84:$EF$84)</f>
        <v>136120.32</v>
      </c>
      <c r="F22" s="255" t="n">
        <f aca="false">SUMIF(CF!$E$7:$EF$7,F$3,CF!$E$84:$EF$84)</f>
        <v>136120.32</v>
      </c>
      <c r="G22" s="255" t="n">
        <f aca="false">SUMIF(CF!$E$7:$EF$7,G$3,CF!$E$84:$EF$84)</f>
        <v>136120.32</v>
      </c>
      <c r="H22" s="255" t="n">
        <f aca="false">SUMIF(CF!$E$7:$EF$7,H$3,CF!$E$84:$EF$84)</f>
        <v>268980.48</v>
      </c>
      <c r="I22" s="255" t="n">
        <f aca="false">SUMIF(CF!$E$7:$EF$7,I$3,CF!$E$84:$EF$84)</f>
        <v>183350.4</v>
      </c>
      <c r="J22" s="255" t="n">
        <f aca="false">SUMIF(CF!$E$7:$EF$7,J$3,CF!$E$84:$EF$84)</f>
        <v>13200</v>
      </c>
      <c r="K22" s="255" t="n">
        <f aca="false">SUMIF(CF!$E$7:$EF$7,K$3,CF!$E$84:$EF$84)</f>
        <v>0</v>
      </c>
      <c r="L22" s="255" t="n">
        <f aca="false">SUMIF(CF!$E$7:$EF$7,L$3,CF!$E$84:$EF$84)</f>
        <v>0</v>
      </c>
      <c r="M22" s="255" t="n">
        <f aca="false">SUMIF(CF!$E$7:$EF$7,M$3,CF!$E$84:$EF$84)</f>
        <v>0</v>
      </c>
    </row>
    <row r="23" customFormat="false" ht="15" hidden="false" customHeight="false" outlineLevel="0" collapsed="false">
      <c r="A23" s="35" t="s">
        <v>633</v>
      </c>
      <c r="B23" s="254" t="n">
        <f aca="false">SUM(C23:M23)</f>
        <v>941952</v>
      </c>
      <c r="C23" s="175" t="n">
        <f aca="false">SUMIF(CF!$E$7:$EF$7,C$3,CF!$E$85:$EF$85)</f>
        <v>0</v>
      </c>
      <c r="D23" s="175" t="n">
        <f aca="false">SUMIF(CF!$E$7:$EF$7,D$3,CF!$E$85:$EF$85)</f>
        <v>0</v>
      </c>
      <c r="E23" s="175" t="n">
        <f aca="false">SUMIF(CF!$E$7:$EF$7,E$3,CF!$E$85:$EF$85)</f>
        <v>0</v>
      </c>
      <c r="F23" s="175" t="n">
        <f aca="false">SUMIF(CF!$E$7:$EF$7,F$3,CF!$E$85:$EF$85)</f>
        <v>0</v>
      </c>
      <c r="G23" s="175" t="n">
        <f aca="false">SUMIF(CF!$E$7:$EF$7,G$3,CF!$E$85:$EF$85)</f>
        <v>0</v>
      </c>
      <c r="H23" s="175" t="n">
        <f aca="false">SUMIF(CF!$E$7:$EF$7,H$3,CF!$E$85:$EF$85)</f>
        <v>0</v>
      </c>
      <c r="I23" s="175" t="n">
        <f aca="false">SUMIF(CF!$E$7:$EF$7,I$3,CF!$E$85:$EF$85)</f>
        <v>0</v>
      </c>
      <c r="J23" s="175" t="n">
        <f aca="false">SUMIF(CF!$E$7:$EF$7,J$3,CF!$E$85:$EF$85)</f>
        <v>0</v>
      </c>
      <c r="K23" s="175" t="n">
        <f aca="false">SUMIF(CF!$E$7:$EF$7,K$3,CF!$E$85:$EF$85)</f>
        <v>0</v>
      </c>
      <c r="L23" s="175" t="n">
        <f aca="false">SUMIF(CF!$E$7:$EF$7,L$3,CF!$E$85:$EF$85)</f>
        <v>0</v>
      </c>
      <c r="M23" s="175" t="n">
        <f aca="false">SUMIF(CF!$E$7:$EF$7,M$3,CF!$E$85:$EF$85)</f>
        <v>941952</v>
      </c>
    </row>
    <row r="24" customFormat="false" ht="15" hidden="false" customHeight="false" outlineLevel="0" collapsed="false">
      <c r="A24" s="33" t="s">
        <v>634</v>
      </c>
      <c r="B24" s="254" t="n">
        <f aca="false">SUM(C24:M24)</f>
        <v>632619.287228062</v>
      </c>
      <c r="C24" s="255" t="n">
        <f aca="false">SUMIF(CF!$E$7:$EF$7,C$3,CF!$E$116:$EF$116)</f>
        <v>0</v>
      </c>
      <c r="D24" s="255" t="n">
        <f aca="false">SUMIF(CF!$E$7:$EF$7,D$3,CF!$E$116:$EF$116)</f>
        <v>0</v>
      </c>
      <c r="E24" s="255" t="n">
        <f aca="false">SUMIF(CF!$E$7:$EF$7,E$3,CF!$E$116:$EF$116)</f>
        <v>108087.919500056</v>
      </c>
      <c r="F24" s="255" t="n">
        <f aca="false">SUMIF(CF!$E$7:$EF$7,F$3,CF!$E$116:$EF$116)</f>
        <v>345404.152223207</v>
      </c>
      <c r="G24" s="255" t="n">
        <f aca="false">SUMIF(CF!$E$7:$EF$7,G$3,CF!$E$116:$EF$116)</f>
        <v>169838.354328895</v>
      </c>
      <c r="H24" s="255" t="n">
        <f aca="false">SUMIF(CF!$E$7:$EF$7,H$3,CF!$E$116:$EF$116)</f>
        <v>9288.86117590428</v>
      </c>
      <c r="I24" s="255" t="n">
        <f aca="false">SUMIF(CF!$E$7:$EF$7,I$3,CF!$E$116:$EF$116)</f>
        <v>0</v>
      </c>
      <c r="J24" s="255" t="n">
        <f aca="false">SUMIF(CF!$E$7:$EF$7,J$3,CF!$E$116:$EF$116)</f>
        <v>0</v>
      </c>
      <c r="K24" s="255" t="n">
        <f aca="false">SUMIF(CF!$E$7:$EF$7,K$3,CF!$E$116:$EF$116)</f>
        <v>0</v>
      </c>
      <c r="L24" s="255" t="n">
        <f aca="false">SUMIF(CF!$E$7:$EF$7,L$3,CF!$E$116:$EF$116)</f>
        <v>0</v>
      </c>
      <c r="M24" s="255" t="n">
        <f aca="false">SUMIF(CF!$E$7:$EF$7,M$3,CF!$E$116:$EF$116)</f>
        <v>0</v>
      </c>
    </row>
    <row r="25" customFormat="false" ht="15" hidden="false" customHeight="false" outlineLevel="0" collapsed="false">
      <c r="A25" s="33" t="s">
        <v>635</v>
      </c>
      <c r="B25" s="254" t="n">
        <f aca="false">SUM(C25:M25)</f>
        <v>632619.287228062</v>
      </c>
      <c r="C25" s="255" t="n">
        <f aca="false">SUMIF(CF!$E$7:$EF$7,C$3,CF!$E$120:$EF$120)</f>
        <v>0</v>
      </c>
      <c r="D25" s="255" t="n">
        <f aca="false">SUMIF(CF!$E$7:$EF$7,D$3,CF!$E$120:$EF$120)</f>
        <v>0</v>
      </c>
      <c r="E25" s="255" t="n">
        <f aca="false">SUMIF(CF!$E$7:$EF$7,E$3,CF!$E$120:$EF$120)</f>
        <v>0</v>
      </c>
      <c r="F25" s="255" t="n">
        <f aca="false">SUMIF(CF!$E$7:$EF$7,F$3,CF!$E$120:$EF$120)</f>
        <v>0</v>
      </c>
      <c r="G25" s="255" t="n">
        <f aca="false">SUMIF(CF!$E$7:$EF$7,G$3,CF!$E$120:$EF$120)</f>
        <v>0</v>
      </c>
      <c r="H25" s="255" t="n">
        <f aca="false">SUMIF(CF!$E$7:$EF$7,H$3,CF!$E$120:$EF$120)</f>
        <v>632619.287228062</v>
      </c>
      <c r="I25" s="255" t="n">
        <f aca="false">SUMIF(CF!$E$7:$EF$7,I$3,CF!$E$120:$EF$120)</f>
        <v>0</v>
      </c>
      <c r="J25" s="255" t="n">
        <f aca="false">SUMIF(CF!$E$7:$EF$7,J$3,CF!$E$120:$EF$120)</f>
        <v>0</v>
      </c>
      <c r="K25" s="255" t="n">
        <f aca="false">SUMIF(CF!$E$7:$EF$7,K$3,CF!$E$120:$EF$120)</f>
        <v>0</v>
      </c>
      <c r="L25" s="255" t="n">
        <f aca="false">SUMIF(CF!$E$7:$EF$7,L$3,CF!$E$120:$EF$120)</f>
        <v>0</v>
      </c>
      <c r="M25" s="255" t="n">
        <f aca="false">SUMIF(CF!$E$7:$EF$7,M$3,CF!$E$120:$EF$120)</f>
        <v>0</v>
      </c>
    </row>
    <row r="26" customFormat="false" ht="15" hidden="false" customHeight="false" outlineLevel="0" collapsed="false">
      <c r="A26" s="35" t="s">
        <v>582</v>
      </c>
      <c r="B26" s="254" t="n">
        <f aca="false">SUM(C26:M26)</f>
        <v>759668.28</v>
      </c>
      <c r="C26" s="175" t="n">
        <f aca="false">SUMIF(CF!$E$7:$EF$7,C$3,CF!$E$127:$EF$127)</f>
        <v>0</v>
      </c>
      <c r="D26" s="175" t="n">
        <f aca="false">SUMIF(CF!$E$7:$EF$7,D$3,CF!$E$127:$EF$127)</f>
        <v>0</v>
      </c>
      <c r="E26" s="175" t="n">
        <f aca="false">SUMIF(CF!$E$7:$EF$7,E$3,CF!$E$127:$EF$127)</f>
        <v>0</v>
      </c>
      <c r="F26" s="175" t="n">
        <f aca="false">SUMIF(CF!$E$7:$EF$7,F$3,CF!$E$127:$EF$127)</f>
        <v>0</v>
      </c>
      <c r="G26" s="175" t="n">
        <f aca="false">SUMIF(CF!$E$7:$EF$7,G$3,CF!$E$127:$EF$127)</f>
        <v>0</v>
      </c>
      <c r="H26" s="175" t="n">
        <f aca="false">SUMIF(CF!$E$7:$EF$7,H$3,CF!$E$127:$EF$127)</f>
        <v>759668.28</v>
      </c>
      <c r="I26" s="175" t="n">
        <f aca="false">SUMIF(CF!$E$7:$EF$7,I$3,CF!$E$127:$EF$127)</f>
        <v>0</v>
      </c>
      <c r="J26" s="175" t="n">
        <f aca="false">SUMIF(CF!$E$7:$EF$7,J$3,CF!$E$127:$EF$127)</f>
        <v>0</v>
      </c>
      <c r="K26" s="175" t="n">
        <f aca="false">SUMIF(CF!$E$7:$EF$7,K$3,CF!$E$127:$EF$127)</f>
        <v>0</v>
      </c>
      <c r="L26" s="175" t="n">
        <f aca="false">SUMIF(CF!$E$7:$EF$7,L$3,CF!$E$127:$EF$127)</f>
        <v>0</v>
      </c>
      <c r="M26" s="175" t="n">
        <f aca="false">SUMIF(CF!$E$7:$EF$7,M$3,CF!$E$127:$EF$127)</f>
        <v>0</v>
      </c>
    </row>
    <row r="27" customFormat="false" ht="15" hidden="false" customHeight="false" outlineLevel="0" collapsed="false">
      <c r="A27" s="35" t="s">
        <v>585</v>
      </c>
      <c r="B27" s="254" t="n">
        <f aca="false">SUM(C27:M27)</f>
        <v>759668.28</v>
      </c>
      <c r="C27" s="175" t="n">
        <f aca="false">SUMIF(CF!$E$7:$EF$7,C$3,CF!$E$130:$EF$130)</f>
        <v>0</v>
      </c>
      <c r="D27" s="175" t="n">
        <f aca="false">SUMIF(CF!$E$7:$EF$7,D$3,CF!$E$130:$EF$130)</f>
        <v>0</v>
      </c>
      <c r="E27" s="175" t="n">
        <f aca="false">SUMIF(CF!$E$7:$EF$7,E$3,CF!$E$130:$EF$130)</f>
        <v>0</v>
      </c>
      <c r="F27" s="175" t="n">
        <f aca="false">SUMIF(CF!$E$7:$EF$7,F$3,CF!$E$130:$EF$130)</f>
        <v>0</v>
      </c>
      <c r="G27" s="175" t="n">
        <f aca="false">SUMIF(CF!$E$7:$EF$7,G$3,CF!$E$130:$EF$130)</f>
        <v>0</v>
      </c>
      <c r="H27" s="175" t="n">
        <f aca="false">SUMIF(CF!$E$7:$EF$7,H$3,CF!$E$130:$EF$130)</f>
        <v>0</v>
      </c>
      <c r="I27" s="175" t="n">
        <f aca="false">SUMIF(CF!$E$7:$EF$7,I$3,CF!$E$130:$EF$130)</f>
        <v>0</v>
      </c>
      <c r="J27" s="175" t="n">
        <f aca="false">SUMIF(CF!$E$7:$EF$7,J$3,CF!$E$130:$EF$130)</f>
        <v>0</v>
      </c>
      <c r="K27" s="175" t="n">
        <f aca="false">SUMIF(CF!$E$7:$EF$7,K$3,CF!$E$130:$EF$130)</f>
        <v>0</v>
      </c>
      <c r="L27" s="175" t="n">
        <f aca="false">SUMIF(CF!$E$7:$EF$7,L$3,CF!$E$130:$EF$130)</f>
        <v>0</v>
      </c>
      <c r="M27" s="175" t="n">
        <f aca="false">SUMIF(CF!$E$7:$EF$7,M$3,CF!$E$130:$EF$130)</f>
        <v>759668.28</v>
      </c>
    </row>
    <row r="28" customFormat="false" ht="15" hidden="false" customHeight="false" outlineLevel="0" collapsed="false">
      <c r="A28" s="35" t="s">
        <v>596</v>
      </c>
      <c r="B28" s="254" t="n">
        <f aca="false">SUM(C28:M28)</f>
        <v>1824235.87564974</v>
      </c>
      <c r="C28" s="175" t="n">
        <f aca="false">SUMIF(CF!$E$7:$EF$7,C$3,CF!$E$145:$EF$145)</f>
        <v>0</v>
      </c>
      <c r="D28" s="175" t="n">
        <f aca="false">SUMIF(CF!$E$7:$EF$7,D$3,CF!$E$145:$EF$145)</f>
        <v>0</v>
      </c>
      <c r="E28" s="175" t="n">
        <f aca="false">SUMIF(CF!$E$7:$EF$7,E$3,CF!$E$145:$EF$145)</f>
        <v>0</v>
      </c>
      <c r="F28" s="175" t="n">
        <f aca="false">SUMIF(CF!$E$7:$EF$7,F$3,CF!$E$145:$EF$145)</f>
        <v>0</v>
      </c>
      <c r="G28" s="175" t="n">
        <f aca="false">SUMIF(CF!$E$7:$EF$7,G$3,CF!$E$145:$EF$145)</f>
        <v>0</v>
      </c>
      <c r="H28" s="175" t="n">
        <f aca="false">SUMIF(CF!$E$7:$EF$7,H$3,CF!$E$145:$EF$145)</f>
        <v>0</v>
      </c>
      <c r="I28" s="175" t="n">
        <f aca="false">SUMIF(CF!$E$7:$EF$7,I$3,CF!$E$145:$EF$145)</f>
        <v>0</v>
      </c>
      <c r="J28" s="175" t="n">
        <f aca="false">SUMIF(CF!$E$7:$EF$7,J$3,CF!$E$145:$EF$145)</f>
        <v>0</v>
      </c>
      <c r="K28" s="175" t="n">
        <f aca="false">SUMIF(CF!$E$7:$EF$7,K$3,CF!$E$145:$EF$145)</f>
        <v>0</v>
      </c>
      <c r="L28" s="175" t="n">
        <f aca="false">SUMIF(CF!$E$7:$EF$7,L$3,CF!$E$145:$EF$145)</f>
        <v>0</v>
      </c>
      <c r="M28" s="175" t="n">
        <f aca="false">SUMIF(CF!$E$7:$EF$7,M$3,CF!$E$145:$EF$145)</f>
        <v>1824235.87564974</v>
      </c>
    </row>
    <row r="29" customFormat="false" ht="15" hidden="false" customHeight="false" outlineLevel="0" collapsed="false">
      <c r="A29" s="176" t="s">
        <v>636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</row>
    <row r="30" customFormat="false" ht="15" hidden="false" customHeight="false" outlineLevel="0" collapsed="false">
      <c r="A30" s="35" t="s">
        <v>637</v>
      </c>
      <c r="B30" s="254" t="n">
        <f aca="false">SUM(C30:M30)</f>
        <v>91331.5592559769</v>
      </c>
      <c r="C30" s="175" t="n">
        <f aca="false">SUMIF(CF!$E$7:$EF$7,C$3,CF!$E$165:$EF$165)</f>
        <v>0</v>
      </c>
      <c r="D30" s="175" t="n">
        <f aca="false">SUMIF(CF!$E$7:$EF$7,D$3,CF!$E$165:$EF$165)</f>
        <v>0</v>
      </c>
      <c r="E30" s="175" t="n">
        <f aca="false">SUMIF(CF!$E$7:$EF$7,E$3,CF!$E$165:$EF$165)</f>
        <v>0</v>
      </c>
      <c r="F30" s="175" t="n">
        <f aca="false">SUMIF(CF!$E$7:$EF$7,F$3,CF!$E$165:$EF$165)</f>
        <v>0</v>
      </c>
      <c r="G30" s="175" t="n">
        <f aca="false">SUMIF(CF!$E$7:$EF$7,G$3,CF!$E$165:$EF$165)</f>
        <v>0</v>
      </c>
      <c r="H30" s="175" t="n">
        <f aca="false">SUMIF(CF!$E$7:$EF$7,H$3,CF!$E$165:$EF$165)</f>
        <v>13776.4009429017</v>
      </c>
      <c r="I30" s="175" t="n">
        <f aca="false">SUMIF(CF!$E$7:$EF$7,I$3,CF!$E$165:$EF$165)</f>
        <v>24599.0598672467</v>
      </c>
      <c r="J30" s="175" t="n">
        <f aca="false">SUMIF(CF!$E$7:$EF$7,J$3,CF!$E$165:$EF$165)</f>
        <v>28910.0774142162</v>
      </c>
      <c r="K30" s="175" t="n">
        <f aca="false">SUMIF(CF!$E$7:$EF$7,K$3,CF!$E$165:$EF$165)</f>
        <v>10093.2324753582</v>
      </c>
      <c r="L30" s="175" t="n">
        <f aca="false">SUMIF(CF!$E$7:$EF$7,L$3,CF!$E$165:$EF$165)</f>
        <v>9834.84698421816</v>
      </c>
      <c r="M30" s="175" t="n">
        <f aca="false">SUMIF(CF!$E$7:$EF$7,M$3,CF!$E$165:$EF$165)</f>
        <v>4117.94157203599</v>
      </c>
    </row>
    <row r="31" customFormat="false" ht="15" hidden="false" customHeight="false" outlineLevel="0" collapsed="false">
      <c r="A31" s="35" t="s">
        <v>638</v>
      </c>
      <c r="B31" s="254" t="n">
        <f aca="false">SUM(C31:M31)</f>
        <v>201164.870175903</v>
      </c>
      <c r="C31" s="175" t="n">
        <f aca="false">SUMIF(CF!$E$7:$EF$7,C$3,CF!$E$166:$EF$166)</f>
        <v>0</v>
      </c>
      <c r="D31" s="175" t="n">
        <f aca="false">SUMIF(CF!$E$7:$EF$7,D$3,CF!$E$166:$EF$166)</f>
        <v>0</v>
      </c>
      <c r="E31" s="175" t="n">
        <f aca="false">SUMIF(CF!$E$7:$EF$7,E$3,CF!$E$166:$EF$166)</f>
        <v>0</v>
      </c>
      <c r="F31" s="175" t="n">
        <f aca="false">SUMIF(CF!$E$7:$EF$7,F$3,CF!$E$166:$EF$166)</f>
        <v>0</v>
      </c>
      <c r="G31" s="175" t="n">
        <f aca="false">SUMIF(CF!$E$7:$EF$7,G$3,CF!$E$166:$EF$166)</f>
        <v>0</v>
      </c>
      <c r="H31" s="175" t="n">
        <f aca="false">SUMIF(CF!$E$7:$EF$7,H$3,CF!$E$166:$EF$166)</f>
        <v>0</v>
      </c>
      <c r="I31" s="175" t="n">
        <f aca="false">SUMIF(CF!$E$7:$EF$7,I$3,CF!$E$166:$EF$166)</f>
        <v>0</v>
      </c>
      <c r="J31" s="175" t="n">
        <f aca="false">SUMIF(CF!$E$7:$EF$7,J$3,CF!$E$166:$EF$166)</f>
        <v>0</v>
      </c>
      <c r="K31" s="175" t="n">
        <f aca="false">SUMIF(CF!$E$7:$EF$7,K$3,CF!$E$166:$EF$166)</f>
        <v>0</v>
      </c>
      <c r="L31" s="175" t="n">
        <f aca="false">SUMIF(CF!$E$7:$EF$7,L$3,CF!$E$166:$EF$166)</f>
        <v>0</v>
      </c>
      <c r="M31" s="175" t="n">
        <f aca="false">SUMIF(CF!$E$7:$EF$7,M$3,CF!$E$166:$EF$166)</f>
        <v>201164.870175903</v>
      </c>
    </row>
    <row r="32" customFormat="false" ht="15" hidden="false" customHeight="false" outlineLevel="0" collapsed="false">
      <c r="A32" s="35" t="s">
        <v>639</v>
      </c>
      <c r="B32" s="254" t="n">
        <f aca="false">SUM(C32:M32)</f>
        <v>443763.146531994</v>
      </c>
      <c r="C32" s="175" t="n">
        <f aca="false">SUMIF(CF!$E$7:$EF$7,C$3,CF!$E$168:$EF$168)</f>
        <v>0</v>
      </c>
      <c r="D32" s="175" t="n">
        <f aca="false">SUMIF(CF!$E$7:$EF$7,D$3,CF!$E$168:$EF$168)</f>
        <v>0</v>
      </c>
      <c r="E32" s="175" t="n">
        <f aca="false">SUMIF(CF!$E$7:$EF$7,E$3,CF!$E$168:$EF$168)</f>
        <v>0</v>
      </c>
      <c r="F32" s="175" t="n">
        <f aca="false">SUMIF(CF!$E$7:$EF$7,F$3,CF!$E$168:$EF$168)</f>
        <v>0</v>
      </c>
      <c r="G32" s="175" t="n">
        <f aca="false">SUMIF(CF!$E$7:$EF$7,G$3,CF!$E$168:$EF$168)</f>
        <v>0</v>
      </c>
      <c r="H32" s="175" t="n">
        <f aca="false">SUMIF(CF!$E$7:$EF$7,H$3,CF!$E$168:$EF$168)</f>
        <v>0</v>
      </c>
      <c r="I32" s="175" t="n">
        <f aca="false">SUMIF(CF!$E$7:$EF$7,I$3,CF!$E$168:$EF$168)</f>
        <v>0</v>
      </c>
      <c r="J32" s="175" t="n">
        <f aca="false">SUMIF(CF!$E$7:$EF$7,J$3,CF!$E$168:$EF$168)</f>
        <v>0</v>
      </c>
      <c r="K32" s="175" t="n">
        <f aca="false">SUMIF(CF!$E$7:$EF$7,K$3,CF!$E$168:$EF$168)</f>
        <v>20081.223528328</v>
      </c>
      <c r="L32" s="175" t="n">
        <f aca="false">SUMIF(CF!$E$7:$EF$7,L$3,CF!$E$168:$EF$168)</f>
        <v>21540.0761807275</v>
      </c>
      <c r="M32" s="175" t="n">
        <f aca="false">SUMIF(CF!$E$7:$EF$7,M$3,CF!$E$168:$EF$168)</f>
        <v>402141.846822939</v>
      </c>
    </row>
    <row r="33" customFormat="false" ht="15" hidden="false" customHeight="false" outlineLevel="0" collapsed="false">
      <c r="A33" s="35" t="s">
        <v>620</v>
      </c>
      <c r="B33" s="254" t="n">
        <f aca="false">SUM(C33:M33)</f>
        <v>357549.630742321</v>
      </c>
      <c r="C33" s="175" t="n">
        <f aca="false">SUMIF(CF!$E$7:$EF$7,C$3,CF!$E$171:$EF$171)</f>
        <v>-15820.1801474049</v>
      </c>
      <c r="D33" s="175" t="n">
        <f aca="false">SUMIF(CF!$E$7:$EF$7,D$3,CF!$E$171:$EF$171)</f>
        <v>-70393.3356422678</v>
      </c>
      <c r="E33" s="175" t="n">
        <f aca="false">SUMIF(CF!$E$7:$EF$7,E$3,CF!$E$171:$EF$171)</f>
        <v>0</v>
      </c>
      <c r="F33" s="175" t="n">
        <f aca="false">SUMIF(CF!$E$7:$EF$7,F$3,CF!$E$171:$EF$171)</f>
        <v>0</v>
      </c>
      <c r="G33" s="175" t="n">
        <f aca="false">SUMIF(CF!$E$7:$EF$7,G$3,CF!$E$171:$EF$171)</f>
        <v>0</v>
      </c>
      <c r="H33" s="175" t="n">
        <f aca="false">SUMIF(CF!$E$7:$EF$7,H$3,CF!$E$171:$EF$171)</f>
        <v>0</v>
      </c>
      <c r="I33" s="175" t="n">
        <f aca="false">SUMIF(CF!$E$7:$EF$7,I$3,CF!$E$171:$EF$171)</f>
        <v>0</v>
      </c>
      <c r="J33" s="175" t="n">
        <f aca="false">SUMIF(CF!$E$7:$EF$7,J$3,CF!$E$171:$EF$171)</f>
        <v>0</v>
      </c>
      <c r="K33" s="175" t="n">
        <f aca="false">SUMIF(CF!$E$7:$EF$7,K$3,CF!$E$171:$EF$171)</f>
        <v>20081.223528328</v>
      </c>
      <c r="L33" s="175" t="n">
        <f aca="false">SUMIF(CF!$E$7:$EF$7,L$3,CF!$E$171:$EF$171)</f>
        <v>21540.0761807275</v>
      </c>
      <c r="M33" s="175" t="n">
        <f aca="false">SUMIF(CF!$E$7:$EF$7,M$3,CF!$E$171:$EF$171)</f>
        <v>402141.846822939</v>
      </c>
    </row>
    <row r="34" customFormat="false" ht="15" hidden="false" customHeight="false" outlineLevel="0" collapsed="false">
      <c r="A34" s="35" t="s">
        <v>621</v>
      </c>
      <c r="B34" s="254" t="n">
        <f aca="false">SUM(C34:M34)</f>
        <v>91331.5592559769</v>
      </c>
      <c r="C34" s="175" t="n">
        <f aca="false">SUMIF(CF!$E$7:$EF$7,C$3,CF!$E$172:$EF$172)</f>
        <v>0</v>
      </c>
      <c r="D34" s="175" t="n">
        <f aca="false">SUMIF(CF!$E$7:$EF$7,D$3,CF!$E$172:$EF$172)</f>
        <v>-201164.870175903</v>
      </c>
      <c r="E34" s="175" t="n">
        <f aca="false">SUMIF(CF!$E$7:$EF$7,E$3,CF!$E$172:$EF$172)</f>
        <v>0</v>
      </c>
      <c r="F34" s="175" t="n">
        <f aca="false">SUMIF(CF!$E$7:$EF$7,F$3,CF!$E$172:$EF$172)</f>
        <v>0</v>
      </c>
      <c r="G34" s="175" t="n">
        <f aca="false">SUMIF(CF!$E$7:$EF$7,G$3,CF!$E$172:$EF$172)</f>
        <v>0</v>
      </c>
      <c r="H34" s="175" t="n">
        <f aca="false">SUMIF(CF!$E$7:$EF$7,H$3,CF!$E$172:$EF$172)</f>
        <v>13776.4009429017</v>
      </c>
      <c r="I34" s="175" t="n">
        <f aca="false">SUMIF(CF!$E$7:$EF$7,I$3,CF!$E$172:$EF$172)</f>
        <v>24599.0598672467</v>
      </c>
      <c r="J34" s="175" t="n">
        <f aca="false">SUMIF(CF!$E$7:$EF$7,J$3,CF!$E$172:$EF$172)</f>
        <v>28910.0774142162</v>
      </c>
      <c r="K34" s="175" t="n">
        <f aca="false">SUMIF(CF!$E$7:$EF$7,K$3,CF!$E$172:$EF$172)</f>
        <v>10093.2324753582</v>
      </c>
      <c r="L34" s="175" t="n">
        <f aca="false">SUMIF(CF!$E$7:$EF$7,L$3,CF!$E$172:$EF$172)</f>
        <v>9834.84698421816</v>
      </c>
      <c r="M34" s="175" t="n">
        <f aca="false">SUMIF(CF!$E$7:$EF$7,M$3,CF!$E$172:$EF$172)</f>
        <v>205282.811747939</v>
      </c>
    </row>
    <row r="35" customFormat="false" ht="15" hidden="false" customHeight="false" outlineLevel="0" collapsed="false">
      <c r="A35" s="139" t="s">
        <v>622</v>
      </c>
      <c r="B35" s="254" t="n">
        <f aca="false">SUM(C35:M35)</f>
        <v>448881.189998298</v>
      </c>
      <c r="C35" s="255" t="n">
        <f aca="false">SUMIF(CF!$E$7:$EF$7,C$3,CF!$E$173:$EF$173)</f>
        <v>-15820.1801474049</v>
      </c>
      <c r="D35" s="255" t="n">
        <f aca="false">SUMIF(CF!$E$7:$EF$7,D$3,CF!$E$173:$EF$173)</f>
        <v>-271558.205818171</v>
      </c>
      <c r="E35" s="255" t="n">
        <f aca="false">SUMIF(CF!$E$7:$EF$7,E$3,CF!$E$173:$EF$173)</f>
        <v>0</v>
      </c>
      <c r="F35" s="255" t="n">
        <f aca="false">SUMIF(CF!$E$7:$EF$7,F$3,CF!$E$173:$EF$173)</f>
        <v>0</v>
      </c>
      <c r="G35" s="255" t="n">
        <f aca="false">SUMIF(CF!$E$7:$EF$7,G$3,CF!$E$173:$EF$173)</f>
        <v>0</v>
      </c>
      <c r="H35" s="255" t="n">
        <f aca="false">SUMIF(CF!$E$7:$EF$7,H$3,CF!$E$173:$EF$173)</f>
        <v>13776.4009429017</v>
      </c>
      <c r="I35" s="255" t="n">
        <f aca="false">SUMIF(CF!$E$7:$EF$7,I$3,CF!$E$173:$EF$173)</f>
        <v>24599.0598672467</v>
      </c>
      <c r="J35" s="255" t="n">
        <f aca="false">SUMIF(CF!$E$7:$EF$7,J$3,CF!$E$173:$EF$173)</f>
        <v>28910.0774142162</v>
      </c>
      <c r="K35" s="255" t="n">
        <f aca="false">SUMIF(CF!$E$7:$EF$7,K$3,CF!$E$173:$EF$173)</f>
        <v>30174.4560036862</v>
      </c>
      <c r="L35" s="255" t="n">
        <f aca="false">SUMIF(CF!$E$7:$EF$7,L$3,CF!$E$173:$EF$173)</f>
        <v>31374.9231649456</v>
      </c>
      <c r="M35" s="255" t="n">
        <f aca="false">SUMIF(CF!$E$7:$EF$7,M$3,CF!$E$173:$EF$173)</f>
        <v>607424.658570878</v>
      </c>
    </row>
    <row r="36" customFormat="false" ht="15" hidden="false" customHeight="false" outlineLevel="0" collapsed="false">
      <c r="A36" s="139" t="s">
        <v>609</v>
      </c>
      <c r="C36" s="255" t="n">
        <f aca="false">SUMIF(CF!$E$6:$EF$6,MIN(DATE(C$3,12,31),Assumption!$E$24),CF!$E$159:$EF$159)*(C$3&lt;=YEAR(Assumption!$E$24))</f>
        <v>2084.01787059064</v>
      </c>
      <c r="D36" s="255" t="n">
        <f aca="false">SUMIF(CF!$E$6:$EF$6,MIN(DATE(D$3,12,31),Assumption!$E$24),CF!$E$159:$EF$159)*(D$3&lt;=YEAR(Assumption!$E$24))</f>
        <v>76511.5993653224</v>
      </c>
      <c r="E36" s="255" t="n">
        <f aca="false">SUMIF(CF!$E$6:$EF$6,MIN(DATE(E$3,12,31),Assumption!$E$24),CF!$E$159:$EF$159)*(E$3&lt;=YEAR(Assumption!$E$24))</f>
        <v>500</v>
      </c>
      <c r="F36" s="255" t="n">
        <f aca="false">SUMIF(CF!$E$6:$EF$6,MIN(DATE(F$3,12,31),Assumption!$E$24),CF!$E$159:$EF$159)*(F$3&lt;=YEAR(Assumption!$E$24))</f>
        <v>500</v>
      </c>
      <c r="G36" s="255" t="n">
        <f aca="false">SUMIF(CF!$E$6:$EF$6,MIN(DATE(G$3,12,31),Assumption!$E$24),CF!$E$159:$EF$159)*(G$3&lt;=YEAR(Assumption!$E$24))</f>
        <v>500</v>
      </c>
      <c r="H36" s="255" t="n">
        <f aca="false">SUMIF(CF!$E$6:$EF$6,MIN(DATE(H$3,12,31),Assumption!$E$24),CF!$E$159:$EF$159)*(H$3&lt;=YEAR(Assumption!$E$24))</f>
        <v>288275.686540239</v>
      </c>
      <c r="I36" s="255" t="n">
        <f aca="false">SUMIF(CF!$E$6:$EF$6,MIN(DATE(I$3,12,31),Assumption!$E$24),CF!$E$159:$EF$159)*(I$3&lt;=YEAR(Assumption!$E$24))</f>
        <v>471626.08654024</v>
      </c>
      <c r="J36" s="255" t="n">
        <f aca="false">SUMIF(CF!$E$6:$EF$6,MIN(DATE(J$3,12,31),Assumption!$E$24),CF!$E$159:$EF$159)*(J$3&lt;=YEAR(Assumption!$E$24))</f>
        <v>484826.08654024</v>
      </c>
      <c r="K36" s="255" t="n">
        <f aca="false">SUMIF(CF!$E$6:$EF$6,MIN(DATE(K$3,12,31),Assumption!$E$24),CF!$E$159:$EF$159)*(K$3&lt;=YEAR(Assumption!$E$24))</f>
        <v>484826.08654024</v>
      </c>
      <c r="L36" s="255" t="n">
        <f aca="false">SUMIF(CF!$E$6:$EF$6,MIN(DATE(L$3,12,31),Assumption!$E$24),CF!$E$159:$EF$159)*(L$3&lt;=YEAR(Assumption!$E$24))</f>
        <v>484826.08654024</v>
      </c>
      <c r="M36" s="255" t="n">
        <f aca="false">SUMIF(CF!$E$6:$EF$6,MIN(DATE(M$3,12,31),Assumption!$E$24),CF!$E$159:$EF$159)*(M$3&lt;=YEAR(Assumption!$E$24))</f>
        <v>0</v>
      </c>
    </row>
    <row r="38" customFormat="false" ht="15" hidden="false" customHeight="false" outlineLevel="0" collapsed="false">
      <c r="A38" s="33" t="s">
        <v>640</v>
      </c>
      <c r="B38" s="256" t="n">
        <f aca="false">CF!$C$171</f>
        <v>0.203927870290842</v>
      </c>
    </row>
    <row r="39" customFormat="false" ht="15" hidden="false" customHeight="false" outlineLevel="0" collapsed="false">
      <c r="A39" s="33" t="s">
        <v>641</v>
      </c>
      <c r="B39" s="256" t="n">
        <f aca="false">CF!$C$172</f>
        <v>0.0499999999985936</v>
      </c>
    </row>
    <row r="40" customFormat="false" ht="15" hidden="false" customHeight="false" outlineLevel="0" collapsed="false">
      <c r="A40" s="33" t="s">
        <v>642</v>
      </c>
      <c r="B40" s="256" t="n">
        <f aca="false">CF!$C$173</f>
        <v>0.121116349565578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4" hidden="false" customHeight="false" outlineLevel="0" collapsed="false">
      <c r="A1" s="257" t="s">
        <v>643</v>
      </c>
    </row>
    <row r="2" customFormat="false" ht="15" hidden="false" customHeight="false" outlineLevel="0" collapsed="false">
      <c r="A2" s="258"/>
    </row>
    <row r="3" customFormat="false" ht="14.15" hidden="false" customHeight="false" outlineLevel="0" collapsed="false">
      <c r="A3" s="259" t="s">
        <v>644</v>
      </c>
    </row>
    <row r="4" customFormat="false" ht="14.15" hidden="false" customHeight="false" outlineLevel="0" collapsed="false">
      <c r="A4" s="258" t="s">
        <v>645</v>
      </c>
    </row>
    <row r="5" customFormat="false" ht="14.15" hidden="false" customHeight="false" outlineLevel="0" collapsed="false">
      <c r="A5" s="259" t="s">
        <v>646</v>
      </c>
    </row>
    <row r="6" customFormat="false" ht="15" hidden="false" customHeight="false" outlineLevel="0" collapsed="false">
      <c r="A6" s="258"/>
    </row>
    <row r="7" customFormat="false" ht="15" hidden="false" customHeight="false" outlineLevel="0" collapsed="false">
      <c r="A7" s="260" t="s">
        <v>647</v>
      </c>
    </row>
    <row r="8" customFormat="false" ht="15" hidden="false" customHeight="false" outlineLevel="0" collapsed="false">
      <c r="A8" s="260" t="s">
        <v>648</v>
      </c>
    </row>
    <row r="9" customFormat="false" ht="15" hidden="false" customHeight="false" outlineLevel="0" collapsed="false">
      <c r="A9" s="260" t="s">
        <v>649</v>
      </c>
    </row>
    <row r="10" customFormat="false" ht="15" hidden="false" customHeight="false" outlineLevel="0" collapsed="false">
      <c r="A10" s="260" t="s">
        <v>650</v>
      </c>
    </row>
    <row r="11" customFormat="false" ht="15" hidden="false" customHeight="false" outlineLevel="0" collapsed="false">
      <c r="A11" s="260" t="s">
        <v>651</v>
      </c>
    </row>
    <row r="12" customFormat="false" ht="15" hidden="false" customHeight="false" outlineLevel="0" collapsed="false">
      <c r="A12" s="260" t="s">
        <v>652</v>
      </c>
    </row>
    <row r="13" customFormat="false" ht="15" hidden="false" customHeight="false" outlineLevel="0" collapsed="false">
      <c r="A13" s="260" t="s">
        <v>651</v>
      </c>
    </row>
    <row r="14" customFormat="false" ht="15" hidden="false" customHeight="false" outlineLevel="0" collapsed="false">
      <c r="A14" s="260" t="s">
        <v>653</v>
      </c>
    </row>
    <row r="15" customFormat="false" ht="15" hidden="false" customHeight="false" outlineLevel="0" collapsed="false">
      <c r="A15" s="260" t="s">
        <v>654</v>
      </c>
    </row>
    <row r="16" customFormat="false" ht="15" hidden="false" customHeight="false" outlineLevel="0" collapsed="false">
      <c r="A16" s="260" t="s">
        <v>655</v>
      </c>
    </row>
    <row r="17" customFormat="false" ht="14.15" hidden="false" customHeight="false" outlineLevel="0" collapsed="false">
      <c r="A17" s="260" t="s">
        <v>656</v>
      </c>
    </row>
    <row r="18" customFormat="false" ht="15" hidden="false" customHeight="false" outlineLevel="0" collapsed="false">
      <c r="A18" s="260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2026-10-14T08:03:01Z</dcterms:created>
  <dc:creator>openpyxl</dc:creator>
  <dc:description/>
  <dc:language>en-US</dc:language>
  <cp:lastModifiedBy/>
  <dcterms:modified xsi:type="dcterms:W3CDTF">2026-10-14T08:03:07Z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